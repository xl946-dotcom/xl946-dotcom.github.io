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1/Desktop/"/>
    </mc:Choice>
  </mc:AlternateContent>
  <xr:revisionPtr revIDLastSave="0" documentId="8_{A41EEFCF-5666-6C4F-A323-D7E8739732CC}" xr6:coauthVersionLast="47" xr6:coauthVersionMax="47" xr10:uidLastSave="{00000000-0000-0000-0000-000000000000}"/>
  <bookViews>
    <workbookView xWindow="11660" yWindow="760" windowWidth="17740" windowHeight="17060" activeTab="1" xr2:uid="{00000000-000D-0000-FFFF-FFFF00000000}"/>
  </bookViews>
  <sheets>
    <sheet name="treatment cost" sheetId="39" state="hidden" r:id="rId1"/>
    <sheet name="Portfolio Guide" sheetId="55" r:id="rId2"/>
    <sheet name="Financial Analysis" sheetId="36" r:id="rId3"/>
    <sheet name="Summary" sheetId="43" r:id="rId4"/>
    <sheet name="DCF" sheetId="21" r:id="rId5"/>
    <sheet name="ISBSCF" sheetId="24" r:id="rId6"/>
    <sheet name="APL101" sheetId="50" r:id="rId7"/>
    <sheet name="Forecast" sheetId="37" state="hidden" r:id="rId8"/>
  </sheets>
  <definedNames>
    <definedName name="__aip1">#REF!</definedName>
    <definedName name="__aip10">#REF!</definedName>
    <definedName name="__aip11">#REF!</definedName>
    <definedName name="__aip2">#REF!</definedName>
    <definedName name="__aip3">#REF!</definedName>
    <definedName name="__aip4">#REF!</definedName>
    <definedName name="__aip5">#REF!</definedName>
    <definedName name="__aip6">#REF!</definedName>
    <definedName name="__aip7">#REF!</definedName>
    <definedName name="__aip8">#REF!</definedName>
    <definedName name="__aip9">#REF!</definedName>
    <definedName name="__FDS_HYPERLINK_TOGGLE_STATE__" hidden="1">"ON"</definedName>
    <definedName name="__FDS_UNIQUE_RANGE_ID_GENERATOR_COUNTER" hidden="1">1</definedName>
    <definedName name="__FDS_USED_FOR_REUSING_RANGE_IDS_RECYCLE">{19}</definedName>
    <definedName name="_1__FDSAUDITLINK__" hidden="1">{"fdsup://directions/FAT Viewer?action=UPDATE&amp;creator=factset&amp;DYN_ARGS=TRUE&amp;DOC_NAME=FAT:FQL_AUDITING_CLIENT_TEMPLATE.FAT&amp;display_string=Audit&amp;VAR:KEY=REHMXWPYVG&amp;VAR:QUERY=RkZfTFREX1RDQVAoUVRSLDAp&amp;WINDOW=FIRST_POPUP&amp;HEIGHT=450&amp;WIDTH=450&amp;START_MAXIMIZED=FALS","E&amp;VAR:CALENDAR=US&amp;VAR:SYMBOL=AN&amp;VAR:INDEX=0"}</definedName>
    <definedName name="_10__FDSAUDITLINK__" hidden="1">{"fdsup://Directions/FactSet Auditing Viewer?action=AUDIT_VALUE&amp;DB=129&amp;ID1=B0RJCG&amp;VALUEID=02001&amp;SDATE=201101&amp;PERIODTYPE=SEMI_STD&amp;SCFT=3&amp;window=popup_no_bar&amp;width=385&amp;height=120&amp;START_MAXIMIZED=FALSE&amp;creator=factset&amp;display_string=Audit"}</definedName>
    <definedName name="_11__FDSAUDITLINK__" hidden="1">{"fdsup://Directions/FactSet Auditing Viewer?action=AUDIT_VALUE&amp;DB=129&amp;ID1=635353&amp;VALUEID=02001&amp;SDATE=201103&amp;PERIODTYPE=QTR_STD&amp;SCFT=3&amp;window=popup_no_bar&amp;width=385&amp;height=120&amp;START_MAXIMIZED=FALSE&amp;creator=factset&amp;display_string=Audit"}</definedName>
    <definedName name="_12__FDSAUDITLINK__" hidden="1">{"fdsup://Directions/FactSet Auditing Viewer?action=AUDIT_VALUE&amp;DB=129&amp;ID1=694495&amp;VALUEID=02001&amp;SDATE=201103&amp;PERIODTYPE=QTR_STD&amp;SCFT=3&amp;window=popup_no_bar&amp;width=385&amp;height=120&amp;START_MAXIMIZED=FALSE&amp;creator=factset&amp;display_string=Audit"}</definedName>
    <definedName name="_13__FDSAUDITLINK__" hidden="1">{"fdsup://Directions/FactSet Auditing Viewer?action=AUDIT_VALUE&amp;DB=129&amp;ID1=618039&amp;VALUEID=02001&amp;SDATE=201103&amp;PERIODTYPE=QTR_STD&amp;SCFT=3&amp;window=popup_no_bar&amp;width=385&amp;height=120&amp;START_MAXIMIZED=FALSE&amp;creator=factset&amp;display_string=Audit"}</definedName>
    <definedName name="_14__FDSAUDITLINK__" hidden="1">{"fdsup://Directions/FactSet Auditing Viewer?action=AUDIT_VALUE&amp;DB=129&amp;ID1=612136&amp;VALUEID=02001&amp;SDATE=201103&amp;PERIODTYPE=QTR_STD&amp;SCFT=3&amp;window=popup_no_bar&amp;width=385&amp;height=120&amp;START_MAXIMIZED=FALSE&amp;creator=factset&amp;display_string=Audit"}</definedName>
    <definedName name="_15__FDSAUDITLINK__" hidden="1">{"fdsup://Directions/FactSet Auditing Viewer?action=AUDIT_VALUE&amp;DB=129&amp;ID1=612136&amp;VALUEID=02001&amp;SDATE=201103&amp;PERIODTYPE=QTR_STD&amp;SCFT=3&amp;window=popup_no_bar&amp;width=385&amp;height=120&amp;START_MAXIMIZED=FALSE&amp;creator=factset&amp;display_string=Audit"}</definedName>
    <definedName name="_16__FDSAUDITLINK__" hidden="1">{"fdsup://Directions/FactSet Auditing Viewer?action=AUDIT_VALUE&amp;DB=129&amp;ID1=616383&amp;VALUEID=02001&amp;SDATE=201103&amp;PERIODTYPE=QTR_STD&amp;SCFT=3&amp;window=popup_no_bar&amp;width=385&amp;height=120&amp;START_MAXIMIZED=FALSE&amp;creator=factset&amp;display_string=Audit"}</definedName>
    <definedName name="_17__FDSAUDITLINK__" hidden="1">{"fdsup://Directions/FactSet Auditing Viewer?action=AUDIT_VALUE&amp;DB=129&amp;ID1=638907&amp;VALUEID=02001&amp;SDATE=201103&amp;PERIODTYPE=QTR_STD&amp;SCFT=3&amp;window=popup_no_bar&amp;width=385&amp;height=120&amp;START_MAXIMIZED=FALSE&amp;creator=factset&amp;display_string=Audit"}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Viewer?action=AUDIT_VALUE&amp;DB=129&amp;ID1=611552&amp;VALUEID=02001&amp;SDATE=201104&amp;PERIODTYPE=QTR_STD&amp;SCFT=3&amp;window=popup_no_bar&amp;width=385&amp;height=120&amp;START_MAXIMIZED=FALSE&amp;creator=factset&amp;display_string=Audit"}</definedName>
    <definedName name="_19__FDSAUDITLINK__" hidden="1">{"fdsup://Directions/FactSet Auditing Viewer?action=AUDIT_VALUE&amp;DB=129&amp;ID1=618039&amp;VALUEID=02001&amp;SDATE=201103&amp;PERIODTYPE=QTR_STD&amp;SCFT=3&amp;window=popup_no_bar&amp;width=385&amp;height=120&amp;START_MAXIMIZED=FALSE&amp;creator=factset&amp;display_string=Audit"}</definedName>
    <definedName name="_2__FDSAUDITLINK__" hidden="1">{"fdsup://Directions/FactSet Auditing Viewer?action=AUDIT_VALUE&amp;DB=129&amp;ID1=16936R10&amp;VALUEID=02001&amp;SDATE=201104&amp;PERIODTYPE=QTR_STD&amp;SCFT=3&amp;window=popup_no_bar&amp;width=385&amp;height=120&amp;START_MAXIMIZED=FALSE&amp;creator=factset&amp;display_string=Audit"}</definedName>
    <definedName name="_20__FDSAUDITLINK__" hidden="1">{"fdsup://directions/FAT Viewer?action=UPDATE&amp;creator=factset&amp;DYN_ARGS=TRUE&amp;DOC_NAME=FAT:FQL_AUDITING_CLIENT_TEMPLATE.FAT&amp;display_string=Audit&amp;VAR:KEY=PKFIPEHMRI&amp;VAR:QUERY=RkZfREVCVF9MVChRVFIsMDkvMjAxMCwwNi8yMDA4LFEsUlAsTE9DQUwsTSk=&amp;WINDOW=FIRST_POPUP&amp;HEIGH","T=450&amp;WIDTH=450&amp;START_MAXIMIZED=FALSE&amp;VAR:CALENDAR=US&amp;VAR:SYMBOL=TM&amp;VAR:INDEX=0"}</definedName>
    <definedName name="_20_Jul_94">#REF!</definedName>
    <definedName name="_21__FDSAUDITLINK__" hidden="1">{"fdsup://Directions/FactSet Auditing Viewer?action=AUDIT_VALUE&amp;DB=129&amp;ID1=671815&amp;VALUEID=02001&amp;SDATE=201102&amp;PERIODTYPE=SEMI_STD&amp;SCFT=3&amp;window=popup_no_bar&amp;width=385&amp;height=120&amp;START_MAXIMIZED=FALSE&amp;creator=factset&amp;display_string=Audit"}</definedName>
    <definedName name="_22__FDSAUDITLINK__" hidden="1">{"fdsup://Directions/FactSet Auditing Viewer?action=AUDIT_VALUE&amp;DB=129&amp;ID1=B2QMWY&amp;VALUEID=02001&amp;SDATE=201104&amp;PERIODTYPE=QTR_STD&amp;SCFT=3&amp;window=popup_no_bar&amp;width=385&amp;height=120&amp;START_MAXIMIZED=FALSE&amp;creator=factset&amp;display_string=Audit"}</definedName>
    <definedName name="_23__FDSAUDITLINK__" hidden="1">{"fdsup://Directions/FactSet Auditing Viewer?action=AUDIT_VALUE&amp;DB=129&amp;ID1=78461U10&amp;VALUEID=02001&amp;SDATE=201201&amp;PERIODTYPE=QTR_STD&amp;SCFT=3&amp;window=popup_no_bar&amp;width=385&amp;height=120&amp;START_MAXIMIZED=FALSE&amp;creator=factset&amp;display_string=Audit"}</definedName>
    <definedName name="_24__FDSAUDITLINK__" hidden="1">{"fdsup://Directions/FactSet Auditing Viewer?action=AUDIT_VALUE&amp;DB=129&amp;ID1=97816610&amp;VALUEID=02001&amp;SDATE=201003&amp;PERIODTYPE=QTR_STD&amp;SCFT=3&amp;window=popup_no_bar&amp;width=385&amp;height=120&amp;START_MAXIMIZED=FALSE&amp;creator=factset&amp;display_string=Audit"}</definedName>
    <definedName name="_25__FDSAUDITLINK__" hidden="1">{"fdsup://Directions/FactSet Auditing Viewer?action=AUDIT_VALUE&amp;DB=129&amp;ID1=16936R10&amp;VALUEID=02001&amp;SDATE=201201&amp;PERIODTYPE=QTR_STD&amp;SCFT=3&amp;window=popup_no_bar&amp;width=385&amp;height=120&amp;START_MAXIMIZED=FALSE&amp;creator=factset&amp;display_string=Audit"}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Viewer?action=AUDIT_VALUE&amp;DB=129&amp;ID1=664038&amp;VALUEID=02001&amp;SDATE=201104&amp;PERIODTYPE=QTR_STD&amp;SCFT=3&amp;window=popup_no_bar&amp;width=385&amp;height=120&amp;START_MAXIMIZED=FALSE&amp;creator=factset&amp;display_string=Audit"}</definedName>
    <definedName name="_27__FDSAUDITLINK__" hidden="1">{"fdsup://Directions/FactSet Auditing Viewer?action=AUDIT_VALUE&amp;DB=129&amp;ID1=600353&amp;VALUEID=02001&amp;SDATE=201201&amp;PERIODTYPE=QTR_STD&amp;SCFT=3&amp;window=popup_no_bar&amp;width=385&amp;height=120&amp;START_MAXIMIZED=FALSE&amp;creator=factset&amp;display_string=Audit"}</definedName>
    <definedName name="_28__FDSAUDITLINK__" hidden="1">{"fdsup://Directions/FactSet Auditing Viewer?action=AUDIT_VALUE&amp;DB=129&amp;ID1=97816610&amp;VALUEID=02001&amp;SDATE=201003&amp;PERIODTYPE=QTR_STD&amp;SCFT=3&amp;window=popup_no_bar&amp;width=385&amp;height=120&amp;START_MAXIMIZED=FALSE&amp;creator=factset&amp;display_string=Audit"}</definedName>
    <definedName name="_3__FDSAUDITLINK__" hidden="1">{"fdsup://directions/FAT Viewer?action=UPDATE&amp;creator=factset&amp;DYN_ARGS=TRUE&amp;DOC_NAME=FAT:FQL_AUDITING_CLIENT_TEMPLATE.FAT&amp;display_string=Audit&amp;VAR:KEY=EZONMNCPUN&amp;VAR:QUERY=RkZfTFREX1RDQVAoUVRSLDAp&amp;WINDOW=FIRST_POPUP&amp;HEIGHT=450&amp;WIDTH=450&amp;START_MAXIMIZED=FALS","E&amp;VAR:CALENDAR=US&amp;VAR:SYMBOL=ABG&amp;VAR:INDEX=0"}</definedName>
    <definedName name="_4__FDSAUDITLINK__" hidden="1">{"fdsup://Directions/FactSet Auditing Viewer?action=AUDIT_VALUE&amp;DB=129&amp;ID1=600353&amp;VALUEID=02001&amp;SDATE=201103&amp;PERIODTYPE=QTR_STD&amp;SCFT=3&amp;window=popup_no_bar&amp;width=385&amp;height=120&amp;START_MAXIMIZED=FALSE&amp;creator=factset&amp;display_string=Audit"}</definedName>
    <definedName name="_47__FDSAUDITLINK__" hidden="1">{"fdsup://Directions/FactSet Auditing Viewer?action=AUDIT_VALUE&amp;DB=129&amp;ID1=611552&amp;VALUEID=02001&amp;SDATE=201004&amp;PERIODTYPE=QTR_STD&amp;window=popup_no_bar&amp;width=385&amp;height=120&amp;START_MAXIMIZED=FALSE&amp;creator=factset&amp;display_string=Audit"}</definedName>
    <definedName name="_5__FDSAUDITLINK__" hidden="1">{"fdsup://Directions/FactSet Auditing Viewer?action=AUDIT_VALUE&amp;DB=129&amp;ID1=600353&amp;VALUEID=02001&amp;SDATE=201103&amp;PERIODTYPE=QTR_STD&amp;SCFT=3&amp;window=popup_no_bar&amp;width=385&amp;height=120&amp;START_MAXIMIZED=FALSE&amp;creator=factset&amp;display_string=Audit"}</definedName>
    <definedName name="_6__FDSAUDITLINK__" hidden="1">{"fdsup://Directions/FactSet Auditing Viewer?action=AUDIT_VALUE&amp;DB=129&amp;ID1=B00LR0&amp;VALUEID=02001&amp;SDATE=201103&amp;PERIODTYPE=QTR_STD&amp;SCFT=3&amp;window=popup_no_bar&amp;width=385&amp;height=120&amp;START_MAXIMIZED=FALSE&amp;creator=factset&amp;display_string=Audit"}</definedName>
    <definedName name="_7__FDSAUDITLINK__" hidden="1">{"fdsup://Directions/FactSet Auditing Viewer?action=AUDIT_VALUE&amp;DB=129&amp;ID1=664038&amp;VALUEID=02001&amp;SDATE=201102&amp;PERIODTYPE=QTR_STD&amp;SCFT=3&amp;window=popup_no_bar&amp;width=385&amp;height=120&amp;START_MAXIMIZED=FALSE&amp;creator=factset&amp;display_string=Audit"}</definedName>
    <definedName name="_70__FDSAUDITLINK__" hidden="1">{"fdsup://Directions/FactSet Auditing Viewer?action=AUDIT_VALUE&amp;DB=129&amp;ID1=575602&amp;VALUEID=03051&amp;SDATE=2009&amp;PERIODTYPE=ANN_STD&amp;window=popup_no_bar&amp;width=385&amp;height=120&amp;START_MAXIMIZED=FALSE&amp;creator=factset&amp;display_string=Audit"}</definedName>
    <definedName name="_8__FDSAUDITLINK__" hidden="1">{"fdsup://Directions/FactSet Auditing Viewer?action=AUDIT_VALUE&amp;DB=129&amp;ID1=671815&amp;VALUEID=02001&amp;SDATE=201101&amp;PERIODTYPE=SEMI_STD&amp;SCFT=3&amp;window=popup_no_bar&amp;width=385&amp;height=120&amp;START_MAXIMIZED=FALSE&amp;creator=factset&amp;display_string=Audit"}</definedName>
    <definedName name="_81__FDSAUDITLINK__" hidden="1">{"fdsup://Directions/FactSet Auditing Viewer?action=AUDIT_VALUE&amp;DB=129&amp;ID1=09972410&amp;VALUEID=03051&amp;SDATE=201003&amp;PERIODTYPE=QTR_STD&amp;window=popup_no_bar&amp;width=385&amp;height=120&amp;START_MAXIMIZED=FALSE&amp;creator=factset&amp;display_string=Audit"}</definedName>
    <definedName name="_9__FDSAUDITLINK__" hidden="1">{"fdsup://Directions/FactSet Auditing Viewer?action=AUDIT_VALUE&amp;DB=129&amp;ID1=618039&amp;VALUEID=02001&amp;SDATE=201103&amp;PERIODTYPE=QTR_STD&amp;SCFT=3&amp;window=popup_no_bar&amp;width=385&amp;height=120&amp;START_MAXIMIZED=FALSE&amp;creator=factset&amp;display_string=Audit"}</definedName>
    <definedName name="_aip1">#REF!</definedName>
    <definedName name="_aip10">#REF!</definedName>
    <definedName name="_aip11">#REF!</definedName>
    <definedName name="_aip2">#REF!</definedName>
    <definedName name="_aip3">#REF!</definedName>
    <definedName name="_aip4">#REF!</definedName>
    <definedName name="_aip5">#REF!</definedName>
    <definedName name="_aip6">#REF!</definedName>
    <definedName name="_aip7">#REF!</definedName>
    <definedName name="_aip8">#REF!</definedName>
    <definedName name="_aip9">#REF!</definedName>
    <definedName name="_bdm.0C00A5716A114E8181FFB129EC0923F1.edm" hidden="1">#REF!</definedName>
    <definedName name="_bdm.115F4BB54D324A75BBB9AAEFD3C5762E.edm" hidden="1">#REF!</definedName>
    <definedName name="_bdm.1A4472CA839E4BE2AB8406835DB70320.edm" hidden="1">#REF!</definedName>
    <definedName name="_bdm.1DF4B3E45DCE4C2A9D635C38C907064B.edm" hidden="1">#REF!</definedName>
    <definedName name="_bdm.34031C27194642D6A57B9C07CF07C93E.edm" hidden="1">#REF!</definedName>
    <definedName name="_bdm.38A1479DFCDE4DE08898DABF0227CCFC.edm" hidden="1">#REF!</definedName>
    <definedName name="_bdm.4043F94310BB46FAA28AD730DF0066E4.edm" hidden="1">#REF!</definedName>
    <definedName name="_bdm.4C264CE4CE2F4BF0B092FBA832C1BDD7.edm" hidden="1">#REF!</definedName>
    <definedName name="_bdm.5786D6F8EACF4357AD9018E19F3A3A92.edm" hidden="1">#REF!</definedName>
    <definedName name="_bdm.5F22F0845EDC4DFC97372C5DE15CCB89.edm" hidden="1">#REF!</definedName>
    <definedName name="_bdm.6D77C1B8B4CC4658B93DE8EF5DD67E6C.edm" hidden="1">#REF!</definedName>
    <definedName name="_bdm.73015AEA4A7F42709F580C23FA57BBB7.edm" hidden="1">#REF!</definedName>
    <definedName name="_bdm.78764B507B284474801E8902DA56186E.edm" hidden="1">#REF!</definedName>
    <definedName name="_bdm.7F5C02576EFA4E2AB1886ED6B001BBBF.edm" hidden="1">#REF!</definedName>
    <definedName name="_bdm.87722A51E9F046338B9F9300C0F2392F.edm" hidden="1">#REF!</definedName>
    <definedName name="_bdm.885C2A220B6B4047B4F21E93CE1024F7.edm" hidden="1">#REF!</definedName>
    <definedName name="_bdm.9626BEDC2DF343BC97C4F5C24E16077B.edm" hidden="1">#REF!</definedName>
    <definedName name="_bdm.9A56D4D8560D4DFA9B101E2FD65A5AF6.edm" hidden="1">#REF!</definedName>
    <definedName name="_bdm.B41BE794548A479F9E7A7BF32D32799F.edm" hidden="1">#REF!</definedName>
    <definedName name="_bdm.BA69F2098F5B4018923E4D7ECB61618F.edm" hidden="1">#REF!</definedName>
    <definedName name="_bdm.CA42A1DE52914EE794516F083E7DFD75.edm" hidden="1">#REF!</definedName>
    <definedName name="_bdm.CEF614E773E743E39A76D15FD76C4B88.edm" hidden="1">#REF!</definedName>
    <definedName name="_bdm.D0ECEBC2428A44309D05DBB3DB4120E4.edm" hidden="1">#REF!</definedName>
    <definedName name="_bdm.D4062354735842C095EC630A56F6C419.edm" hidden="1">#REF!</definedName>
    <definedName name="_bdm.D6D660602BE549AA83014E4B361E15D8.edm" hidden="1">#REF!</definedName>
    <definedName name="_bdm.DB20838AE17B417BA90CD7525026931E.edm" hidden="1">#REF!</definedName>
    <definedName name="_bdm.DE4356036EDC45659E21ABF35122D7E7.edm" hidden="1">#REF!</definedName>
    <definedName name="_bdm.DF6734618A3C41EAA54818590D43BC2A.edm" hidden="1">#REF!</definedName>
    <definedName name="_bdm.E0A7113A7EB84E42B8F20FD0B1D44AF1.edm" hidden="1">#REF!</definedName>
    <definedName name="_bdm.E60A8C944AA94BC8AADFF9E3F0BF0004.edm" hidden="1">#REF!</definedName>
    <definedName name="_bdm.F55857BC198047DC9603BB96ADE5505E.edm" hidden="1">#REF!</definedName>
    <definedName name="_bdm.F6AD1C6952914FA9AED6784E2AD4C6C3.edm" hidden="1">#REF!</definedName>
    <definedName name="_bdm.FFA8A86D4FF944549323DA61077FAB74.edm" hidden="1">#REF!</definedName>
    <definedName name="_Fill" hidden="1">#REF!</definedName>
    <definedName name="_Order1" hidden="1">0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H1">#REF!</definedName>
    <definedName name="_Sort" hidden="1">#REF!</definedName>
    <definedName name="_Table2_Out" hidden="1">#REF!</definedName>
    <definedName name="\A">#REF!</definedName>
    <definedName name="\blcode1">#REF!</definedName>
    <definedName name="\CoefEps">#REF!</definedName>
    <definedName name="\CoefSales">#REF!</definedName>
    <definedName name="\FactSet_Code">#REF!</definedName>
    <definedName name="\FactSet_Code2">#REF!</definedName>
    <definedName name="\InputPeriod">#REF!</definedName>
    <definedName name="\LastActualPeriod">#REF!</definedName>
    <definedName name="\List">#REF!</definedName>
    <definedName name="\riccode1">#REF!</definedName>
    <definedName name="A">{#N/A,#N/A,FALSE,"Projections";#N/A,#N/A,FALSE,"Multiples Valuation";#N/A,#N/A,FALSE,"LBO";#N/A,#N/A,FALSE,"Multiples_Sensitivity";#N/A,#N/A,FALSE,"Summary"}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sas" hidden="1">{"PR1","pr1",TRUE,"Sch PR-1"}</definedName>
    <definedName name="ABSORB">#REF!</definedName>
    <definedName name="ABSORPTION1">#REF!</definedName>
    <definedName name="ACC_END_DATE">#REF!</definedName>
    <definedName name="ACC_YEAR">#REF!</definedName>
    <definedName name="AccessDatabase" hidden="1">"Y:\Database\Stock Information.mdb"</definedName>
    <definedName name="Accounts_payable_and_accrued_expenses">#REF!</definedName>
    <definedName name="Accounts_receivable___net">#REF!</definedName>
    <definedName name="ACQ_BUS_CF">#REF!</definedName>
    <definedName name="ACQ_INV">#REF!</definedName>
    <definedName name="adasdasdasdasd" hidden="1">{"PR1","pr1",TRUE,"Sch PR-1"}</definedName>
    <definedName name="AMORT_CF">#REF!</definedName>
    <definedName name="AprilActual">#REF!</definedName>
    <definedName name="AprilBudget">#REF!</definedName>
    <definedName name="AS2DocOpenMode" hidden="1">"AS2DocumentBrowse"</definedName>
    <definedName name="AS2HasNoAutoHeaderFooter">"OFF"</definedName>
    <definedName name="asasasasas" hidden="1">{"PR1","pr1",TRUE,"Sch PR-1"}</definedName>
    <definedName name="asdasd">Sheet1</definedName>
    <definedName name="asdf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assasdafsda" hidden="1">{"PR1","pr1",TRUE,"Sch PR-1"}</definedName>
    <definedName name="ASSETS_CURR">#REF!</definedName>
    <definedName name="ASSETS_CURR_OTH">#REF!</definedName>
    <definedName name="ASSETS_OTH">#REF!</definedName>
    <definedName name="ASSETS_TOT">#REF!</definedName>
    <definedName name="asxx">[0]!asxx</definedName>
    <definedName name="AugActual">#REF!</definedName>
    <definedName name="AugBudget">#REF!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alSheet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PS">#REF!</definedName>
    <definedName name="bs">#REF!</definedName>
    <definedName name="Button2">{"Mcp08.PrintRep",""}</definedName>
    <definedName name="BUY">#REF!</definedName>
    <definedName name="BUY_ASSETS">[0]!BUY_ASSETS</definedName>
    <definedName name="BUY_STOCK">[0]!BUY_STOCK</definedName>
    <definedName name="bvcx">[0]!bvcx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zzxcv">[0]!bzzxcv</definedName>
    <definedName name="cal00_eps">#REF!</definedName>
    <definedName name="cal94_eps">#REF!</definedName>
    <definedName name="CAPEX">#REF!</definedName>
    <definedName name="CAPEX_OTH">#REF!</definedName>
    <definedName name="CAPITAL_LEASE_OBLIGATIONS">#REF!</definedName>
    <definedName name="Case">#REF!</definedName>
    <definedName name="Cash">Sheet1</definedName>
    <definedName name="Cash_and_cash_equivalents">#REF!</definedName>
    <definedName name="CASH_ST">#REF!</definedName>
    <definedName name="CashFlow">#REF!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f">#REF!</definedName>
    <definedName name="chart">#REF!</definedName>
    <definedName name="CHG_CASH_CF">#REF!</definedName>
    <definedName name="CIQWBGuid" localSheetId="2" hidden="1">"20190722-Zlab-model.xlsx"</definedName>
    <definedName name="CIQWBGuid" hidden="1">"20190722-Zlab-model.xlsx"</definedName>
    <definedName name="COGS">#REF!</definedName>
    <definedName name="COM_EQ">#REF!</definedName>
    <definedName name="COM_EQ_APIC">#REF!</definedName>
    <definedName name="COM_EQ_FOR_EXCH">#REF!</definedName>
    <definedName name="COM_EQ_GL">#REF!</definedName>
    <definedName name="COM_EQ_PAR">#REF!</definedName>
    <definedName name="COM_EQ_RETAIN_EARN">#REF!</definedName>
    <definedName name="COM_SHS_OUT_EPS_BASIC">#REF!</definedName>
    <definedName name="COM_SHS_OUT_EPS_DIL">#REF!</definedName>
    <definedName name="COM_STK_ESOP">#REF!</definedName>
    <definedName name="COMMITMENTS_AND_CONTINGENCIES">#REF!</definedName>
    <definedName name="Common_stock">#REF!</definedName>
    <definedName name="COMP_DESC">#REF!</definedName>
    <definedName name="COMPANY_NAME">#REF!</definedName>
    <definedName name="COVENANTS1">#REF!</definedName>
    <definedName name="COVENANTS2">#REF!</definedName>
    <definedName name="cratios">#REF!</definedName>
    <definedName name="CURRENCY">#REF!</definedName>
    <definedName name="CurrencyCell">#REF!</definedName>
    <definedName name="Current_deferred_income_taxes">#REF!</definedName>
    <definedName name="Current_portion_of_long_term_debt">#REF!</definedName>
    <definedName name="CurrentPrice">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Y">#REF!</definedName>
    <definedName name="cy_net_income">#REF!</definedName>
    <definedName name="cy_ret_earn_beg">#REF!</definedName>
    <definedName name="cy_retained_earnings">#REF!</definedName>
    <definedName name="cy_share_equity">#REF!</definedName>
    <definedName name="D" hidden="1">{#N/A,#N/A,FALSE,"AD_Purch";#N/A,#N/A,FALSE,"Projections";#N/A,#N/A,FALSE,"DCF";#N/A,#N/A,FALSE,"Mkt Val"}</definedName>
    <definedName name="Data">#REF!</definedName>
    <definedName name="dd" hidden="1">{"mgmt forecast",#N/A,FALSE,"Mgmt Forecast";"dcf table",#N/A,FALSE,"Mgmt Forecast";"sensitivity",#N/A,FALSE,"Mgmt Forecast";"table inputs",#N/A,FALSE,"Mgmt Forecast";"calculations",#N/A,FALSE,"Mgmt Forecast"}</definedName>
    <definedName name="dddd" hidden="1">{#N/A,#N/A,FALSE,"AD_Purchase";#N/A,#N/A,FALSE,"Credit";#N/A,#N/A,FALSE,"PF Acquisition";#N/A,#N/A,FALSE,"PF Offering"}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EBT_CF">#REF!</definedName>
    <definedName name="DEBT_LT">#REF!</definedName>
    <definedName name="DEBT_ST">#REF!</definedName>
    <definedName name="DecActual">#REF!</definedName>
    <definedName name="DecBudget">#REF!</definedName>
    <definedName name="DEFERRED_INCOME_TAXES">#REF!</definedName>
    <definedName name="DEP_EXP_CF">#REF!</definedName>
    <definedName name="DEP_EXP_XAMORT_CF">#REF!</definedName>
    <definedName name="DEPT">#REF!</definedName>
    <definedName name="DFD_TAX_CF">#REF!</definedName>
    <definedName name="DFD_TAX_CR">#REF!</definedName>
    <definedName name="DFD_TAX_DB">#REF!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IV_CF">#REF!</definedName>
    <definedName name="DPS">#REF!</definedName>
    <definedName name="DRAGLINES1">#REF!</definedName>
    <definedName name="DRILLS1">#REF!</definedName>
    <definedName name="DRILLS2">#REF!</definedName>
    <definedName name="DRILLS3">#REF!</definedName>
    <definedName name="DRILLS4">#REF!</definedName>
    <definedName name="DRILLS5">#REF!</definedName>
    <definedName name="DRILLS6">#REF!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BIT">#REF!</definedName>
    <definedName name="EBITDA">#REF!</definedName>
    <definedName name="EBITDA_GEO1">#REF!</definedName>
    <definedName name="EBITDA_GEO2">#REF!</definedName>
    <definedName name="ehsht">Sheet1</definedName>
    <definedName name="Enable_Disable">#REF!</definedName>
    <definedName name="EndDate">#REF!</definedName>
    <definedName name="EndDateText">#REF!</definedName>
    <definedName name="EPS">#REF!</definedName>
    <definedName name="EPS_DIL">#REF!</definedName>
    <definedName name="EPS_USD">#REF!</definedName>
    <definedName name="ert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SOP_CAP_GAIN">#REF!</definedName>
    <definedName name="EV_ADJUSTMENTS">#REF!</definedName>
    <definedName name="EXCHANGE">#REF!</definedName>
    <definedName name="exp">#REF!</definedName>
    <definedName name="f" hidden="1">{"PR1","pr1",TRUE,"Sch PR-1"}</definedName>
    <definedName name="F9HorizontalAxis">#REF!</definedName>
    <definedName name="F9ModelCompany">#REF!</definedName>
    <definedName name="F9OtherAxes">#REF!</definedName>
    <definedName name="F9ReportBody">#REF!</definedName>
    <definedName name="F9VerticalAxis">#REF!</definedName>
    <definedName name="fasdfs" hidden="1">{#N/A,#N/A,FALSE,"Aging Summary";#N/A,#N/A,FALSE,"Ratio Analysis";#N/A,#N/A,FALSE,"Test 120 Day Accts";#N/A,#N/A,FALSE,"Tickmarks"}</definedName>
    <definedName name="FCFPS">#REF!</definedName>
    <definedName name="fdg" hidden="1">{"Assumptions",#N/A,TRUE,"Assumptions";"Income",#N/A,TRUE,"Income";"Balance",#N/A,TRUE,"Balance"}</definedName>
    <definedName name="FebActual">#REF!</definedName>
    <definedName name="Febbudget">#REF!</definedName>
    <definedName name="fg" hidden="1">{#N/A,#N/A,FALSE,"Pooling";#N/A,#N/A,FALSE,"income";#N/A,#N/A,FALSE,"valuation"}</definedName>
    <definedName name="fgdaa">[0]!fgdaa</definedName>
    <definedName name="FIN_ACTIV_OTH_CF">#REF!</definedName>
    <definedName name="FIN_CF">#REF!</definedName>
    <definedName name="FINANCIALS1">#REF!</definedName>
    <definedName name="FINANCIALS2">#REF!</definedName>
    <definedName name="FINANCIALS3">#REF!</definedName>
    <definedName name="FINANCIALS4">#REF!</definedName>
    <definedName name="FINANCIALS5">#REF!</definedName>
    <definedName name="FirstCell">#REF!</definedName>
    <definedName name="footnote">#REF!</definedName>
    <definedName name="FOR_EXCH_CF">#REF!</definedName>
    <definedName name="FORM">#REF!</definedName>
    <definedName name="FRANCHISE_INTERESTS_AND_RIGHTS">#REF!</definedName>
    <definedName name="fratios">#REF!</definedName>
    <definedName name="FREE_FLOAT">#REF!</definedName>
    <definedName name="Frequency">#REF!</definedName>
    <definedName name="fs">#REF!</definedName>
    <definedName name="Full_Page">#REF!</definedName>
    <definedName name="FUNDS_OPER_GROSS">#REF!</definedName>
    <definedName name="fx" localSheetId="5">ISBSCF!$C$3</definedName>
    <definedName name="fx" localSheetId="3">#REF!</definedName>
    <definedName name="fx">#REF!</definedName>
    <definedName name="fy_00">#REF!</definedName>
    <definedName name="fy_99">#REF!</definedName>
    <definedName name="fy00_rev">#REF!</definedName>
    <definedName name="fy96_shares">#REF!</definedName>
    <definedName name="fy97_ni">#REF!</definedName>
    <definedName name="fy97_shares">#REF!</definedName>
    <definedName name="fy98_ni">#REF!</definedName>
    <definedName name="fy98_shares">#REF!</definedName>
    <definedName name="fy99_ni">#REF!</definedName>
    <definedName name="fy99_rev">#REF!</definedName>
    <definedName name="fy99_shares">#REF!</definedName>
    <definedName name="gdfs" hidden="1">{#N/A,#N/A,FALSE,"Projections";#N/A,#N/A,FALSE,"Multiples Valuation";#N/A,#N/A,FALSE,"LBO";#N/A,#N/A,FALSE,"Multiples_Sensitivity";#N/A,#N/A,FALSE,"Summary"}</definedName>
    <definedName name="GPI2003Grossmarin">#REF!</definedName>
    <definedName name="GPI2003GrossmarinNEw">#REF!</definedName>
    <definedName name="GPI2003GrossmarinParts">#REF!</definedName>
    <definedName name="GPI2003GrossmarinUsed">#REF!</definedName>
    <definedName name="GPI2004Grossmarin">#REF!</definedName>
    <definedName name="GPI2004GrossmarinNEw">#REF!</definedName>
    <definedName name="GPI2004GrossmarinParts">#REF!</definedName>
    <definedName name="GPI2004GrossmarinUSed">#REF!</definedName>
    <definedName name="GPI3Q05grossmarginNEW">#REF!</definedName>
    <definedName name="GPI3Q05grossmarginParts">#REF!</definedName>
    <definedName name="GPI3Q05grossmarginUSed">#REF!</definedName>
    <definedName name="GPIcfo3Q5">#REF!</definedName>
    <definedName name="gpiFin">#REF!</definedName>
    <definedName name="GPIFinanceGrossMix3Q05">#REF!</definedName>
    <definedName name="GPIFinGrossMix3Q05">#REF!</definedName>
    <definedName name="GPIfinrev3Q05">#REF!</definedName>
    <definedName name="GPIfinunit3Q05">#REF!</definedName>
    <definedName name="GPIgrossprofitmargins3Q05">#REF!</definedName>
    <definedName name="GPInetIncome3Q05">#REF!</definedName>
    <definedName name="GPInewgrossmix3Q05">#REF!</definedName>
    <definedName name="GPInewrev3Q05">#REF!</definedName>
    <definedName name="GPInewunit3Q05">#REF!</definedName>
    <definedName name="GPIpartsgrossmix3Q05">#REF!</definedName>
    <definedName name="GPIpartsrev3Q05">#REF!</definedName>
    <definedName name="GPIsgaGross2002">#REF!</definedName>
    <definedName name="GPIsgaGross2003">#REF!</definedName>
    <definedName name="GPIsgaGross2004">#REF!</definedName>
    <definedName name="GPIsgagrossprofit3Q05">#REF!</definedName>
    <definedName name="GPIusedgrossmix3Q05">#REF!</definedName>
    <definedName name="GPIUsedrev3Q05">#REF!</definedName>
    <definedName name="GPIUsedunit3Q05">#REF!</definedName>
    <definedName name="GPIwholegrossmix3Q05">#REF!</definedName>
    <definedName name="GPIWholesalerev3Q05">#REF!</definedName>
    <definedName name="GPIwholeunit3Q05">#REF!</definedName>
    <definedName name="GROSS_INC">#REF!</definedName>
    <definedName name="Group7">{"Mcp08.PrintRep",""}</definedName>
    <definedName name="HERE">#REF!</definedName>
    <definedName name="hidebs">#REF!</definedName>
    <definedName name="HistoCell">#REF!</definedName>
    <definedName name="HistoComplement">#REF!</definedName>
    <definedName name="hjyny" hidden="1">{#N/A,#N/A,FALSE,"TSUM";#N/A,#N/A,FALSE,"shares";#N/A,#N/A,FALSE,"earnout";#N/A,#N/A,FALSE,"Heaty";#N/A,#N/A,FALSE,"self-tend";#N/A,#N/A,FALSE,"self-sum"}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TML_CodePage" hidden="1">1252</definedName>
    <definedName name="HTML_Control" hidden="1">{"'Directory'!$A$72:$E$91"}</definedName>
    <definedName name="HTML_Description" hidden="1">""</definedName>
    <definedName name="HTML_Email" hidden="1">""</definedName>
    <definedName name="HTML_Header" hidden="1">"Income-Adj"</definedName>
    <definedName name="HTML_LastUpdate" hidden="1">"9/1/99"</definedName>
    <definedName name="HTML_LineAfter" hidden="1">FALSE</definedName>
    <definedName name="HTML_LineBefore" hidden="1">FALSE</definedName>
    <definedName name="HTML_Name" hidden="1">"Neo"</definedName>
    <definedName name="HTML_OBDlg2" hidden="1">TRUE</definedName>
    <definedName name="HTML_OBDlg4" hidden="1">TRUE</definedName>
    <definedName name="HTML_OS" hidden="1">0</definedName>
    <definedName name="HTML_PathFile" hidden="1">"E:\statements-2.0\from_excel.htm"</definedName>
    <definedName name="HTML_Title" hidden="1">"Histo_Statements"</definedName>
    <definedName name="ijn" hidden="1">{#N/A,#N/A,FALSE,"AD_Purchase";#N/A,#N/A,FALSE,"Credit";#N/A,#N/A,FALSE,"PF Acquisition";#N/A,#N/A,FALSE,"PF Offering"}</definedName>
    <definedName name="Img_ML_1c3d1n6n" hidden="1">"IMG_11"</definedName>
    <definedName name="Img_ML_1y7a6c1t" hidden="1">"IMG_10"</definedName>
    <definedName name="Img_ML_2x1b8j5c" hidden="1">"IMG_11"</definedName>
    <definedName name="Img_ML_3b3j3x9k" hidden="1">"IMG_18"</definedName>
    <definedName name="Img_ML_3e2q4k7i" hidden="1">"IMG_18"</definedName>
    <definedName name="Img_ML_3p5d9q5j" hidden="1">"IMG_10"</definedName>
    <definedName name="Img_ML_3y1j4m2m" hidden="1">"IMG_11"</definedName>
    <definedName name="Img_ML_5h6q3g8u" hidden="1">"IMG_11"</definedName>
    <definedName name="Img_ML_6f2p1m9g" hidden="1">"IMG_11"</definedName>
    <definedName name="Img_ML_6k9c9p4d" hidden="1">"IMG_11"</definedName>
    <definedName name="Img_ML_6r9u1n9k" hidden="1">"IMG_11"</definedName>
    <definedName name="Img_ML_6y9f7y3n" hidden="1">"IMG_11"</definedName>
    <definedName name="Img_ML_7n6h3t1t" hidden="1">"IMG_10"</definedName>
    <definedName name="Img_ML_8b9j5t1p" hidden="1">"IMG_11"</definedName>
    <definedName name="Img_ML_8c2q5i2r" hidden="1">"IMG_10"</definedName>
    <definedName name="Img_ML_8h3m3i1m" hidden="1">"IMG_18"</definedName>
    <definedName name="Img_ML_8j3w6p4c" hidden="1">"IMG_11"</definedName>
    <definedName name="Img_ML_8r1k8t4y" hidden="1">"IMG_4"</definedName>
    <definedName name="Img_ML_8s3q3c1i" hidden="1">"IMG_11"</definedName>
    <definedName name="Img_ML_9n1s4m5f" hidden="1">"IMG_18"</definedName>
    <definedName name="INC_TAX">#REF!</definedName>
    <definedName name="Income_taxes_payable">#REF!</definedName>
    <definedName name="IncStmt">#REF!</definedName>
    <definedName name="IncStmtCons">#REF!</definedName>
    <definedName name="inf">#REF!</definedName>
    <definedName name="INT_EXP_NET">#REF!</definedName>
    <definedName name="INTANG">#REF!</definedName>
    <definedName name="interl">#REF!</definedName>
    <definedName name="internl">#REF!</definedName>
    <definedName name="INVEN">#REF!</definedName>
    <definedName name="Inventory">#REF!</definedName>
    <definedName name="INVEST_ACTIV_CF">#REF!</definedName>
    <definedName name="INVEST_CF">#REF!</definedName>
    <definedName name="INVEST_OTH">#REF!</definedName>
    <definedName name="INVEST_PURCH_CF">#REF!</definedName>
    <definedName name="INVEST_SALE_CF">#REF!</definedName>
    <definedName name="INVEST_SOURCES_CF">#REF!</definedName>
    <definedName name="INVEST_SUB">#REF!</definedName>
    <definedName name="IQ_0_PCT_RISK_WEIGHT_TOTAL_THRIFT" hidden="1">"c25055"</definedName>
    <definedName name="IQ_1_4_CONST_LOANS_DOM_LOANS_RSTRC_DUE_30_89_FFIEC" hidden="1">"c27091"</definedName>
    <definedName name="IQ_1_4_CONST_LOANS_DOM_LOANS_RSTRC_DUE_90_FFIEC" hidden="1">"c27131"</definedName>
    <definedName name="IQ_1_4_CONST_LOANS_DOM_LOANS_RSTRC_NON_ACCRUAL_FFIEC" hidden="1">"c27171"</definedName>
    <definedName name="IQ_1_4_CONST_LOANS_DOM_LOANS_RSTRC_TERMS_FFIEC" hidden="1">"c27023"</definedName>
    <definedName name="IQ_1_4_CONST_LOANS_DOM_LOSS_SHARING_FFIEC" hidden="1">"c27188"</definedName>
    <definedName name="IQ_1_4_CONST_LOANS_SEC_RE_DOM_LOSS_SHARING_DUE_30_89_FFIEC" hidden="1">"c27071"</definedName>
    <definedName name="IQ_1_4_CONST_LOANS_SEC_RE_DOM_LOSS_SHARING_DUE_90_FFIEC" hidden="1">"c27111"</definedName>
    <definedName name="IQ_1_4_CONST_LOANS_SEC_RE_DOM_LOSS_SHARING_NON_ACCRUAL_FFIEC" hidden="1">"c27151"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DOM_LOSS_SHARING_FFIEC" hidden="1">"c27209"</definedName>
    <definedName name="IQ_1_4_DWELLING_UNITS_CONSTRUCTION_MORTGAGE_LOANS_ADJUSTED_NCOS_TOTAL_THRIFT" hidden="1">"c25200"</definedName>
    <definedName name="IQ_1_4_DWELLING_UNITS_CONSTRUCTION_MORTGAGE_LOANS_GVA_CHARGE_OFFS_THRIFT" hidden="1">"c25115"</definedName>
    <definedName name="IQ_1_4_DWELLING_UNITS_CONSTRUCTION_MORTGAGE_LOANS_GVA_RECOVERIES_THRIFT" hidden="1">"c25146"</definedName>
    <definedName name="IQ_1_4_DWELLING_UNITS_CONSTRUCTION_MORTGAGE_LOANS_SVA_PROVISIONS_TRANSFERS_FROM_GVA_TOTAL_THRIFT" hidden="1">"c25169"</definedName>
    <definedName name="IQ_1_4_DWELLING_UNITS_REVOLVING_OPEN_END_PML_ADJUSTED_NCOS_TOTAL_THRIFT" hidden="1">"c25203"</definedName>
    <definedName name="IQ_1_4_DWELLING_UNITS_REVOLVING_OPEN_END_PML_GVA_CHARGE_OFFS_THRIFT" hidden="1">"c25118"</definedName>
    <definedName name="IQ_1_4_DWELLING_UNITS_REVOLVING_OPEN_END_PML_GVA_RECOVERIES_THRIFT" hidden="1">"c25149"</definedName>
    <definedName name="IQ_1_4_DWELLING_UNITS_REVOLVING_OPEN_END_PML_SVA_PROVISIONS_TRANSFERS_FROM_GVA_TOTAL_THRIFT" hidden="1">"c25172"</definedName>
    <definedName name="IQ_1_4_DWELLING_UNITS_SECURED_FIRST_LIENS_IN_PROCESS_FORECLOSURE_THRIFT" hidden="1">"c25305"</definedName>
    <definedName name="IQ_1_4_DWELLING_UNITS_SECURED_FIRST_LIENS_PML_ADJUSTED_NCOS_TOTAL_THRIFT" hidden="1">"c25204"</definedName>
    <definedName name="IQ_1_4_DWELLING_UNITS_SECURED_FIRST_LIENS_PML_GVA_CHARGE_OFFS_THRIFT" hidden="1">"c25119"</definedName>
    <definedName name="IQ_1_4_DWELLING_UNITS_SECURED_FIRST_LIENS_PML_GVA_RECOVERIES_THRIFT" hidden="1">"c25150"</definedName>
    <definedName name="IQ_1_4_DWELLING_UNITS_SECURED_FIRST_LIENS_PML_SVA_PROVISIONS_TRANSFERS_FROM_GVA_TOTAL_THRIFT" hidden="1">"c25173"</definedName>
    <definedName name="IQ_1_4_DWELLING_UNITS_SECURED_JUNIOR_LIENS_IN_PROCESS_FORECLOSURE_THRIFT" hidden="1">"c25306"</definedName>
    <definedName name="IQ_1_4_DWELLING_UNITS_SECURED_JUNIOR_LIENS_PML_ADJUSTED_NCOS_TOTAL_THRIFT" hidden="1">"c25205"</definedName>
    <definedName name="IQ_1_4_DWELLING_UNITS_SECURED_JUNIOR_LIENS_PML_GVA_CHARGE_OFFS_THRIFT" hidden="1">"c25120"</definedName>
    <definedName name="IQ_1_4_DWELLING_UNITS_SECURED_JUNIOR_LIENS_PML_GVA_RECOVERIES_THRIFT" hidden="1">"c25151"</definedName>
    <definedName name="IQ_1_4_DWELLING_UNITS_SECURED_JUNIOR_LIENS_PML_SVA_PROVISIONS_TRANSFERS_FROM_GVA_TOTAL_THRIFT" hidden="1">"c25174"</definedName>
    <definedName name="IQ_1_4_DWELLING_UNITS_SECURED_REVOLVING_OPEN_END_LOANS_IN_PROCESS_FORECLOSURE_THRIFT" hidden="1">"c25304"</definedName>
    <definedName name="IQ_1_4_FAMILY_CONSTRUCTION_LOANS_GROSS_LOANS_THRIFT" hidden="1">"c25727"</definedName>
    <definedName name="IQ_1_4_FAMILY_CONSTRUCTION_LOANS_RISK_BASED_CAPITAL_THRIFT" hidden="1">"c25712"</definedName>
    <definedName name="IQ_1_4_FAMILY_RES_DOM_FFIEC" hidden="1">"c15269"</definedName>
    <definedName name="IQ_100_PCT_RISK_WEIGHT_TOTAL_THRIFT" hidden="1">"c25073"</definedName>
    <definedName name="IQ_20_PCT_RISK_WEIGHT_TOTAL_THRIFT" hidden="1">"c25062"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50_PCT_RISK_WEIGHT_TOTAL_THRIFT" hidden="1">"c25069"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S_PAY" hidden="1">"c1343"</definedName>
    <definedName name="IQ_ACCOUNTS_PAYABLE_THRIFT" hidden="1">"c24910"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_PAYABLE_DEPOSITS_THRIFT" hidden="1">"c24907"</definedName>
    <definedName name="IQ_ACCRUED_INT_PAYABLE_THRIFT" hidden="1">"c24906"</definedName>
    <definedName name="IQ_ACCRUED_INT_RECEIVABLE_MBS_THRIFT" hidden="1">"c24836"</definedName>
    <definedName name="IQ_ACCRUED_INT_RECEIVABLE_THRIFT" hidden="1">"c24827"</definedName>
    <definedName name="IQ_ACCRUED_INTEREST_RECEIVABLE_FFIEC" hidden="1">"c12842"</definedName>
    <definedName name="IQ_ACCRUED_MORTGAGE_INT_RECEIVABLE_THRIFT" hidden="1">"c24849"</definedName>
    <definedName name="IQ_ACCRUED_NON_MORTGAGE_INT_RECEIVABLE_THRIFT" hidden="1">"c24866"</definedName>
    <definedName name="IQ_ACCRUED_TAXES_THRIFT" hidden="1">"c24909"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GAINS_LOSSES_CASH_FLOW_HEDGES_THRIFT" hidden="1">"c24922"</definedName>
    <definedName name="IQ_ACCUMULATED_GAINS_LOSSES_CERTAIN_SEC_THRIFT" hidden="1">"c24921"</definedName>
    <definedName name="IQ_ACCUMULATED_LOSSES_GAINS_CASH_FLOW_HEDGES_ADJUSTED_ASSETS_THRIFT" hidden="1">"c25035"</definedName>
    <definedName name="IQ_ACCUMULATED_LOSSES_GAINS_CASH_FLOW_HEDGES_T1_THRIFT" hidden="1">"c25026"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"c16174"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CTUAL_THRIFT_INV_PERCENTAGE_MONTH_END_FIRST_MONTH_QUARTER_THRIFT" hidden="1">"c25584"</definedName>
    <definedName name="IQ_ACTUAL_THRIFT_INV_PERCENTAGE_MONTH_END_SECOND_MONTH_QUARTER_THRIFT" hidden="1">"c25585"</definedName>
    <definedName name="IQ_ACTUAL_THRIFT_INV_PERCENTAGE_MONTH_END_THIRD_MONTH_QUARTER_THRIFT" hidden="1">"c25586"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S_NON_ACCRUAL_ASSET_DURING_QTR_FFIEC" hidden="1">"c15349"</definedName>
    <definedName name="IQ_ADJ_AVG_BANK_ASSETS" hidden="1">"c2671"</definedName>
    <definedName name="IQ_ADJUSTED_NAV_COVERED" hidden="1">"c9963"</definedName>
    <definedName name="IQ_ADJUSTED_NAV_GROUP" hidden="1">"c9949"</definedName>
    <definedName name="IQ_ADJUSTED_OPERATING_INCOME_AVG_ASSETS_THRIFT" hidden="1">"c25651"</definedName>
    <definedName name="IQ_ADJUSTED_TOTAL_ASSETS_ADJUSTED_ASSETS_THRIFT" hidden="1">"c25038"</definedName>
    <definedName name="IQ_ADJUSTMENTS_GVA_THRIFT" hidden="1">"c25095"</definedName>
    <definedName name="IQ_ADJUSTMENTS_SVA_THRIFT" hidden="1">"c25102"</definedName>
    <definedName name="IQ_ADJUSTMENTS_TVA_THRIFT" hidden="1">"c25109"</definedName>
    <definedName name="IQ_ADMIN_RATIO" hidden="1">"c2784"</definedName>
    <definedName name="IQ_ADVANCES_FROM_FHLB_THRIFT" hidden="1">"c24900"</definedName>
    <definedName name="IQ_ADVANCES_TAXES_INSURANCE_THRIFT" hidden="1">"c24850"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_AMOUNTS_NETTED_THRIFT" hidden="1">"c25492"</definedName>
    <definedName name="IQ_AFS_SEC_INV_SEC_THRIFT" hidden="1">"c25670"</definedName>
    <definedName name="IQ_AFS_SEC_LEVEL_1_THRIFT" hidden="1">"c25488"</definedName>
    <definedName name="IQ_AFS_SEC_LEVEL_2_THRIFT" hidden="1">"c25489"</definedName>
    <definedName name="IQ_AFS_SEC_LEVEL_3_THRIFT" hidden="1">"c25490"</definedName>
    <definedName name="IQ_AFS_SEC_THRIFT" hidden="1">"c24933"</definedName>
    <definedName name="IQ_AFS_SEC_TIER_1_CAPITAL_THRIFT" hidden="1">"c25630"</definedName>
    <definedName name="IQ_AFS_SEC_TOTAL_AFTER_NETTING_THRIFT" hidden="1">"c25493"</definedName>
    <definedName name="IQ_AFS_SEC_TOTAL_BEFORE_NETTING_THRIFT" hidden="1">"c25491"</definedName>
    <definedName name="IQ_AFS_SECURITIES_TIER_1_FFIEC" hidden="1">"c13343"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CORPORATE_SHARES" hidden="1">"c13781"</definedName>
    <definedName name="IQ_AGG_CORPORATE_VALUE" hidden="1">"c13774"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ESOP_SHARES" hidden="1">"c13782"</definedName>
    <definedName name="IQ_AGG_ESOP_VALUE" hidden="1">"c13775"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FOUNDATION_SHARES" hidden="1">"c24731"</definedName>
    <definedName name="IQ_AGG_FOUNDATION_VALUE" hidden="1">"c24732"</definedName>
    <definedName name="IQ_AGG_HEDGEFUND_OVER_TOTAL" hidden="1">"c13771"</definedName>
    <definedName name="IQ_AGG_HEDGEFUND_SHARES" hidden="1">"c13785"</definedName>
    <definedName name="IQ_AGG_HEDGEFUND_VALUE" hidden="1">"c13778"</definedName>
    <definedName name="IQ_AGG_INSIDER_OVER_TOTAL" hidden="1">"c1581"</definedName>
    <definedName name="IQ_AGG_INSIDER_SHARES" hidden="1">"c13780"</definedName>
    <definedName name="IQ_AGG_INSIDER_VALUE" hidden="1">"c13773"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TITUTIONAL_SHARES" hidden="1">"c13779"</definedName>
    <definedName name="IQ_AGG_INSTITUTIONAL_VALUE" hidden="1">"c13772"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INV_MANAGERS_OVER_TOTAL" hidden="1">"c26967"</definedName>
    <definedName name="IQ_AGG_INV_MANAGERS_SHARES" hidden="1">"c26968"</definedName>
    <definedName name="IQ_AGG_INV_MANAGERS_VALUE" hidden="1">"c26969"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OTHER_SHARES" hidden="1">"c13784"</definedName>
    <definedName name="IQ_AGG_OTHER_VALUE" hidden="1">"c13777"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REIT_OVER_TOTAL" hidden="1">"c24693"</definedName>
    <definedName name="IQ_AGG_REIT_SHARES" hidden="1">"c24695"</definedName>
    <definedName name="IQ_AGG_REIT_VALUE" hidden="1">"c24694"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GREGATE_AMT_ALL_EXTENSIONS_CREDIT_THRIFT" hidden="1">"c25589"</definedName>
    <definedName name="IQ_AGGREGATE_INV_IN_SERVICE_CORPORATIONS_THRIFT" hidden="1">"c25588"</definedName>
    <definedName name="IQ_AGRICULTURAL_GROSS_LOANS_FFIEC" hidden="1">"c13413"</definedName>
    <definedName name="IQ_AGRICULTURAL_LOANS_FOREIGN_FFIEC" hidden="1">"c13481"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_OTHER_ASSETS_ELIGIBLE_100_PCT_RISK_WEIGHT_THRIFT" hidden="1">"c25072"</definedName>
    <definedName name="IQ_ALL_OTHER_DEPOSITS_FOREIGN_DEP_FFIEC" hidden="1">"c15347"</definedName>
    <definedName name="IQ_ALL_OTHER_FINANCIAL_ASSETS_AMOUNTS_NETTED_THRIFT" hidden="1">"c25516"</definedName>
    <definedName name="IQ_ALL_OTHER_FINANCIAL_ASSETS_LEVEL_1_THRIFT" hidden="1">"c25512"</definedName>
    <definedName name="IQ_ALL_OTHER_FINANCIAL_ASSETS_LEVEL_2_THRIFT" hidden="1">"c25513"</definedName>
    <definedName name="IQ_ALL_OTHER_FINANCIAL_ASSETS_LEVEL_3_THRIFT" hidden="1">"c25514"</definedName>
    <definedName name="IQ_ALL_OTHER_FINANCIAL_ASSETS_TOTAL_AFTER_NETTING_THRIFT" hidden="1">"c25517"</definedName>
    <definedName name="IQ_ALL_OTHER_FINANCIAL_ASSETS_TOTAL_BEFORE_NETTING_THRIFT" hidden="1">"c25515"</definedName>
    <definedName name="IQ_ALL_OTHER_FINANCIAL_LIABILITIES_AMOUNTS_NETTED_THRIFT" hidden="1">"c25558"</definedName>
    <definedName name="IQ_ALL_OTHER_FINANCIAL_LIABILITIES_LEVEL_1_THRIFT" hidden="1">"c25554"</definedName>
    <definedName name="IQ_ALL_OTHER_FINANCIAL_LIABILITIES_LEVEL_2_THRIFT" hidden="1">"c25555"</definedName>
    <definedName name="IQ_ALL_OTHER_FINANCIAL_LIABILITIES_LEVEL_3_THRIFT" hidden="1">"c25556"</definedName>
    <definedName name="IQ_ALL_OTHER_FINANCIAL_LIABILITIES_TOTAL_AFTER_NETTING_THRIFT" hidden="1">"c25559"</definedName>
    <definedName name="IQ_ALL_OTHER_FINANCIAL_LIABILITIES_TOTAL_BEFORE_NETTING_THRIFT" hidden="1">"c25557"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EXCL_CONSUMER_LL_REC_DOM_FFIEC" hidden="1">"c25857"</definedName>
    <definedName name="IQ_ALL_OTHER_LOANS_EXCL_CONSUMER_LL_REC_FFIEC" hidden="1">"c25853"</definedName>
    <definedName name="IQ_ALL_OTHER_LOANS_LOSS_SHARING_DUE_30_89_FFIEC" hidden="1">"c27085"</definedName>
    <definedName name="IQ_ALL_OTHER_LOANS_LOSS_SHARING_DUE_90_FFIEC" hidden="1">"c27125"</definedName>
    <definedName name="IQ_ALL_OTHER_LOANS_LOSS_SHARING_NON_ACCRUAL_FFIEC" hidden="1">"c27165"</definedName>
    <definedName name="IQ_ALL_OTHER_LOANS_RECOV_FFIEC" hidden="1">"c13205"</definedName>
    <definedName name="IQ_ALL_OTHER_LOANS_RSTRC_DUE_30_89_FFIEC" hidden="1">"c27099"</definedName>
    <definedName name="IQ_ALL_OTHER_LOANS_RSTRC_DUE_90_FFIEC" hidden="1">"c27139"</definedName>
    <definedName name="IQ_ALL_OTHER_LOANS_RSTRC_NON_ACCRUAL_FFIEC" hidden="1">"c27179"</definedName>
    <definedName name="IQ_ALL_OTHER_LOANS_RSTRC_TERMS_FFIEC" hidden="1">"c27030"</definedName>
    <definedName name="IQ_ALL_OTHER_SEC_1_4_DOM_CHARGE_OFFS_FFIEC" hidden="1">"c25842"</definedName>
    <definedName name="IQ_ALL_OTHER_SEC_1_4_DOM_RECOV_FFIEC" hidden="1">"c25843"</definedName>
    <definedName name="IQ_ALL_OTHER_SEC_1_4_DUE_30_89_FFIEC" hidden="1">"c25835"</definedName>
    <definedName name="IQ_ALL_OTHER_SEC_1_4_DUE_90_FFIEC" hidden="1">"c25836"</definedName>
    <definedName name="IQ_ALL_OTHER_SEC_1_4_NON_ACCRUAL_FFIEC" hidden="1">"c25837"</definedName>
    <definedName name="IQ_ALL_OTHER_TRADING_LIABILITIES_DOM_FFIEC" hidden="1">"c12942"</definedName>
    <definedName name="IQ_ALL_OTHER_UNUSED_FFIEC" hidden="1">"c25861"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_MORTGAGE_LL_LOSSES_THRIFT" hidden="1">"c24851"</definedName>
    <definedName name="IQ_ALLOW_NON_MORTGAGE_LOAN_LL_THRIFT" hidden="1">"c24867"</definedName>
    <definedName name="IQ_ALLOWABLE_T2_CAPITAL_FFIEC" hidden="1">"c13150"</definedName>
    <definedName name="IQ_ALLOWABLE_TIER_2_CAPITAL_T2_THRIFT" hidden="1">"c25046"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AMT_INCLUDED_IN_ALLOWANCE_LOAN_LEASE_LOSSES_PURCHASED_CREDIT_IMPAIRED_LOANS_THRIFT" hidden="1">"c25239"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LLOWANCES_LL_LOSSES_T2_THRIFT" hidden="1">"c25043"</definedName>
    <definedName name="IQ_ALPHA_SCORE_DATE" hidden="1">"c25923"</definedName>
    <definedName name="IQ_AMORT_EXP_IMPAIRMENT_OTHER_INTANGIBLE_ASSETS_FFIEC" hidden="1">"c13026"</definedName>
    <definedName name="IQ_AMORT_LOAN_SERVICING_ASSETS_LIABILITIES_THRIFT" hidden="1">"c24767"</definedName>
    <definedName name="IQ_AMORTIZATION" hidden="1">"c1591"</definedName>
    <definedName name="IQ_AMOUNT_FINANCIAL_LOC_CONVEYED_FFIEC" hidden="1">"c13250"</definedName>
    <definedName name="IQ_AMOUNT_PERFORMANCE_LOC_CONVEYED_FFIEC" hidden="1">"c13252"</definedName>
    <definedName name="IQ_AMT_DIRECT_CREDIT_SUBSTITUTES_ASSETS_THRIFT" hidden="1">"c25616"</definedName>
    <definedName name="IQ_AMT_LOW_LEVEL_RECOURSE_RESIDUAL_INTERESTS_BEFORE_RISK_WEIGHTING_THRIFT" hidden="1">"c25074"</definedName>
    <definedName name="IQ_AMT_NONINTEREST_BEARING_TRANSACTION_ACCOUNTS_MORE_THAN_250000_THRIFT" hidden="1">"c25582"</definedName>
    <definedName name="IQ_AMT_OUT" hidden="1">"c2145"</definedName>
    <definedName name="IQ_AMT_RECOURSE_OBLIGATIONS_ASSETS_THRIFT" hidden="1">"c25617"</definedName>
    <definedName name="IQ_AMT_RECOURSE_OBLIGATIONS_LOANS_THRIFT" hidden="1">"c25618"</definedName>
    <definedName name="IQ_AMT_RECOURSE_OBLIGATIONS_LOANS_WHERE_RECOURSE_IS_120_DAYS_LESS_THRIFT" hidden="1">"c25619"</definedName>
    <definedName name="IQ_AMT_RECOURSE_OBLIGATIONS_LOANS_WHERE_RECOURSE_IS_GREATER_THAN_120_DAYS_THRIFT" hidden="1">"c25620"</definedName>
    <definedName name="IQ_AMT_THIS_QUARTER_TROUBLED_DEBT_RESTRUCTURED_THRIFT" hidden="1">"c25229"</definedName>
    <definedName name="IQ_ANALYST_COVERAGE_DATE" hidden="1">"c27294"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OCI_THRIFT" hidden="1">"c24920"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IC_THRIFT" hidden="1">"c24918"</definedName>
    <definedName name="IQ_APPLICABLE_INCOME_TAXES_AVG_ASSETS_THRIFT" hidden="1">"c25657"</definedName>
    <definedName name="IQ_APPLICABLE_INCOME_TAXES_FTE_FFIEC" hidden="1">"c13853"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"c16134"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SEC_INV_SEC_THRIFT" hidden="1">"c25674"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EXCLUDED_PURPOSES_OTS_ASSESSMENT_COMPLEXITY_COMPONENT_MANAGED_ASSETS_THRIFT" hidden="1">"c25356"</definedName>
    <definedName name="IQ_ASSETS_EXCLUDED_PURPOSES_OTS_ASSESSMENT_COMPLEXITY_COMPONENT_NONMANAGED_ASSETS_THRIFT" hidden="1">"c25378"</definedName>
    <definedName name="IQ_ASSETS_FAIR_VALUE" hidden="1">"c13843"</definedName>
    <definedName name="IQ_ASSETS_HFS_THRIFT" hidden="1">"c24934"</definedName>
    <definedName name="IQ_ASSETS_LEVEL_1" hidden="1">"c13839"</definedName>
    <definedName name="IQ_ASSETS_LEVEL_2" hidden="1">"c13840"</definedName>
    <definedName name="IQ_ASSETS_LEVEL_3" hidden="1">"c13841"</definedName>
    <definedName name="IQ_ASSETS_LOSS_SHARING_DEBT_SEC_FFIEC" hidden="1">"c25867"</definedName>
    <definedName name="IQ_ASSETS_LOSS_SHARING_FFIEC" hidden="1">"c25864"</definedName>
    <definedName name="IQ_ASSETS_LOSS_SHARING_LL_FFIEC" hidden="1">"c25865"</definedName>
    <definedName name="IQ_ASSETS_LOSS_SHARING_OREO_FFIEC" hidden="1">"c25866"</definedName>
    <definedName name="IQ_ASSETS_LOSS_SHARING_OTHER_FFIEC" hidden="1">"c25868"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NON_INCLUDABLE_SUBS_ADJUSTED_ASSETS_THRIFT" hidden="1">"c25031"</definedName>
    <definedName name="IQ_ASSETS_OPER_LEASE_DEPR" hidden="1">"c2070"</definedName>
    <definedName name="IQ_ASSETS_OPER_LEASE_GROSS" hidden="1">"c2071"</definedName>
    <definedName name="IQ_ASSETS_PER_EMPLOYEE_THRIFT" hidden="1">"c25783"</definedName>
    <definedName name="IQ_ASSETS_REPRICE_ASSETS_TOT_FFIEC" hidden="1">"c13454"</definedName>
    <definedName name="IQ_ASSETS_RISK_WEIGHT_THRIFT" hidden="1">"c25076"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CHARGE_OFFS_FFIEC" hidden="1">"c27055"</definedName>
    <definedName name="IQ_AUTO_LOANS_DUE_30_89_FFIEC" hidden="1">"c27057"</definedName>
    <definedName name="IQ_AUTO_LOANS_DUE_90_FFIEC" hidden="1">"c27058"</definedName>
    <definedName name="IQ_AUTO_LOANS_EXCD_10_RSTRC_DUE_30_89_FFIEC" hidden="1">"c27104"</definedName>
    <definedName name="IQ_AUTO_LOANS_EXCD_10_RSTRC_DUE_90_FFIEC" hidden="1">"c27144"</definedName>
    <definedName name="IQ_AUTO_LOANS_EXCD_10_RSTRC_NON_ACCRUAL_FFIEC" hidden="1">"c27184"</definedName>
    <definedName name="IQ_AUTO_LOANS_FAIR_VAL_DOM_FFIEC" hidden="1">"c27043"</definedName>
    <definedName name="IQ_AUTO_LOANS_FAIR_VAL_FFIEC" hidden="1">"c27039"</definedName>
    <definedName name="IQ_AUTO_LOANS_FFIEC" hidden="1">"c27007"</definedName>
    <definedName name="IQ_AUTO_LOANS_LL_REC_FFIEC" hidden="1">"c27011"</definedName>
    <definedName name="IQ_AUTO_LOANS_LOSS_SHARING_DUE_30_89_FFIEC" hidden="1">"c27083"</definedName>
    <definedName name="IQ_AUTO_LOANS_LOSS_SHARING_DUE_90_FFIEC" hidden="1">"c27123"</definedName>
    <definedName name="IQ_AUTO_LOANS_LOSS_SHARING_FFIEC" hidden="1">"c27200"</definedName>
    <definedName name="IQ_AUTO_LOANS_LOSS_SHARING_NON_ACCRUAL_FFIEC" hidden="1">"c27163"</definedName>
    <definedName name="IQ_AUTO_LOANS_NON_ACCRUAL_FFIEC" hidden="1">"c27059"</definedName>
    <definedName name="IQ_AUTO_LOANS_RECOV_FFIEC" hidden="1">"c27056"</definedName>
    <definedName name="IQ_AUTO_LOANS_RSTRC_TERMS_FFIEC" hidden="1">"c27035"</definedName>
    <definedName name="IQ_AUTO_LOANS_THRIFT" hidden="1">"c24862"</definedName>
    <definedName name="IQ_AUTO_LOANS_TOTAL_LOANS" hidden="1">"c15713"</definedName>
    <definedName name="IQ_AUTO_LOANS_TRADING_DOM_FFIEC" hidden="1">"c27014"</definedName>
    <definedName name="IQ_AUTO_LOANS_UNPAID_PRIN_FAIR_VAL_DOM_FFIEC" hidden="1">"c27045"</definedName>
    <definedName name="IQ_AUTO_LOANS_UNPAID_PRIN_FAIR_VAL_FFIEC" hidden="1">"c27041"</definedName>
    <definedName name="IQ_AUTO_LOANS_UNPAID_PRIN_FAIR_VAL_TRADING_DOM_FFIEC" hidden="1">"c27049"</definedName>
    <definedName name="IQ_AUTO_LOANS_UNPAID_PRIN_FAIR_VAL_TRADING_FFIEC" hidden="1">"c27047"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SALE_SEC_FFIEC" hidden="1">"c12791"</definedName>
    <definedName name="IQ_AVERAGE_DEPOSITS" hidden="1">"c15256"</definedName>
    <definedName name="IQ_AVERAGE_INTEREST_BEARING_DEPOSITS" hidden="1">"c15254"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DEPOSITS_ESCROWS_THRIFT" hidden="1">"c24950"</definedName>
    <definedName name="IQ_AVG_DEPOSITS_INV_EXCLUDING_NON_INT_EARNING_ITEMS_THRIFT" hidden="1">"c24947"</definedName>
    <definedName name="IQ_AVG_EARNING_ASSETS_AVG_ASSETS_THRIFT" hidden="1">"c25645"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BEARING_FUNDS_AVG_ASSETS_THRIFT" hidden="1">"c25646"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ARKETCAP_Z" hidden="1">"c25900"</definedName>
    <definedName name="IQ_AVG_MKTCAP" hidden="1">"c80"</definedName>
    <definedName name="IQ_AVG_MORTGAGE_LOANS_MBS_THRIFT" hidden="1">"c24948"</definedName>
    <definedName name="IQ_AVG_NON_MORTGAGE_LOANS_THRIFT" hidden="1">"c24949"</definedName>
    <definedName name="IQ_AVG_PORTFOLIO_DURATION" hidden="1">"c17693"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TOTAL_ASSETS_THRIFT" hidden="1">"c24946"</definedName>
    <definedName name="IQ_AVG_TOTAL_BORROWINGS_THRIFT" hidden="1">"c24951"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SHEET_AP" hidden="1">"c25883"</definedName>
    <definedName name="IQ_BALANCE_SHEET_AP_CO" hidden="1">"c25884"</definedName>
    <definedName name="IQ_BALANCE_SHEET_INDUSTRY" hidden="1">"c25879"</definedName>
    <definedName name="IQ_BALANCE_SHEET_INDUSTRY_CO" hidden="1">"c25880"</definedName>
    <definedName name="IQ_BALANCE_SHEET_STANDARD" hidden="1">"c25881"</definedName>
    <definedName name="IQ_BALANCE_SHEET_STANDARD_CO" hidden="1">"c25882"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NK_DEBT" hidden="1">"c2544"</definedName>
    <definedName name="IQ_BANK_DEBT_PCT" hidden="1">"c2545"</definedName>
    <definedName name="IQ_BANK_LOAN_LIST" hidden="1">"c13507"</definedName>
    <definedName name="IQ_BANK_OWNED_LIFE_INSURANCE_THRIFT" hidden="1">"c24884"</definedName>
    <definedName name="IQ_BANKING_FEES_OPERATING_INC_FFIEC" hidden="1">"c13386"</definedName>
    <definedName name="IQ_BANKS_FOREIGN_COUNTRIES_NON_TRANS_ACCTS_FFIEC" hidden="1">"c15326"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EL" hidden="1">"c26996"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EGINNING_BALANCE_GVA_THRIFT" hidden="1">"c25091"</definedName>
    <definedName name="IQ_BEGINNING_BALANCE_REPORTED_QUARTERLY_BALANCE_GVA_THRIFT" hidden="1">"c25090"</definedName>
    <definedName name="IQ_BEGINNING_BALANCE_REPORTED_QUARTERLY_BALANCE_SVA_THRIFT" hidden="1">"c25098"</definedName>
    <definedName name="IQ_BEGINNING_BALANCE_REPORTED_QUARTERLY_BALANCE_TVA_THRIFT" hidden="1">"c25105"</definedName>
    <definedName name="IQ_BEGINNING_BALANCE_SVA_THRIFT" hidden="1">"c25099"</definedName>
    <definedName name="IQ_BEGINNING_BALANCE_TVA_THRIFT" hidden="1">"c25106"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DEPOSITS_TOTAL_DEPOSITS_THRIFT" hidden="1">"c25781"</definedName>
    <definedName name="IQ_BROKER_ORIGINATED_DEPOSITS_FULLY_INSURED_100000_THROUGH_250000_THRIFT" hidden="1">"c24980"</definedName>
    <definedName name="IQ_BROKER_ORIGINATED_DEPOSITS_FULLY_INSURED_LESS_THAN_100000_THRIFT" hidden="1">"c24979"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CM" hidden="1">"c111"</definedName>
    <definedName name="IQ_CAPEX_FIN" hidden="1">"c112"</definedName>
    <definedName name="IQ_CAPEX_INS" hidden="1">"c113"</definedName>
    <definedName name="IQ_CAPEX_PCT_REV" hidden="1">"c19144"</definedName>
    <definedName name="IQ_CAPEX_UTI" hidden="1">"c114"</definedName>
    <definedName name="IQ_CAPITAL_ALLOCATION_ADJUSTMENT_FOREIGN_FFIEC" hidden="1">"c15389"</definedName>
    <definedName name="IQ_CAPITAL_CONTRIBUTIONS_SAVINGS_ASSOCIATION_THRIFT" hidden="1">"c25014"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_THRIFT" hidden="1">"c24763"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RRYING_AMT_DEBT_SEC_COVERED_FDIC_LOSS_SHARING_AGREEMENTS_THRIFT" hidden="1">"c24944"</definedName>
    <definedName name="IQ_CARRYING_AMT_LOANS_LEASES_COVERED_FDIC_LOSS_SHARING_AGREEMENTS_THRIFT" hidden="1">"c24942"</definedName>
    <definedName name="IQ_CARRYING_AMT_OTHER_ASSETS_COVERED_FDIC_LOSS_SHARING_AGREEMENTS_THRIFT" hidden="1">"c24945"</definedName>
    <definedName name="IQ_CARRYING_AMT_RE_OWNED_COVERED_FDIC_LOSS_SHARING_AGREEMENTS_THRIFT" hidden="1">"c24943"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THRIFT" hidden="1">"c25634"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LIGIBLE_0_PCT_RISK_WEIGHT_THRIFT" hidden="1">"c25051"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P" hidden="1">"c25889"</definedName>
    <definedName name="IQ_CASH_FLOW_AP_CO" hidden="1">"c25890"</definedName>
    <definedName name="IQ_CASH_FLOW_INDUSTRY" hidden="1">"c25885"</definedName>
    <definedName name="IQ_CASH_FLOW_INDUSTRY_CO" hidden="1">"c25886"</definedName>
    <definedName name="IQ_CASH_FLOW_STANDARD" hidden="1">"c25887"</definedName>
    <definedName name="IQ_CASH_FLOW_STANDARD_CO" hidden="1">"c25888"</definedName>
    <definedName name="IQ_CASH_FOREIGN_BRANCH_OTHER_US_BANKS_FFIEC" hidden="1">"c15282"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NON_INT_EARNING_DEPOSITS_THRIFT" hidden="1">"c24818"</definedName>
    <definedName name="IQ_CASH_OPER" hidden="1">"c122"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ATASTROPHIC_LOSSES" hidden="1">"c17694"</definedName>
    <definedName name="IQ_CC_RELATED_DUE_90_FFIEC" hidden="1">"c25833"</definedName>
    <definedName name="IQ_CC_RELATED_LOANS_DUE_30_89_FFIEC" hidden="1">"c25832"</definedName>
    <definedName name="IQ_CC_RELATED_NON_ACCRUAL_FFIEC" hidden="1">"c25834"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_SHARE" hidden="1">"c27339"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GVA_THRIFT" hidden="1">"c25096"</definedName>
    <definedName name="IQ_CHARGE_OFFS_NET" hidden="1">"c163"</definedName>
    <definedName name="IQ_CHARGE_OFFS_RECOVERED" hidden="1">"c164"</definedName>
    <definedName name="IQ_CHARGE_OFFS_SVA_THRIFT" hidden="1">"c25103"</definedName>
    <definedName name="IQ_CHARGE_OFFS_TOTAL_AVG_LOANS" hidden="1">"c165"</definedName>
    <definedName name="IQ_CHARGE_OFFS_TVA_THRIFT" hidden="1">"c25110"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INESE_SHORT_NATIVE_TICKER" hidden="1">"c27236"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IMS_DOMESTIC_DEPOSITORY_INSTITUTIONS_ELIGIBLE_20_PCT_RISK_WEIGHT_THRIFT" hidden="1">"c25060"</definedName>
    <definedName name="IQ_CLAIMS_FHLBS_ELIGIBLE_20_PCT_RISK_WEIGHT_THRIFT" hidden="1">"c25058"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AMILY_LOANS_TOTAL_LOANS_THRIFT" hidden="1">"c25742"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LOANS_GROSS_LOANS_THRIFT" hidden="1">"c25724"</definedName>
    <definedName name="IQ_CLOSED_END_LOANS_RISK_BASED_CAPITAL_THRIFT" hidden="1">"c25709"</definedName>
    <definedName name="IQ_CLOSED_END_SEC_1_4_1ST_LIENS_CHARGE_OFFS_FFIEC" hidden="1">"c13169"</definedName>
    <definedName name="IQ_CLOSED_END_SEC_1_4_1ST_LIENS_DOM_LOSS_SHARING_DUE_30_89_FFIEC" hidden="1">"c27075"</definedName>
    <definedName name="IQ_CLOSED_END_SEC_1_4_1ST_LIENS_DOM_LOSS_SHARING_DUE_90_FFIEC" hidden="1">"c27115"</definedName>
    <definedName name="IQ_CLOSED_END_SEC_1_4_1ST_LIENS_DOM_LOSS_SHARING_FFIEC" hidden="1">"c27192"</definedName>
    <definedName name="IQ_CLOSED_END_SEC_1_4_1ST_LIENS_DOM_LOSS_SHARING_NON_ACCRUAL_FFIEC" hidden="1">"c27155"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OM_LOSS_SHARING_DUE_30_89_FFIEC" hidden="1">"c27076"</definedName>
    <definedName name="IQ_CLOSED_END_SEC_1_4_JR_LIENS_DOM_LOSS_SHARING_DUE_90_FFIEC" hidden="1">"c27116"</definedName>
    <definedName name="IQ_CLOSED_END_SEC_1_4_JR_LIENS_DOM_LOSS_SHARING_FFIEC" hidden="1">"c27193"</definedName>
    <definedName name="IQ_CLOSED_END_SEC_1_4_JR_LIENS_DOM_LOSS_SHARING_NON_ACCRUAL_FFIEC" hidden="1">"c27156"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D_PURCHASED_COMM_NON_MORTGAGE_LOANS_THRIFT" hidden="1">"c25339"</definedName>
    <definedName name="IQ_CLOSED_PURCHASED_CONSUMER_NON_MORTGAGE_LOANS_THRIFT" hidden="1">"c25341"</definedName>
    <definedName name="IQ_CLOSEPRICE" hidden="1">"c174"</definedName>
    <definedName name="IQ_CLOSEPRICE_ADJ" hidden="1">"c2115"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THRIFT" hidden="1">"c24903"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ATERALIZED_MBS_ISSUED_GUARANTEED_FNMA_FHLMC_GNMA_THRIFT" hidden="1">"c24834"</definedName>
    <definedName name="IQ_COLLECTIVE_INV_FUNDS_COMMON_TRUST_FUNDS_DOMESTIC_EQUITY_MARKET_VALUE_FUNDED_ASSETS_THRIFT" hidden="1">"c25445"</definedName>
    <definedName name="IQ_COLLECTIVE_INV_FUNDS_COMMON_TRUST_FUNDS_DOMESTIC_EQUITY_NUMBER_FUNDS_THRIFT" hidden="1">"c25446"</definedName>
    <definedName name="IQ_COLLECTIVE_INV_FUNDS_COMMON_TRUST_FUNDS_INTERNATIONALGLOBAL_EQUITY_MARKET_VALUE_FUNDED_ASSETS_THRIFT" hidden="1">"c25447"</definedName>
    <definedName name="IQ_COLLECTIVE_INV_FUNDS_COMMON_TRUST_FUNDS_INTERNATIONALGLOBAL_EQUITY_NUMBER_FUNDS_THRIFT" hidden="1">"c25448"</definedName>
    <definedName name="IQ_COLLECTIVE_INV_FUNDS_COMMON_TRUST_FUNDS_MUNICIPAL_BOND_MARKET_VALUE_FUNDED_ASSETS_THRIFT" hidden="1">"c25453"</definedName>
    <definedName name="IQ_COLLECTIVE_INV_FUNDS_COMMON_TRUST_FUNDS_MUNICIPAL_BOND_NUMBER_FUNDS_THRIFT" hidden="1">"c25454"</definedName>
    <definedName name="IQ_COLLECTIVE_INV_FUNDS_COMMON_TRUST_FUNDS_SHORT_TERM_INVESTMENTSMONEY_MARKET_MARKET_VALUE_FUNDED_ASSETS_THRIFT" hidden="1">"c25455"</definedName>
    <definedName name="IQ_COLLECTIVE_INV_FUNDS_COMMON_TRUST_FUNDS_SHORT_TERM_INVESTMENTSMONEY_MARKET_NUMBER_FUNDS_THRIFT" hidden="1">"c25456"</definedName>
    <definedName name="IQ_COLLECTIVE_INV_FUNDS_COMMON_TRUST_FUNDS_SPECIALTYOTHER_MARKET_VALUE_FUNDED_ASSETS_THRIFT" hidden="1">"c25457"</definedName>
    <definedName name="IQ_COLLECTIVE_INV_FUNDS_COMMON_TRUST_FUNDS_SPECIALTYOTHER_NUMBER_FUNDS_THRIFT" hidden="1">"c25458"</definedName>
    <definedName name="IQ_COLLECTIVE_INV_FUNDS_COMMON_TRUST_FUNDS_STOCKBOND_BLEND_MARKET_VALUE_FUNDED_ASSETS_THRIFT" hidden="1">"c25449"</definedName>
    <definedName name="IQ_COLLECTIVE_INV_FUNDS_COMMON_TRUST_FUNDS_STOCKBOND_BLEND_NUMBER_FUNDS_THRIFT" hidden="1">"c25450"</definedName>
    <definedName name="IQ_COLLECTIVE_INV_FUNDS_COMMON_TRUST_FUNDS_TAXABLE_BOND_MARKET_VALUE_FUNDED_ASSETS_THRIFT" hidden="1">"c25451"</definedName>
    <definedName name="IQ_COLLECTIVE_INV_FUNDS_COMMON_TRUST_FUNDS_TAXABLE_BOND_NUMBER_FUNDS_THRIFT" hidden="1">"c25452"</definedName>
    <definedName name="IQ_COLLECTIVE_INV_FUNDS_COMMON_TRUST_FUNDS_TOTAL_COLLECTIVE_INV_FUNDS_MARKET_VALUE_FUNDED_ASSETS_THRIFT" hidden="1">"c25459"</definedName>
    <definedName name="IQ_COLLECTIVE_INV_FUNDS_COMMON_TRUST_FUNDS_TOTAL_COLLECTIVE_INV_FUNDS_NUMBER_FUNDS_THRIFT" hidden="1">"c25460"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_LL_LOSS_SHARING_DUE_30_89_FFIEC" hidden="1">"c27081"</definedName>
    <definedName name="IQ_COMM_INDUST_LL_LOSS_SHARING_DUE_90_FFIEC" hidden="1">"c27121"</definedName>
    <definedName name="IQ_COMM_INDUST_LL_LOSS_SHARING_NON_ACCRUAL_FFIEC" hidden="1">"c27161"</definedName>
    <definedName name="IQ_COMM_INDUST_LOANS_QUARTERLY_AVG_FFIEC" hidden="1">"c27064"</definedName>
    <definedName name="IQ_COMM_INDUST_LOSS_SHARING_FFIEC" hidden="1">"c27198"</definedName>
    <definedName name="IQ_COMM_INDUST_NON_US_ADR_LOANS_RSTRC_DUE_30_89_FFIEC" hidden="1">"c27098"</definedName>
    <definedName name="IQ_COMM_INDUST_NON_US_ADR_LOANS_RSTRC_NON_ACCRUAL_FFIEC" hidden="1">"c27178"</definedName>
    <definedName name="IQ_COMM_INDUST_NON_US_ADR_LOANS_RSTRC_TERMS_FFIEC" hidden="1">"c27029"</definedName>
    <definedName name="IQ_COMM_INDUST_US_ADR_LOANS_RSTRC_DUE_30_89_FFIEC" hidden="1">"c27097"</definedName>
    <definedName name="IQ_COMM_INDUST_US_ADR_LOANS_RSTRC_DUE_90_FFIEC" hidden="1">"c27137"</definedName>
    <definedName name="IQ_COMM_INDUST_US_ADR_LOANS_RSTRC_NON_ACCRUAL_FFIEC" hidden="1">"c27177"</definedName>
    <definedName name="IQ_COMM_INDUST_US_ADR_LOANS_RSTRC_TERMS_FFIEC" hidden="1">"c27028"</definedName>
    <definedName name="IQ_COMM_INDUSTRIA_NONL_US_ADR_LOANS_RSTRC_DUE_90_FFIEC" hidden="1">"c27138"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LETTERS_CREDIT_THRIFT" hidden="1">"c25613"</definedName>
    <definedName name="IQ_COMM_LOANS_GROSS_LOANS_THRIFT" hidden="1">"c25732"</definedName>
    <definedName name="IQ_COMM_LOANS_NON_MORTGAGE_ADJUSTED_NCOS_TOTAL_THRIFT" hidden="1">"c25210"</definedName>
    <definedName name="IQ_COMM_LOANS_NON_MORTGAGE_GVA_CHARGE_OFFS_THRIFT" hidden="1">"c25125"</definedName>
    <definedName name="IQ_COMM_LOANS_NON_MORTGAGE_GVA_RECOVERIES_THRIFT" hidden="1">"c25156"</definedName>
    <definedName name="IQ_COMM_LOANS_NON_MORTGAGE_SVA_PROVISIONS_TRANSFERS_FROM_GVA_TOTAL_THRIFT" hidden="1">"c25179"</definedName>
    <definedName name="IQ_COMM_LOANS_RISK_BASED_CAPITAL_THRIFT" hidden="1">"c25717"</definedName>
    <definedName name="IQ_COMM_LOANS_THRIFT" hidden="1">"c24853"</definedName>
    <definedName name="IQ_COMM_LOANS_TOTAL_LOANS_THRIFT" hidden="1">"c25749"</definedName>
    <definedName name="IQ_COMM_MBS_ISSUED_FNMA_TRADING_DOM_FFIEC" hidden="1">"c27012"</definedName>
    <definedName name="IQ_COMM_MBS_ISSUED_FNMA_TRADING_FFIEC" hidden="1">"c27005"</definedName>
    <definedName name="IQ_COMM_MBS_TRADING_DOM_FFIEC" hidden="1">"c27354"</definedName>
    <definedName name="IQ_COMM_MBS_TRADING_FFIEC" hidden="1">"c27353"</definedName>
    <definedName name="IQ_COMM_NON_MORTGAGE_LOANS_DUE_30_89_THRIFT" hidden="1">"c25247"</definedName>
    <definedName name="IQ_COMM_NON_MORTGAGE_LOANS_DUE_90_THRIFT" hidden="1">"c25268"</definedName>
    <definedName name="IQ_COMM_NON_MORTGAGE_LOANS_NON_ACCRUAL_THRIFT" hidden="1">"c25289"</definedName>
    <definedName name="IQ_COMM_RE_FARM_LOANS_TOT_LOANS_FFIEC" hidden="1">"c13872"</definedName>
    <definedName name="IQ_COMM_RE_FARM_LOANS_TOTAL_LOANS_THRIFT" hidden="1">"c25743"</definedName>
    <definedName name="IQ_COMM_RE_LOANS_GROSS_LOANS_THRIFT" hidden="1">"c25725"</definedName>
    <definedName name="IQ_COMM_RE_LOANS_RISK_BASED_CAPITAL_THRIFT" hidden="1">"c25710"</definedName>
    <definedName name="IQ_COMM_RE_NONFARM_NONRES_TOT_LOANS_FFIEC" hidden="1">"c13871"</definedName>
    <definedName name="IQ_COMM_RE_NONFARM_NONRESIDENTIAL_TOTAL_LOANS_THRIFT" hidden="1">"c25746"</definedName>
    <definedName name="IQ_COMMERCIAL_DOM" hidden="1">"c177"</definedName>
    <definedName name="IQ_COMMERCIAL_FIRE_WRITTEN" hidden="1">"c178"</definedName>
    <definedName name="IQ_COMMERCIAL_IND_UNUSED_FFIEC" hidden="1">"c25859"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ON_ACCRUAL_FFIEC" hidden="1">"c13323"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ISK_BASED_FFIEC" hidden="1">"c13431"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" hidden="1">"c177"</definedName>
    <definedName name="IQ_COMMERCIAL_LOANS_TOTAL_LOANS" hidden="1">"c15709"</definedName>
    <definedName name="IQ_COMMERCIAL_MORT" hidden="1">"c179"</definedName>
    <definedName name="IQ_COMMERCIAL_MORT_LOANS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GROSS_LOANS_FFIEC" hidden="1">"c13400"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SELL_SEC_OTHER_OFF_BS_FFIEC" hidden="1">"c13129"</definedName>
    <definedName name="IQ_COMMODITY_EXPOSURE_FFIEC" hidden="1">"c13061"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DIVIDENDS_DECLARED_SAVINGS_ASSOCIATION_THRIFT" hidden="1">"c25011"</definedName>
    <definedName name="IQ_COMMON_STOCK_FFIEC" hidden="1">"c12876"</definedName>
    <definedName name="IQ_COMMON_STOCK_THRIFT" hidden="1">"c24917"</definedName>
    <definedName name="IQ_COMMON_TRUST_FUNDS_COLLECTIVE_INV_FUNDS_ALL_OTHER_ACCOUNTS_THRIFT" hidden="1">"c25430"</definedName>
    <definedName name="IQ_COMMON_TRUST_FUNDS_COLLECTIVE_INV_FUNDS_EMPLOYEE_BENEFIT_RETIREMENT_RELATED_ACCOUNTS_THRIFT" hidden="1">"c25414"</definedName>
    <definedName name="IQ_COMMON_TRUST_FUNDS_COLLECTIVE_INV_FUNDS_PERSONAL_TRUST_AGENCY_INV_MANAGEMENT_ACCOUNTS_THRIFT" hidden="1">"c25398"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MAIN_FAX" hidden="1">"c18016"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LOSS_SHARING_FFIEC" hidden="1">"c27207"</definedName>
    <definedName name="IQ_CONST_LAND_DEVELOP_OTHER_DOM_RECOV_FFIEC" hidden="1">"c13632"</definedName>
    <definedName name="IQ_CONSTITUENTS" hidden="1">"c19169"</definedName>
    <definedName name="IQ_CONSTITUENTS_ADD" hidden="1">"c26979"</definedName>
    <definedName name="IQ_CONSTITUENTS_ADD_DATE" hidden="1">"c26980"</definedName>
    <definedName name="IQ_CONSTITUENTS_NAME" hidden="1">"c19192"</definedName>
    <definedName name="IQ_CONSTITUENTS_REMOVE" hidden="1">"c26981"</definedName>
    <definedName name="IQ_CONSTITUENTS_REMOVE_DATE" hidden="1">"c26982"</definedName>
    <definedName name="IQ_CONSTRUCTION_1_4_DWELLING_UNITS_THRIFT" hidden="1">"c24839"</definedName>
    <definedName name="IQ_CONSTRUCTION_LAND_DEV_DOM_FFIEC" hidden="1">"c15267"</definedName>
    <definedName name="IQ_CONSTRUCTION_LAND_DEVELOPMENT_LOANS_TOTAL_LOANS_THRIFT" hidden="1">"c25744"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GROSS_LOANS_THRIFT" hidden="1">"c25726"</definedName>
    <definedName name="IQ_CONSTRUCTION_LOANS_IN_PROCESS_FORECLOSURE_THRIFT" hidden="1">"c25303"</definedName>
    <definedName name="IQ_CONSTRUCTION_LOANS_RISK_BASED_CAPITAL_THRIFT" hidden="1">"c25711"</definedName>
    <definedName name="IQ_CONSTRUCTION_LOANS_TOTAL_LOANS" hidden="1">"c15711"</definedName>
    <definedName name="IQ_CONSTRUCTION_MORTGAGE_LOANS_30_89_DAYS_PAST_DUE_STILL_ACCRUING_THRIFT" hidden="1">"c25240"</definedName>
    <definedName name="IQ_CONSTRUCTION_MORTGAGE_LOANS_DUE_90_THRIFT" hidden="1">"c25261"</definedName>
    <definedName name="IQ_CONSTRUCTION_MORTGAGE_LOANS_FORECLOSED_DURING_QUARTER_THRIFT" hidden="1">"c25231"</definedName>
    <definedName name="IQ_CONSTRUCTION_MORTGAGE_LOANS_NON_ACCRUAL_THRIFT" hidden="1">"c25282"</definedName>
    <definedName name="IQ_CONSTRUCTION_MORTGAGE_LOANS_THRIFT" hidden="1">"c24838"</definedName>
    <definedName name="IQ_CONSTRUCTION_MULTIFAMILY_DWELLING_UNITS_THRIFT" hidden="1">"c24840"</definedName>
    <definedName name="IQ_CONSTRUCTION_NONRES_PROPERTY_THRIFT" hidden="1">"c24841"</definedName>
    <definedName name="IQ_CONSTRUCTION_RISK_BASED_FFIEC" hidden="1">"c13422"</definedName>
    <definedName name="IQ_CONSULTING_FFIEC" hidden="1">"c13055"</definedName>
    <definedName name="IQ_CONSUMER_AUTO_LOANS_DUE_90_THRIFT" hidden="1">"c25272"</definedName>
    <definedName name="IQ_CONSUMER_AUTO_LOANS_NON_MORTGAGE_ADJUSTED_NCOS_TOTAL_THRIFT" hidden="1">"c25214"</definedName>
    <definedName name="IQ_CONSUMER_AUTO_LOANS_NON_MORTGAGE_GVA_CHARGE_OFFS_THRIFT" hidden="1">"c25129"</definedName>
    <definedName name="IQ_CONSUMER_AUTO_LOANS_NON_MORTGAGE_GVA_RECOVERIES_THRIFT" hidden="1">"c25160"</definedName>
    <definedName name="IQ_CONSUMER_AUTO_LOANS_NON_MORTGAGE_LOANS_DUE_30_89_THRIFT" hidden="1">"c25251"</definedName>
    <definedName name="IQ_CONSUMER_AUTO_LOANS_NON_MORTGAGE_LOANS_NON_ACCRUAL_THRIFT" hidden="1">"c25293"</definedName>
    <definedName name="IQ_CONSUMER_AUTO_LOANS_NON_MORTGAGE_SVA_PROVISIONS_TRANSFERS_FROM_GVA_TOTAL_THRIFT" hidden="1">"c25183"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CREDIT_CARD_LINES_UNUSED_FFIEC" hidden="1">"c25862"</definedName>
    <definedName name="IQ_CONSUMER_CREDIT_CARDS_NON_MORTGAGE_ADJUSTED_NCOS_TOTAL_THRIFT" hidden="1">"c25216"</definedName>
    <definedName name="IQ_CONSUMER_CREDIT_CARDS_NON_MORTGAGE_GVA_CHARGE_OFFS_THRIFT" hidden="1">"c25131"</definedName>
    <definedName name="IQ_CONSUMER_CREDIT_CARDS_NON_MORTGAGE_GVA_RECOVERIES_THRIFT" hidden="1">"c25162"</definedName>
    <definedName name="IQ_CONSUMER_CREDIT_CARDS_NON_MORTGAGE_LOANS_DUE_30_89_THRIFT" hidden="1">"c25253"</definedName>
    <definedName name="IQ_CONSUMER_CREDIT_CARDS_NON_MORTGAGE_LOANS_DUE_90_THRIFT" hidden="1">"c25274"</definedName>
    <definedName name="IQ_CONSUMER_CREDIT_CARDS_NON_MORTGAGE_LOANS_NON_ACCRUAL_THRIFT" hidden="1">"c25295"</definedName>
    <definedName name="IQ_CONSUMER_CREDIT_CARDS_NON_MORTGAGE_SVA_PROVISIONS_TRANSFERS_FROM_GVA_TOTAL_THRIFT" hidden="1">"c25185"</definedName>
    <definedName name="IQ_CONSUMER_EDUCATION_LOANS_NON_MORTGAGE_ADJUSTED_NCOS_TOTAL_THRIFT" hidden="1">"c25213"</definedName>
    <definedName name="IQ_CONSUMER_EDUCATION_LOANS_NON_MORTGAGE_GVA_CHARGE_OFFS_THRIFT" hidden="1">"c25128"</definedName>
    <definedName name="IQ_CONSUMER_EDUCATION_LOANS_NON_MORTGAGE_GVA_RECOVERIES_THRIFT" hidden="1">"c25159"</definedName>
    <definedName name="IQ_CONSUMER_EDUCATION_LOANS_NON_MORTGAGE_SVA_PROVISIONS_TRANSFERS_FROM_GVA_TOTAL_THRIFT" hidden="1">"c25182"</definedName>
    <definedName name="IQ_CONSUMER_EDUCATION_NON_MORTGAGE_LOANS_DUE_30_89_THRIFT" hidden="1">"c25250"</definedName>
    <definedName name="IQ_CONSUMER_EDUCATION_NON_MORTGAGE_LOANS_DUE_90_THRIFT" hidden="1">"c25271"</definedName>
    <definedName name="IQ_CONSUMER_EDUCATION_NON_MORTGAGE_LOANS_NON_ACCRUAL_THRIFT" hidden="1">"c25292"</definedName>
    <definedName name="IQ_CONSUMER_HOME_IMPROVEMENT_LOANS_NON_MORTGAGE_ADJUSTED_NCOS_TOTAL_THRIFT" hidden="1">"c25212"</definedName>
    <definedName name="IQ_CONSUMER_HOME_IMPROVEMENT_LOANS_NON_MORTGAGE_GVA_CHARGE_OFFS_THRIFT" hidden="1">"c25127"</definedName>
    <definedName name="IQ_CONSUMER_HOME_IMPROVEMENT_LOANS_NON_MORTGAGE_GVA_RECOVERIES_THRIFT" hidden="1">"c25158"</definedName>
    <definedName name="IQ_CONSUMER_HOME_IMPROVEMENT_LOANS_NON_MORTGAGE_SVA_PROVISIONS_TRANSFERS_FROM_GVA_TOTAL_THRIFT" hidden="1">"c25181"</definedName>
    <definedName name="IQ_CONSUMER_HOME_IMPROVEMENT_NON_MORTGAGE_LOANS_DUE_30_89_THRIFT" hidden="1">"c25249"</definedName>
    <definedName name="IQ_CONSUMER_HOME_IMPROVEMENT_NON_MORTGAGE_LOANS_DUE_90_THRIFT" hidden="1">"c25270"</definedName>
    <definedName name="IQ_CONSUMER_HOME_IMPROVEMENT_NON_MORTGAGE_LOANS_NON_ACCRUAL_THRIFT" hidden="1">"c25291"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L_REC_FFIEC" hidden="1">"c25869"</definedName>
    <definedName name="IQ_CONSUMER_LOANS" hidden="1">"c223"</definedName>
    <definedName name="IQ_CONSUMER_LOANS_CHARGE_OFFS_FFIEC" hidden="1">"c25838"</definedName>
    <definedName name="IQ_CONSUMER_LOANS_DEPOSITS_NON_MORTGAGE_ADJUSTED_NCOS_TOTAL_THRIFT" hidden="1">"c25211"</definedName>
    <definedName name="IQ_CONSUMER_LOANS_DEPOSITS_NON_MORTGAGE_GVA_CHARGE_OFFS_THRIFT" hidden="1">"c25126"</definedName>
    <definedName name="IQ_CONSUMER_LOANS_DEPOSITS_NON_MORTGAGE_GVA_RECOVERIES_THRIFT" hidden="1">"c25157"</definedName>
    <definedName name="IQ_CONSUMER_LOANS_DEPOSITS_NON_MORTGAGE_LOANS_DUE_30_89_THRIFT" hidden="1">"c25248"</definedName>
    <definedName name="IQ_CONSUMER_LOANS_DEPOSITS_NON_MORTGAGE_LOANS_DUE_90_THRIFT" hidden="1">"c25269"</definedName>
    <definedName name="IQ_CONSUMER_LOANS_DEPOSITS_NON_MORTGAGE_LOANS_NON_ACCRUAL_THRIFT" hidden="1">"c25290"</definedName>
    <definedName name="IQ_CONSUMER_LOANS_DEPOSITS_NON_MORTGAGE_SVA_PROVISIONS_TRANSFERS_FROM_GVA_TOTAL_THRIFT" hidden="1">"c25180"</definedName>
    <definedName name="IQ_CONSUMER_LOANS_DEPOSITS_THRIFT" hidden="1">"c24859"</definedName>
    <definedName name="IQ_CONSUMER_LOANS_DUE_30_89_FFIEC" hidden="1">"c25829"</definedName>
    <definedName name="IQ_CONSUMER_LOANS_DUE_90_FFIEC" hidden="1">"c25830"</definedName>
    <definedName name="IQ_CONSUMER_LOANS_LL_REC_DOM_FFIEC" hidden="1">"c12911"</definedName>
    <definedName name="IQ_CONSUMER_LOANS_NON_ACCRUAL_FFIEC" hidden="1">"c25831"</definedName>
    <definedName name="IQ_CONSUMER_LOANS_QUARTERLY_AVG_FFIEC" hidden="1">"c27065"</definedName>
    <definedName name="IQ_CONSUMER_LOANS_RECOV_FFIEC" hidden="1">"c25839"</definedName>
    <definedName name="IQ_CONSUMER_LOANS_THRIFT" hidden="1">"c24858"</definedName>
    <definedName name="IQ_CONSUMER_LOANS_TOT_LOANS_FFIEC" hidden="1">"c13875"</definedName>
    <definedName name="IQ_CONSUMER_LOANS_TOTAL_LOANS" hidden="1">"c15712"</definedName>
    <definedName name="IQ_CONSUMER_LOANS_TOTAL_LOANS_THRIFT" hidden="1">"c25750"</definedName>
    <definedName name="IQ_CONSUMER_MOBILE_HOME_LOANS_NON_MORTGAGE_ADJUSTED_NCOS_TOTAL_THRIFT" hidden="1">"c25215"</definedName>
    <definedName name="IQ_CONSUMER_MOBILE_HOME_LOANS_NON_MORTGAGE_GVA_CHARGE_OFFS_THRIFT" hidden="1">"c25130"</definedName>
    <definedName name="IQ_CONSUMER_MOBILE_HOME_LOANS_NON_MORTGAGE_GVA_RECOVERIES_THRIFT" hidden="1">"c25161"</definedName>
    <definedName name="IQ_CONSUMER_MOBILE_HOME_LOANS_NON_MORTGAGE_LOANS_DUE_30_89_THRIFT" hidden="1">"c25252"</definedName>
    <definedName name="IQ_CONSUMER_MOBILE_HOME_LOANS_NON_MORTGAGE_LOANS_DUE_90_THRIFT" hidden="1">"c25273"</definedName>
    <definedName name="IQ_CONSUMER_MOBILE_HOME_LOANS_NON_MORTGAGE_LOANS_NON_ACCRUAL_THRIFT" hidden="1">"c25294"</definedName>
    <definedName name="IQ_CONSUMER_MOBILE_HOME_LOANS_NON_MORTGAGE_SVA_PROVISIONS_TRANSFERS_FROM_GVA_TOTAL_THRIFT" hidden="1">"c25184"</definedName>
    <definedName name="IQ_CONSUMER_OTHER_NON_MORTGAGE_ADJUSTED_NCOS_TOTAL_THRIFT" hidden="1">"c25217"</definedName>
    <definedName name="IQ_CONSUMER_OTHER_NON_MORTGAGE_GVA_RECOVERIES_THRIFT" hidden="1">"c25163"</definedName>
    <definedName name="IQ_CONSUMER_OTHER_NON_MORTGAGE_LOANS_DUE_30_89_THRIFT" hidden="1">"c25254"</definedName>
    <definedName name="IQ_CONSUMER_OTHER_NON_MORTGAGE_LOANS_DUE_90_THRIFT" hidden="1">"c25275"</definedName>
    <definedName name="IQ_CONSUMER_OTHER_NON_MORTGAGE_LOANS_GVA_CHARGE_OFFS_THRIFT" hidden="1">"c25132"</definedName>
    <definedName name="IQ_CONSUMER_OTHER_NON_MORTGAGE_LOANS_NON_ACCRUAL_THRIFT" hidden="1">"c25296"</definedName>
    <definedName name="IQ_CONSUMER_OTHER_NON_MORTGAGE_SVA_PROVISIONS_TRANSFERS_FROM_GVA_TOTAL_THRIFT" hidden="1">"c25186"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ASSETS_THRIFT" hidden="1">"c25622"</definedName>
    <definedName name="IQ_CONTINGENT_LIABILITIES" hidden="1">"c18873"</definedName>
    <definedName name="IQ_CONTINGENT_RENTAL" hidden="1">"c17746"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IB_COVERAGE_DATE" hidden="1">"c27242"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O_ID" hidden="1">"c15222"</definedName>
    <definedName name="IQ_COO_NAME" hidden="1">"c15221"</definedName>
    <definedName name="IQ_CORE_DEPOSITS_ASSETS_TOT_FFIEC" hidden="1">"c13442"</definedName>
    <definedName name="IQ_CORE_DEPOSITS_FFIEC" hidden="1">"c13862"</definedName>
    <definedName name="IQ_CORE_DEPOSITS_THRIFT" hidden="1">"c25089"</definedName>
    <definedName name="IQ_CORE_DEPOSITS_TOT_DEPOSITS_FFIEC" hidden="1">"c13911"</definedName>
    <definedName name="IQ_CORE_DEPOSITS_TOTAL_ASSETS_THRIFT" hidden="1">"c25699"</definedName>
    <definedName name="IQ_CORE_DEPOSITS_TOTAL_DEPOSITS_THRIFT" hidden="1">"c25782"</definedName>
    <definedName name="IQ_CORE_TIER_ONE_CAPITAL" hidden="1">"c15244"</definedName>
    <definedName name="IQ_CORE_TIER_ONE_CAPITAL_RATIO" hidden="1">"c15240"</definedName>
    <definedName name="IQ_CORP_DEPOSITS" hidden="1">"c26986"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" hidden="1">"c20636"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FTER_TAXES" hidden="1">"c20637"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TAXES" hidden="1">"c20638"</definedName>
    <definedName name="IQ_CORP_PROFITS_YOY" hidden="1">"c7283"</definedName>
    <definedName name="IQ_CORP_PROFITS_YOY_FC" hidden="1">"c8163"</definedName>
    <definedName name="IQ_CORPORATE_MUNICIPAL_TRUSTEESHIPS_NUMBER_ISSUES_THRIFT" hidden="1">"c25441"</definedName>
    <definedName name="IQ_CORPORATE_MUNICIPAL_TRUSTEESHIPS_PRINCIPAL_AMT_OUTSTANDING_THRIFT" hidden="1">"c25440"</definedName>
    <definedName name="IQ_CORPORATE_OVER_TOTAL" hidden="1">"c24733"</definedName>
    <definedName name="IQ_CORPORATE_TRUST_AGENCY_ACCOUNTS_INC_THRIFT" hidden="1">"c24805"</definedName>
    <definedName name="IQ_CORPORATE_TRUST_AGENCY_ACCOUNTS_MANAGED_ASSETS_THRIFT" hidden="1">"c25352"</definedName>
    <definedName name="IQ_CORPORATE_TRUST_AGENCY_ACCOUNTS_NONMANAGED_ASSETS_THRIFT" hidden="1">"c25373"</definedName>
    <definedName name="IQ_CORPORATE_TRUST_AGENCY_ACCOUNTS_NUMBER_MANAGED_ACCOUNTS_THRIFT" hidden="1">"c25363"</definedName>
    <definedName name="IQ_CORPORATE_TRUST_AGENCY_ACCOUNTS_NUMBER_NONMANAGED_ACCOUNTS_THRIFT" hidden="1">"c25385"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ED_FUNDS_PURCHASED_THRIFT" hidden="1">"c25681"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BEARING_DEPOSITS_THRIFT" hidden="1">"c25680"</definedName>
    <definedName name="IQ_COST_INT_DEPOSITS_FFIEC" hidden="1">"c13489"</definedName>
    <definedName name="IQ_COST_OTHER_BORROWED_FUNDS_THRIFT" hidden="1">"c25682"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ERPARTY_RISK" hidden="1">"c26989"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COMPANIES_ANALYST_ID" hidden="1">"c27241"</definedName>
    <definedName name="IQ_COVERED_COMPANIES_ANALYST_NAME" hidden="1">"c27240"</definedName>
    <definedName name="IQ_COVERED_COMPANIES_ID" hidden="1">"c27239"</definedName>
    <definedName name="IQ_COVERED_COMPANIES_NAME" hidden="1">"c27238"</definedName>
    <definedName name="IQ_COVERED_COMPANIES_TICKER" hidden="1">"c27293"</definedName>
    <definedName name="IQ_COVERED_POPS" hidden="1">"c16173"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PI_YOY_PCT" hidden="1">"c20639"</definedName>
    <definedName name="IQ_CPI_YOY_PCT_FC" hidden="1">"c20640"</definedName>
    <definedName name="IQ_CQ" hidden="1">5000</definedName>
    <definedName name="IQ_CREDIT_CARD_CHARGE_OFFS_RELATED_ACCRUED_INTEREST_THRIFT" hidden="1">"c25228"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GROSS_LOANS_THRIFT" hidden="1">"c25734"</definedName>
    <definedName name="IQ_CREDIT_CARD_LOANS_LOSS_SHARING_DUE_30_89_FFIEC" hidden="1">"c27082"</definedName>
    <definedName name="IQ_CREDIT_CARD_LOANS_LOSS_SHARING_DUE_90_FFIEC" hidden="1">"c27122"</definedName>
    <definedName name="IQ_CREDIT_CARD_LOANS_LOSS_SHARING_FFIEC" hidden="1">"c27199"</definedName>
    <definedName name="IQ_CREDIT_CARD_LOANS_LOSS_SHARING_NON_ACCRUAL_FFIEC" hidden="1">"c27162"</definedName>
    <definedName name="IQ_CREDIT_CARD_LOANS_NON_ACCRUAL_FFIEC" hidden="1">"c13324"</definedName>
    <definedName name="IQ_CREDIT_CARD_LOANS_OUTSTANDING_BUS_NON_MORTGAGE_COMM_LOANS_THRIFT" hidden="1">"c24856"</definedName>
    <definedName name="IQ_CREDIT_CARD_LOANS_RECOV_FFIEC" hidden="1">"c13202"</definedName>
    <definedName name="IQ_CREDIT_CARD_LOANS_RELATED_CHARGE_OFFS_FFIEC" hidden="1">"c25840"</definedName>
    <definedName name="IQ_CREDIT_CARD_LOANS_RELATED_RECOV_FFIEC" hidden="1">"c25841"</definedName>
    <definedName name="IQ_CREDIT_CARD_LOANS_RISK_BASED_CAPITAL_THRIFT" hidden="1">"c25719"</definedName>
    <definedName name="IQ_CREDIT_CARD_LOANS_RSTRC_TERMS_FFIEC" hidden="1">"c27034"</definedName>
    <definedName name="IQ_CREDIT_CARD_RELATED_LL_REC_FFIEC" hidden="1">"c25870"</definedName>
    <definedName name="IQ_CREDIT_CARD_RISK_BASED_FFIEC" hidden="1">"c13433"</definedName>
    <definedName name="IQ_CREDIT_CARDS_CONSUMER_LOANS_FFIEC" hidden="1">"c12822"</definedName>
    <definedName name="IQ_CREDIT_CARDS_CONSUMER_LOANS_QUARTERLY_AVG_FFIEC" hidden="1">"c27066"</definedName>
    <definedName name="IQ_CREDIT_CARDS_CONSUMER_OPEN_END_LINES_CREDIT_THRIFT" hidden="1">"c25609"</definedName>
    <definedName name="IQ_CREDIT_CARDS_EXCD_10_RSTRC_DUE_30_89_FFIEC" hidden="1">"c27103"</definedName>
    <definedName name="IQ_CREDIT_CARDS_EXCD_10_RSTRC_DUE_90_FFIEC" hidden="1">"c27143"</definedName>
    <definedName name="IQ_CREDIT_CARDS_EXCD_10_RSTRC_NON_ACCRUAL_FFIEC" hidden="1">"c27183"</definedName>
    <definedName name="IQ_CREDIT_CARDS_LL_REC_FFIEC" hidden="1">"c12889"</definedName>
    <definedName name="IQ_CREDIT_CARDS_LOANS_TRADING_DOM_FFIEC" hidden="1">"c12933"</definedName>
    <definedName name="IQ_CREDIT_CARDS_OTHER_OPEN_END_LINES_CREDIT_THRIFT" hidden="1">"c25610"</definedName>
    <definedName name="IQ_CREDIT_CARDS_THRIFT" hidden="1">"c24864"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REDIT_RISK" hidden="1">"c26988"</definedName>
    <definedName name="IQ_CUM_EFFECT_CHANGE_ACCOUNTING_FFIEC" hidden="1">"c25849"</definedName>
    <definedName name="IQ_CUMULATIVE_PREF_THRIFT" hidden="1">"c24915"</definedName>
    <definedName name="IQ_CUMULATIVE_PREFERREDS_T2_FFIEC" hidden="1">"c13145"</definedName>
    <definedName name="IQ_CUMULATIVE_SPLIT_FACTOR" hidden="1">"c2094"</definedName>
    <definedName name="IQ_CURR_ACCT_BALANCE" hidden="1">"c20641"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GDP" hidden="1">"c20642"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DY_SAFEKEEPING_ACCOUNTS_INC_THRIFT" hidden="1">"c24809"</definedName>
    <definedName name="IQ_CUSTODY_SAFEKEEPING_ACCOUNTS_NONMANAGED_ASSETS_THRIFT" hidden="1">"c25377"</definedName>
    <definedName name="IQ_CUSTODY_SAFEKEEPING_ACCOUNTS_NUMBER_NONMANAGED_ACCOUNTS_THRIFT" hidden="1">"c25389"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LOSS_SHARING_FFIEC" hidden="1">"c27214"</definedName>
    <definedName name="IQ_DEBT_SEC_OVER_5YR_INVEST_SECURITIES_FFIEC" hidden="1">"c13466"</definedName>
    <definedName name="IQ_DEBT_SECURITIES_FOREIGN_FFIEC" hidden="1">"c13484"</definedName>
    <definedName name="IQ_DEBT_SECURITIES_LESS_THAN_1YR_INV_SEC_THRIFT" hidden="1">"c25676"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BT_SECURITIES_OVER_1YR_INV_SEC_THRIFT" hidden="1">"c25677"</definedName>
    <definedName name="IQ_DECREASE_INT_EXPENSE_FFIEC" hidden="1">"c13064"</definedName>
    <definedName name="IQ_DEDUCTION_EQUITY_INV_OTHER_ASSETS_THRIFT" hidden="1">"c25047"</definedName>
    <definedName name="IQ_DEDUCTION_LOW_LEVEL_RECOURSE_RESIDUAL_INTERESTS_THRIFT" hidden="1">"c25048"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INCOME_TAXES_THRIFT" hidden="1">"c24911"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CONSOLIDATED_SUBSIDIARIES_THRIFT" hidden="1">"c25570"</definedName>
    <definedName name="IQ_DEMAND_DEPOSITS_TOT_DEPOSITS_FFIEC" hidden="1">"c13902"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S_100K_MORE_ASSETS_TOT_FFIEC" hidden="1">"c13444"</definedName>
    <definedName name="IQ_DEPOSITS_ACQUIRED_NET_DISPOSITIONS_IN_BULK_TRANSACTIONS_THRIFT" hidden="1">"c25345"</definedName>
    <definedName name="IQ_DEPOSITS_AMOUNTS_NETTED_THRIFT" hidden="1">"c25534"</definedName>
    <definedName name="IQ_DEPOSITS_DOM_FFIEC" hidden="1">"c12850"</definedName>
    <definedName name="IQ_DEPOSITS_ESCROWS_THRIFT" hidden="1">"c24895"</definedName>
    <definedName name="IQ_DEPOSITS_EXCLUDING_RETIREMENT_ACCOUNTS_GREATER_THAN_250000_THRIFT" hidden="1">"c24986"</definedName>
    <definedName name="IQ_DEPOSITS_EXCLUDING_RETIREMENT_ACCOUNTS_LESS_THAN_250000_THRIFT" hidden="1">"c24985"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INTEREST_SECURITIES" hidden="1">"c5509"</definedName>
    <definedName name="IQ_DEPOSITS_INV_SEC_GVA_CHARGE_OFFS_THRIFT" hidden="1">"c25112"</definedName>
    <definedName name="IQ_DEPOSITS_INV_SEC_GVA_RECOVERIES_THRIFT" hidden="1">"c25143"</definedName>
    <definedName name="IQ_DEPOSITS_INV_SEC_SVA_PROVISIONS_TRANSFERS_FROM_GVA_THRIFT" hidden="1">"c25166"</definedName>
    <definedName name="IQ_DEPOSITS_INV_SEC_TOTAL_THRIFT" hidden="1">"c25197"</definedName>
    <definedName name="IQ_DEPOSITS_LESS_100K_COMMERCIAL_BANK_SUBS_FFIEC" hidden="1">"c12948"</definedName>
    <definedName name="IQ_DEPOSITS_LEVEL_1_FFIEC" hidden="1">"c13221"</definedName>
    <definedName name="IQ_DEPOSITS_LEVEL_1_THRIFT" hidden="1">"c25530"</definedName>
    <definedName name="IQ_DEPOSITS_LEVEL_2_FFIEC" hidden="1">"c13229"</definedName>
    <definedName name="IQ_DEPOSITS_LEVEL_2_THRIFT" hidden="1">"c25531"</definedName>
    <definedName name="IQ_DEPOSITS_LEVEL_3_FFIEC" hidden="1">"c13237"</definedName>
    <definedName name="IQ_DEPOSITS_LEVEL_3_THRIFT" hidden="1">"c25532"</definedName>
    <definedName name="IQ_DEPOSITS_MORE_100K_COMMERCIAL_BANK_SUBS_FFIEC" hidden="1">"c12949"</definedName>
    <definedName name="IQ_DEPOSITS_THRIFT" hidden="1">"c24896"</definedName>
    <definedName name="IQ_DEPOSITS_TOTAL_AFTER_NETTING_THRIFT" hidden="1">"c25535"</definedName>
    <definedName name="IQ_DEPOSITS_TOTAL_BEFORE_NETTING_THRIFT" hidden="1">"c25533"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PRECIATION_RENTAL_ASSETS" hidden="1">"c26972"</definedName>
    <definedName name="IQ_DEPRECIATION_RENTAL_ASSETS_CF" hidden="1">"c26973"</definedName>
    <definedName name="IQ_DERIVATIVE_ASSETS_AMOUNTS_NETTED_THRIFT" hidden="1">"c25510"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1_THRIFT" hidden="1">"c25506"</definedName>
    <definedName name="IQ_DERIVATIVE_ASSETS_LEVEL_2_FFIEC" hidden="1">"c15438"</definedName>
    <definedName name="IQ_DERIVATIVE_ASSETS_LEVEL_2_THRIFT" hidden="1">"c25507"</definedName>
    <definedName name="IQ_DERIVATIVE_ASSETS_LEVEL_3_FFIEC" hidden="1">"c15451"</definedName>
    <definedName name="IQ_DERIVATIVE_ASSETS_LEVEL_3_THRIFT" hidden="1">"c25508"</definedName>
    <definedName name="IQ_DERIVATIVE_ASSETS_LT" hidden="1">"c17745"</definedName>
    <definedName name="IQ_DERIVATIVE_ASSETS_TOTAL_AFTER_NETTING_THRIFT" hidden="1">"c25511"</definedName>
    <definedName name="IQ_DERIVATIVE_ASSETS_TOTAL_BEFORE_NETTING_THRIFT" hidden="1">"c25509"</definedName>
    <definedName name="IQ_DERIVATIVE_LIAB_CURRENT" hidden="1">"c17873"</definedName>
    <definedName name="IQ_DERIVATIVE_LIAB_NON_CURRENT" hidden="1">"c17874"</definedName>
    <definedName name="IQ_DERIVATIVE_LIABILITIES_AMOUNTS_NETTED_THRIFT" hidden="1">"c25552"</definedName>
    <definedName name="IQ_DERIVATIVE_LIABILITIES_FAIR_VALUE_TOT_FFIEC" hidden="1">"c15407"</definedName>
    <definedName name="IQ_DERIVATIVE_LIABILITIES_LEVEL_1_FFIEC" hidden="1">"c15429"</definedName>
    <definedName name="IQ_DERIVATIVE_LIABILITIES_LEVEL_1_THRIFT" hidden="1">"c25548"</definedName>
    <definedName name="IQ_DERIVATIVE_LIABILITIES_LEVEL_2_FFIEC" hidden="1">"c15442"</definedName>
    <definedName name="IQ_DERIVATIVE_LIABILITIES_LEVEL_2_THRIFT" hidden="1">"c25549"</definedName>
    <definedName name="IQ_DERIVATIVE_LIABILITIES_LEVEL_3_FFIEC" hidden="1">"c15455"</definedName>
    <definedName name="IQ_DERIVATIVE_LIABILITIES_LEVEL_3_THRIFT" hidden="1">"c25550"</definedName>
    <definedName name="IQ_DERIVATIVE_LIABILITIES_TOTAL_AFTER_NETTING_THRIFT" hidden="1">"c25553"</definedName>
    <definedName name="IQ_DERIVATIVE_LIABILITIES_TOTAL_BEFORE_NETTING_THRIFT" hidden="1">"c25551"</definedName>
    <definedName name="IQ_DERIVATIVE_TRADING_ASSETS" hidden="1">"c17875"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ALLOWED_SERVICING_OTHER_ASSETS_ADJUSTED_ASSETS_THRIFT" hidden="1">"c25033"</definedName>
    <definedName name="IQ_DISALLOWED_SERVICING_OTHER_ASSETS_T1_THRIFT" hidden="1">"c25024"</definedName>
    <definedName name="IQ_DISBURSED_CONSTRUCTION_MORTGAGE_LOANS_1_4_DWELLING_UNITS_THRIFT" hidden="1">"c25317"</definedName>
    <definedName name="IQ_DISBURSED_CONSTRUCTION_MORTGAGE_LOANS_MULTIFAMILY_5_MORE_DWELLING_UNITS_THRIFT" hidden="1">"c25318"</definedName>
    <definedName name="IQ_DISBURSED_CONSTRUCTION_MORTGAGE_LOANS_NONRES_THRIFT" hidden="1">"c25319"</definedName>
    <definedName name="IQ_DISBURSED_PML_1_4_DWELLING_UNITS_THRIFT" hidden="1">"c25320"</definedName>
    <definedName name="IQ_DISBURSED_PML_HOME_EQUITY_JUNIOR_LIENS_THRIFT" hidden="1">"c25321"</definedName>
    <definedName name="IQ_DISBURSED_PML_LAND_THRIFT" hidden="1">"c25324"</definedName>
    <definedName name="IQ_DISBURSED_PML_MULTIFAMILY_5_MORE_DWELLING_UNITS_THRIFT" hidden="1">"c25322"</definedName>
    <definedName name="IQ_DISBURSED_PML_NONRES_EXCEPT_LAND_THRIFT" hidden="1">"c25323"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INCOME_FHLB_STOCK_THRIFT" hidden="1">"c24754"</definedName>
    <definedName name="IQ_DIVIDEND_INCOME_OTHER_EQUITY_INV_THRIFT" hidden="1">"c24755"</definedName>
    <definedName name="IQ_DIVIDEND_YIELD" hidden="1">"c332"</definedName>
    <definedName name="IQ_DIVIDENDS_DECLARED_COMMON_FFIEC" hidden="1">"c12969"</definedName>
    <definedName name="IQ_DIVIDENDS_DECLARED_PREFERRED_FFIEC" hidden="1">"c12968"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_FINANCE_CF" hidden="1">"c27336"</definedName>
    <definedName name="IQ_DO_INVEST_CF" hidden="1">"c27335"</definedName>
    <definedName name="IQ_DOC_CLAUSE" hidden="1">"c6032"</definedName>
    <definedName name="IQ_DOM_OFFICE_DEPOSITS_TOT_DEPOSITS_FFIEC" hidden="1">"c13910"</definedName>
    <definedName name="IQ_DOMESTIC_DEPOSITS" hidden="1">"c27338"</definedName>
    <definedName name="IQ_DOMESTIC_LOANS" hidden="1">"c27340"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QUARTERLY_AVG_FFIEC" hidden="1">"c13086"</definedName>
    <definedName name="IQ_EARNING_ASSETS_REPRICE_ASSETS_TOT_FFIEC" hidden="1">"c13451"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_PARENT_EXCL_EXTRA" hidden="1">"c25791"</definedName>
    <definedName name="IQ_EARNINGS_ANNOUNCE_DATE" hidden="1">"c1649"</definedName>
    <definedName name="IQ_EARNINGS_BEFORE_TAXES_AVG_ASSETS_THRIFT" hidden="1">"c25656"</definedName>
    <definedName name="IQ_EARNINGS_CO_FFIEC" hidden="1">"c13032"</definedName>
    <definedName name="IQ_EARNINGS_CO_THRIFT" hidden="1">"c24796"</definedName>
    <definedName name="IQ_EARNINGS_CONT_OPS_HOMEBUILDING_SALES" hidden="1">"c15817"</definedName>
    <definedName name="IQ_EARNINGS_COVERAGE_LOSSES_FFIEC" hidden="1">"c13351"</definedName>
    <definedName name="IQ_EARNINGS_COVERAGE_NET_LOSSES_THRIFT" hidden="1">"c25641"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HOMEBUILDING_SALES" hidden="1">"c15815"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HOMEBUILDING_SALES" hidden="1">"c15816"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UBTOTAL_AP" hidden="1">"c8982"</definedName>
    <definedName name="IQ_EBT_THRIFT" hidden="1">"c24794"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DUCATION_LOANS_THRIFT" hidden="1">"c24861"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MPLOYMENT_YOY" hidden="1">"c20643"</definedName>
    <definedName name="IQ_ENDING_BALANCE_GVA_THRIFT" hidden="1">"c25097"</definedName>
    <definedName name="IQ_ENDING_BALANCE_SVA_THRIFT" hidden="1">"c25104"</definedName>
    <definedName name="IQ_ENDING_BALANCE_TVA_THRIFT" hidden="1">"c25111"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P" hidden="1">"c8880"</definedName>
    <definedName name="IQ_EPS_AP_ABS" hidden="1">"c8899"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QUARTERLY_AVG_FFIEC" hidden="1">"c13092"</definedName>
    <definedName name="IQ_EQUITY_ENDING_FFIEC" hidden="1">"c12973"</definedName>
    <definedName name="IQ_EQUITY_INDEX_EXPOSURE_FFIEC" hidden="1">"c13060"</definedName>
    <definedName name="IQ_EQUITY_INV_NOT_CARRIED_FV_ADJUSTED_NCOS_THRIFT" hidden="1">"c25226"</definedName>
    <definedName name="IQ_EQUITY_INV_NOT_CARRIED_FV_SVA_PROVISIONS_TRANSFERS_FROM_GVA_THRIFT" hidden="1">"c25195"</definedName>
    <definedName name="IQ_EQUITY_INV_NOT_SUBJECT_SFAS_NO115_GVA_CHARGE_OFFS_THRIFT" hidden="1">"c25141"</definedName>
    <definedName name="IQ_EQUITY_INV_NOT_SUBJECT_SFAS_NO115_GVA_RECOVERIES_THRIFT" hidden="1">"c25164"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FV_THRIFT" hidden="1">"c24823"</definedName>
    <definedName name="IQ_EQUITY_SEC_INVEST_SECURITIES_FFIEC" hidden="1">"c13463"</definedName>
    <definedName name="IQ_EQUITY_SECURITIES_QUARTERLY_AVG_FFIEC" hidden="1">"c15474"</definedName>
    <definedName name="IQ_EQUITY_SECURITIES_WITHOUT_FAIR_VALUES_FFIEC" hidden="1">"c12846"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CROWS_THRIFT" hidden="1">"c24897"</definedName>
    <definedName name="IQ_ESOP_DEBT" hidden="1">"c1597"</definedName>
    <definedName name="IQ_ESOP_DEBT_GUARANTEED_FFIEC" hidden="1">"c12971"</definedName>
    <definedName name="IQ_ESOP_OVER_TOTAL" hidden="1">"c24734"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AIR_VALUE_MORT_SERVICING_ASSETS_FFIEC" hidden="1">"c12956"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CRO_ACTUAL" hidden="1">"c27246"</definedName>
    <definedName name="IQ_EVENT_MACRO_COUNTRY_NAME" hidden="1">"c27250"</definedName>
    <definedName name="IQ_EVENT_MACRO_FORECAST" hidden="1">"c27248"</definedName>
    <definedName name="IQ_EVENT_MACRO_ID" hidden="1">"c27243"</definedName>
    <definedName name="IQ_EVENT_MACRO_PERIOD" hidden="1">"c27245"</definedName>
    <definedName name="IQ_EVENT_MACRO_PREVIOUS" hidden="1">"c27247"</definedName>
    <definedName name="IQ_EVENT_MACRO_REPORT_NAME" hidden="1">"c27244"</definedName>
    <definedName name="IQ_EVENT_MACRO_UNIT" hidden="1">"c27249"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ALLOWANCE_LL_LOSSES_THRIFT" hidden="1">"c25078"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_USD" hidden="1">"c20650"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ITEMS_AVG_ASSETS_THRIFT" hidden="1">"c25659"</definedName>
    <definedName name="IQ_EXTRAORDINARY_ITEMS_FFIEC" hidden="1">"c13033"</definedName>
    <definedName name="IQ_EXTRAORDINARY_ITEMS_THRIFT" hidden="1">"c24797"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TOT_LOANS_FFIEC" hidden="1">"c13870"</definedName>
    <definedName name="IQ_FARMLAND_DOM_FFIEC" hidden="1">"c15268"</definedName>
    <definedName name="IQ_FARMLAND_DOM_LOSS_SHARING_FFIEC" hidden="1">"c27208"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PURCHASED_SEC_SOLD_REPURCHASE_THRIFT" hidden="1">"c24901"</definedName>
    <definedName name="IQ_FED_FUND_SOLD_SEC_PURCHASED_RESELL_FFIEC" hidden="1">"c15488"</definedName>
    <definedName name="IQ_FED_FUND_SOLD_SEC_PURCHASED_RESELL_THRIFT" hidden="1">"c24821"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QUARTERLY_AVG_FFIEC" hidden="1">"c13090"</definedName>
    <definedName name="IQ_FED_FUNDS_PURCHASED_REPOS_TOTAL_ASSETS_THRIFT" hidden="1">"c25702"</definedName>
    <definedName name="IQ_FED_FUNDS_SOLD_DOM_FFIEC" hidden="1">"c12806"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ERAL_FUNDS_PURCHASED_SEC_SOLD_UNDER_AGREEMENTS_REPURCHASE_AMOUNTS_NETTED_THRIFT" hidden="1">"c25528"</definedName>
    <definedName name="IQ_FEDERAL_FUNDS_PURCHASED_SEC_SOLD_UNDER_AGREEMENTS_REPURCHASE_LEVEL_1_THRIFT" hidden="1">"c25524"</definedName>
    <definedName name="IQ_FEDERAL_FUNDS_PURCHASED_SEC_SOLD_UNDER_AGREEMENTS_REPURCHASE_LEVEL_2_THRIFT" hidden="1">"c25525"</definedName>
    <definedName name="IQ_FEDERAL_FUNDS_PURCHASED_SEC_SOLD_UNDER_AGREEMENTS_REPURCHASE_LEVEL_3_THRIFT" hidden="1">"c25526"</definedName>
    <definedName name="IQ_FEDERAL_FUNDS_PURCHASED_SEC_SOLD_UNDER_AGREEMENTS_REPURCHASE_TOTAL_AFTER_NETTING_THRIFT" hidden="1">"c25529"</definedName>
    <definedName name="IQ_FEDERAL_FUNDS_PURCHASED_SEC_SOLD_UNDER_AGREEMENTS_REPURCHASE_TOTAL_BEFORE_NETTING_THRIFT" hidden="1">"c25527"</definedName>
    <definedName name="IQ_FEDERAL_FUNDS_SOLD_SEC_PURCHASED_UNDER_AGREEMENTS_RESELL_AMOUNTS_NETTED_THRIFT" hidden="1">"c25480"</definedName>
    <definedName name="IQ_FEDERAL_FUNDS_SOLD_SEC_PURCHASED_UNDER_AGREEMENTS_RESELL_LEVEL_1_THRIFT" hidden="1">"c25476"</definedName>
    <definedName name="IQ_FEDERAL_FUNDS_SOLD_SEC_PURCHASED_UNDER_AGREEMENTS_RESELL_LEVEL_2_THRIFT" hidden="1">"c25477"</definedName>
    <definedName name="IQ_FEDERAL_FUNDS_SOLD_SEC_PURCHASED_UNDER_AGREEMENTS_RESELL_LEVEL_3_THRIFT" hidden="1">"c25478"</definedName>
    <definedName name="IQ_FEDERAL_FUNDS_SOLD_SEC_PURCHASED_UNDER_AGREEMENTS_RESELL_TOTAL_AFTER_NETTING_THRIFT" hidden="1">"c25481"</definedName>
    <definedName name="IQ_FEDERAL_FUNDS_SOLD_SEC_PURCHASED_UNDER_AGREEMENTS_RESELL_TOTAL_BEFORE_NETTING_THRIFT" hidden="1">"c25479"</definedName>
    <definedName name="IQ_FEDERAL_INC_TAXES_THRIFT" hidden="1">"c24816"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COMM_LOANS_THRIFT" hidden="1">"c24751"</definedName>
    <definedName name="IQ_FEE_INCOME_CONSUMER_LOANS_THRIFT" hidden="1">"c24752"</definedName>
    <definedName name="IQ_FEE_INCOME_MORTGAGE_LOANS_THRIFT" hidden="1">"c24750"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DILUTED" hidden="1">"c16186"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S_BASIC" hidden="1">"c16185"</definedName>
    <definedName name="IQ_FFO_SHARES_DILUTED" hidden="1">"c16187"</definedName>
    <definedName name="IQ_FFO_STDDEV_EST" hidden="1">"c422"</definedName>
    <definedName name="IQ_FFO_TOTAL_REVENUE" hidden="1">"c16060"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STOCK_NOT_CARRIED_FV_THRIFT" hidden="1">"c24880"</definedName>
    <definedName name="IQ_FIDUCIARY_ACTIVITIES_INCOME_ADJUSTED_OPERATING_INCOME_THRIFT" hidden="1">"c25689"</definedName>
    <definedName name="IQ_FIDUCIARY_INCOME_OPERATING_INC_FFIEC" hidden="1">"c13383"</definedName>
    <definedName name="IQ_FIDUCIARY_MANAGED_ASSETS_THRIFT" hidden="1">"c25438"</definedName>
    <definedName name="IQ_FIDUCIARY_RELATED_SERVICES_EXP_THRIFT" hidden="1">"c24812"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MINORITY_INT_REDEEM" hidden="1">"c25788"</definedName>
    <definedName name="IQ_FIN_DIV_MINORITY_INTEREST" hidden="1">"c25790"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_UNUSED_FFIEC" hidden="1">"c25860"</definedName>
    <definedName name="IQ_FIN_INSTANCE_ID" hidden="1">"c13921"</definedName>
    <definedName name="IQ_FIN_PERIOD_ID" hidden="1">"c13920"</definedName>
    <definedName name="IQ_FINANCIAL_ASSETS_CARRIED_FV_THROUGH_EARNINGS_THRIFT" hidden="1">"c24931"</definedName>
    <definedName name="IQ_FINANCIAL_ASSETS_HELD_TRADING_PURPOSES_THRIFT" hidden="1">"c24930"</definedName>
    <definedName name="IQ_FINANCIAL_LIABILITIES_CARRIED_FV_THROUGH_EARNINGS_THRIFT" hidden="1">"c24932"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Y" hidden="1">"c441"</definedName>
    <definedName name="IQ_FISCAL_YEAR_END_THRIFT" hidden="1">"c25020"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IXED_RATE_DEBT" hidden="1">"c17894"</definedName>
    <definedName name="IQ_FIXED_RATE_DEBT_PCT" hidden="1">"c18008"</definedName>
    <definedName name="IQ_FLOAT" hidden="1">"c17421"</definedName>
    <definedName name="IQ_FLOAT_PERCENT" hidden="1">"c1575"</definedName>
    <definedName name="IQ_FORECLOSED_PROP_GNMA_LOANS_FFIEC" hidden="1">"c15272"</definedName>
    <definedName name="IQ_FOREIGN_BANKS_DUE_30_89_FFIEC" hidden="1">"c13269"</definedName>
    <definedName name="IQ_FOREIGN_BANKS_DUE_90_FFIEC" hidden="1">"c13295"</definedName>
    <definedName name="IQ_FOREIGN_BANKS_NON_ACCRUAL_FFIEC" hidden="1">"c13321"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TOT_FFIEC" hidden="1">"c13486"</definedName>
    <definedName name="IQ_FOREIGN_DEPOSITS_TOTAL_DEPOSITS" hidden="1">"c15719"</definedName>
    <definedName name="IQ_FOREIGN_EXCHANGE" hidden="1">"c1376"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"c24735"</definedName>
    <definedName name="IQ_FOUNDATIONS_ENDOWMENT_ACCOUNTS_MANAGED_ASSETS_THRIFT" hidden="1">"c25354"</definedName>
    <definedName name="IQ_FOUNDATIONS_ENDOWMENT_ACCOUNTS_NONMANAGED_ASSETS_THRIFT" hidden="1">"c25375"</definedName>
    <definedName name="IQ_FOUNDATIONS_ENDOWMENT_ACCOUNTS_NUMBER_MANAGED_ACCOUNTS_THRIFT" hidden="1">"c25365"</definedName>
    <definedName name="IQ_FOUNDATIONS_ENDOWMENT_ACCOUNTS_NUMBER_NONMANAGED_ACCOUNTS_THRIFT" hidden="1">"c25387"</definedName>
    <definedName name="IQ_FOUNDATIONS_ENDOWMENTS_INC_THRIFT" hidden="1">"c24807"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BROKERED_TIME_DEPOSITS_THRIFT" hidden="1">"c25005"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FIEC" hidden="1">"c13125"</definedName>
    <definedName name="IQ_FX_EXPOSURE_FFIEC" hidden="1">"c13059"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BARGAIN_PURCHASES_FFIEC" hidden="1">"c25844"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_AVAILABLE_SALE_AVG_ASSETS_THRIFT" hidden="1">"c25655"</definedName>
    <definedName name="IQ_GAINS_SEC_HELD_MATURITY_AVG_ASSETS_THRIFT" hidden="1">"c25654"</definedName>
    <definedName name="IQ_GAINS_SECURITIZATION_OPERATING_INC_FFIEC" hidden="1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_LIFE_INSURANCE_ASSET_FFIEC" hidden="1">"c27008"</definedName>
    <definedName name="IQ_GENERAL_ALLOWANCE" hidden="1">"c15248"</definedName>
    <definedName name="IQ_GENERAL_OBLIGATIONS_STATE_LOCAL_GOVERNMENTS_ELIGIBLE_20_PCT_RISK_WEIGHT_THRIFT" hidden="1">"c25059"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OODWILL_FFIEC" hidden="1">"c12836"</definedName>
    <definedName name="IQ_GOODWILL_IMPAIRMENT_FFIEC" hidden="1">"c13025"</definedName>
    <definedName name="IQ_GOODWILL_INTANGIBLE_ASSETS_THRIFT" hidden="1">"c24887"</definedName>
    <definedName name="IQ_GOODWILL_NET" hidden="1">"c1380"</definedName>
    <definedName name="IQ_GOODWILL_OTHER_INTANGIBLE_ASSETS_ADJUSTED_ASSETS_THRIFT" hidden="1">"c25032"</definedName>
    <definedName name="IQ_GOODWILL_OTHER_INTANGIBLE_ASSETS_T1_THRIFT" hidden="1">"c25023"</definedName>
    <definedName name="IQ_GOODWILL_OTHER_INTANGIBLE_ASSETS_THRIFT" hidden="1">"c24890"</definedName>
    <definedName name="IQ_GOODWILL_OTHER_INTANGIBLES_EXP_THRIFT" hidden="1">"c24791"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DEPOSITS" hidden="1">"c26987"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RECEIPTS_YOY" hidden="1">"c7317"</definedName>
    <definedName name="IQ_GOVT_RECEIPTS_YOY_FC" hidden="1">"c8197"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_AVG_LOANS_THRIFT" hidden="1">"c25636"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UARANTEED_PORTION_OTHER_LOANS_LEASES_EXCLUDE_REBOOKED_GNMA_LOANS_DUE_90_THRIFT" hidden="1">"c25280"</definedName>
    <definedName name="IQ_GUARANTEED_PORTION_OTHER_LOANS_LEASES_EXCLUDE_REBOOKED_GNMA_LOANS_NON_ACCRUAL_THRIFT" hidden="1">"c25301"</definedName>
    <definedName name="IQ_GUARTANTEED_PORTION_OTHER_LOANS_LEASES_EXCLUDE_REBOOKED_GNMA_LOANS_DUE_30_89_THRIFT" hidden="1">"c25259"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"c24736"</definedName>
    <definedName name="IQ_HEDGING_ACTIVITIES" hidden="1">"c17899"</definedName>
    <definedName name="IQ_HEDGING_ACTIVITIES_PCT" hidden="1">"c18013"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INSTITUTION_TYPE" hidden="1">"c24729"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TYPE" hidden="1">"c27366"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QUITY_ASSETS" hidden="1">"c26966"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ANS_TOTAL_LOANS_THRIFT" hidden="1">"c25748"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MPROVEMENT_LOANS_NOT_SECURED_RE_THRIFT" hidden="1">"c24860"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30YR_MORTGAGE" hidden="1">"c20753"</definedName>
    <definedName name="IQ_HOUSING_COMPLETION" hidden="1">"c20754"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RENTAL_VACANCY" hidden="1">"c20763"</definedName>
    <definedName name="IQ_HOUSING_START" hidden="1">"c20764"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_INV_SEC_THRIFT" hidden="1">"c25669"</definedName>
    <definedName name="IQ_HTM_SEC_TIER_1_CAPITAL_THRIFT" hidden="1">"c25629"</definedName>
    <definedName name="IQ_HTM_SECURITIES_TIER_1_FFIEC" hidden="1">"c13342"</definedName>
    <definedName name="IQ_HYBRID_CAPITAL" hidden="1">"c15245"</definedName>
    <definedName name="IQ_HYBRID_LIFE_INSURANCE_ASSET_FFIEC" hidden="1">"c27010"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CHG_CREDITWORTH_BANK_HOLD_DRV_ASSET_TRADING_REV_FFIEC" hidden="1">"c27051"</definedName>
    <definedName name="IQ_IMPACT_CHG_CREDITWORTH_BANK_HOLD_DRV_LIAB_TRADING_REV_FFIEC" hidden="1">"c27052"</definedName>
    <definedName name="IQ_IMPACT_UNRECOG_TAX_BENEFIT_EFFECTIVE_TAX" hidden="1">"c15748"</definedName>
    <definedName name="IQ_IMPAIR_CHARGES_DEBT_EQUITY_SEC_THRIFT" hidden="1">"c24777"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OME_BEFORE_EXTRAORDINARY_ITEMS_AVG_ASSETS_THRIFT" hidden="1">"c25658"</definedName>
    <definedName name="IQ_INCOME_CHECKS_FFIEC" hidden="1">"c13040"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STATEMENT_AP" hidden="1">"c25877"</definedName>
    <definedName name="IQ_INCOME_STATEMENT_AP_CO" hidden="1">"c25878"</definedName>
    <definedName name="IQ_INCOME_STATEMENT_INDUSTRY" hidden="1">"c25873"</definedName>
    <definedName name="IQ_INCOME_STATEMENT_INDUSTRY_CO" hidden="1">"c25874"</definedName>
    <definedName name="IQ_INCOME_STATEMENT_STANDARD" hidden="1">"c25875"</definedName>
    <definedName name="IQ_INCOME_STATEMENT_STANDARD_CO" hidden="1">"c25876"</definedName>
    <definedName name="IQ_INCOME_TAX_FOREIGN_FFIEC" hidden="1">"c15391"</definedName>
    <definedName name="IQ_INCOME_TAXES_FFIEC" hidden="1">"c13030"</definedName>
    <definedName name="IQ_INCOME_TAXES_PRETAX_NET_OPERATING_INCOME_THRIFT" hidden="1">"c25693"</definedName>
    <definedName name="IQ_INCOME_TAXES_THRIFT" hidden="1">"c24795"</definedName>
    <definedName name="IQ_INCREASE_INT_INCOME_FFIEC" hidden="1">"c13063"</definedName>
    <definedName name="IQ_IND_PROD_INDEX_GROWTH" hidden="1">"c20766"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GROSS_LOANS_FFIEC" hidden="1">"c13411"</definedName>
    <definedName name="IQ_INDIVIDUALS_RISK_BASED_FFIEC" hidden="1">"c13432"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NAME" hidden="1">"c19100"</definedName>
    <definedName name="IQ_INSIDER_OVER_TOTAL" hidden="1">"c24737"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_TYPE" hidden="1">"c24730"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"c24738"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UR_RECEIV" hidden="1">"c1600"</definedName>
    <definedName name="IQ_INSURANCE_REINSURANCE_UNDERWRITING_INCOME_FFIEC" hidden="1">"c13008"</definedName>
    <definedName name="IQ_INSURANCE_REV_OPERATING_INC_FFIEC" hidden="1">"c13387"</definedName>
    <definedName name="IQ_INSURED_GUARANTEED_AGENCY_US_SPONSORED_ENTERPRISE_THRIFT" hidden="1">"c24830"</definedName>
    <definedName name="IQ_INT_ADVANCES_FHLB_THRIFT" hidden="1">"c24759"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COMM_LOANS_LEASES_THRIFT" hidden="1">"c24748"</definedName>
    <definedName name="IQ_INT_CONSUMER_LOANS_LEASES_THRIFT" hidden="1">"c24749"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EPOSITS_INV_SEC_THRIFT" hidden="1">"c24745"</definedName>
    <definedName name="IQ_INT_DEPOSITS_THRIFT" hidden="1">"c24757"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EARNING_DEPOSITS_FHLBS_THRIFT" hidden="1">"c24819"</definedName>
    <definedName name="IQ_INT_ESCROWS_THRIFT" hidden="1">"c24758"</definedName>
    <definedName name="IQ_INT_EXP_AVG_ASSETS_FFIEC" hidden="1">"c13357"</definedName>
    <definedName name="IQ_INT_EXP_AVG_ASSETS_THRIFT" hidden="1">"c25648"</definedName>
    <definedName name="IQ_INT_EXP_AVG_EARNING_ASSETS_THRIFT" hidden="1">"c25667"</definedName>
    <definedName name="IQ_INT_EXP_BR" hidden="1">"c586"</definedName>
    <definedName name="IQ_INT_EXP_CM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FULLY_INSURED_BROKERED_DEPOSITS_THRIFT" hidden="1">"c24982"</definedName>
    <definedName name="IQ_INT_EXP_INCL_CAP" hidden="1">"c2988"</definedName>
    <definedName name="IQ_INT_EXP_INS" hidden="1">"c589"</definedName>
    <definedName name="IQ_INT_EXP_LTD" hidden="1">"c2086"</definedName>
    <definedName name="IQ_INT_EXP_OTHER_BROKERED_DEPOSITS_THRIFT" hidden="1">"c24983"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UTI" hidden="1">"c592"</definedName>
    <definedName name="IQ_INT_EXPENSE_AVG_ASSET" hidden="1">"c15705"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INC_AVG_ASSETS_FFIEC" hidden="1">"c13356"</definedName>
    <definedName name="IQ_INT_INC_BR" hidden="1">"c593"</definedName>
    <definedName name="IQ_INT_INC_CM" hidden="1">"c593"</definedName>
    <definedName name="IQ_INT_INC_DUE_DEPOSITORY_INSTITUTIONS_FFIEC" hidden="1">"c12981"</definedName>
    <definedName name="IQ_INT_INC_EARNING_ASSETS_FFIEC" hidden="1">"c13375"</definedName>
    <definedName name="IQ_INT_INC_FED_FUNDS_SOLD_FFIEC" hidden="1">"c12987"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AVG_ASSETS_THRIFT" hidden="1">"c25647"</definedName>
    <definedName name="IQ_INT_INCOME_AVG_EARNING_ASSETS_THRIFT" hidden="1">"c25666"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MBS_THRIFT" hidden="1">"c24746"</definedName>
    <definedName name="IQ_INT_MORTGAGE_COLLATERALIZED_SEC_THRIFT" hidden="1">"c24761"</definedName>
    <definedName name="IQ_INT_MORTGAGE_LOANS_THRIFT" hidden="1">"c24747"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ONLY_STRIP_RECEIVABLES_OTHER_INSTRUMENTS_THRIFT" hidden="1">"c24891"</definedName>
    <definedName name="IQ_INT_OTHER_BORROWINGS_THRIFT" hidden="1">"c24762"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DEBT_THRIFT" hidden="1">"c24760"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_YIELD_DEPOSITS_INV_SEC_THRIFT" hidden="1">"c25679"</definedName>
    <definedName name="IQ_INT_YIELD_MBS_THRIFT" hidden="1">"c25678"</definedName>
    <definedName name="IQ_INTANGIBLE_ASSETS_ADJUSTED_ASSETS_THRIFT" hidden="1">"c25036"</definedName>
    <definedName name="IQ_INTANGIBLE_ASSETS_T1_THRIFT" hidden="1">"c25027"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ALL_OTHER_ACCOUNTS_THRIFT" hidden="1">"c25424"</definedName>
    <definedName name="IQ_INTEREST_BEARING_DEPOSITS_EMPLOYEE_BENEFIT_RETIREMENT_RELATED_ACCOUNTS_THRIFT" hidden="1">"c25408"</definedName>
    <definedName name="IQ_INTEREST_BEARING_DEPOSITS_PERSONAL_TRUST_AGENCY_INV_MANAGEMENT_AGENCY_ACCOUNTS_THRIFT_THRIFT" hidden="1">"c25392"</definedName>
    <definedName name="IQ_INTEREST_BEARING_TRANS_DOM_QUARTERLY_AVG_FFIEC" hidden="1">"c15484"</definedName>
    <definedName name="IQ_INTEREST_CASH_DEPOSITS" hidden="1">"c2255"</definedName>
    <definedName name="IQ_INTEREST_CREDITED_DEPOSITS_THRIFT" hidden="1">"c25344"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NAL_ALLOCATIONS_INC_EXP_FOREIGN_FFIEC" hidden="1">"c15394"</definedName>
    <definedName name="IQ_INTRACO_INC_CREDITS_FIDUCIARY_RELATED_SERVICES_THRIFT" hidden="1">"c24814"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IN_UNREGISTERED_FUNDS_PRIVATE_EQUITY_INV_ALL_OTHER_ACCOUNTS_THRIFT" hidden="1">"c25433"</definedName>
    <definedName name="IQ_INV_IN_UNREGISTERED_FUNDS_PRIVATE_EQUITY_INV_EMPLOYEE_BENEFIT_RETIREMENT_RELATED_ACCOUNTS_THRIFT" hidden="1">"c25417"</definedName>
    <definedName name="IQ_INV_IN_UNREGISTERED_FUNDS_PRIVATE_EQUITY_INV_PERSONAL_TRUST_AGENCY_INV_MANAGEMENT_ACCOUNTS_THRIFT" hidden="1">"c25401"</definedName>
    <definedName name="IQ_INV_MANAGEMENT_INV_ADVISORY_AGENCY_ACCOUNTS_GROSS_LOSSES_MANAGED_ACCOUNTS_THRIFT" hidden="1">"c25463"</definedName>
    <definedName name="IQ_INV_MANAGEMENT_INV_ADVISORY_AGENCY_ACCOUNTS_GROSS_LOSSES_NONMANAGED_ACCOUNTS_THRIFT" hidden="1">"c25468"</definedName>
    <definedName name="IQ_INV_MANAGEMENT_INV_ADVISORY_AGENCY_ACCOUNTS_MANAGED_ASSETS_THRIFT" hidden="1">"c25353"</definedName>
    <definedName name="IQ_INV_MANAGEMENT_INV_ADVISORY_AGENCY_ACCOUNTS_NONMANAGED_ASSETS_THRIFT" hidden="1">"c25374"</definedName>
    <definedName name="IQ_INV_MANAGEMENT_INV_ADVISORY_AGENCY_ACCOUNTS_NUMBER_MANAGED_ACCOUNTS_THRIFT" hidden="1">"c25364"</definedName>
    <definedName name="IQ_INV_MANAGEMENT_INV_ADVISORY_AGENCY_ACCOUNTS_NUMBER_NONMANAGED_ACCOUNTS_THRIFT" hidden="1">"c25386"</definedName>
    <definedName name="IQ_INV_MANAGEMENT_INV_ADVISORY_AGENCY_ACCOUNTS_RECOVERIES_THRIFT" hidden="1">"c25473"</definedName>
    <definedName name="IQ_INV_METHOD" hidden="1">"c621"</definedName>
    <definedName name="IQ_INV_MGMT_ADVISORY_AGENCY_ACCOUNTS_INC_THRIFT" hidden="1">"c24806"</definedName>
    <definedName name="IQ_INV_NONCONTROLLING_INTERESTS_IN_SUBS_T1_THRIFT" hidden="1">"c25022"</definedName>
    <definedName name="IQ_INV_REL_ID" hidden="1">"c15220"</definedName>
    <definedName name="IQ_INV_REL_NAME" hidden="1">"c15219"</definedName>
    <definedName name="IQ_INV_SEC_TOTAL_ASSETS_THRIFT" hidden="1">"c25697"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GREATER_THAN_100000_INCLUDED_IN_TIME_DEPOSITS_THRIFT" hidden="1">"c25004"</definedName>
    <definedName name="IQ_IRA_KEOGH_ACCOUNTS_THRIFT" hidden="1">"c24994"</definedName>
    <definedName name="IQ_IRAS_HSAS_SIMILAR_ACCOUNTS_MANAGED_ASSETS_THRIFT" hidden="1">"c25351"</definedName>
    <definedName name="IQ_IRAS_HSAS_SIMILAR_ACCOUNTS_NONMANAGED_ASSETS_THRIFT" hidden="1">"c25372"</definedName>
    <definedName name="IQ_IRAS_HSAS_SIMILAR_ACCOUNTS_NUMBER_MANAGED_ACCOUNTS_THRIFT" hidden="1">"c25362"</definedName>
    <definedName name="IQ_IRAS_HSAS_SIMILAR_ACCOUNTS_NUMBER_NONMANAGED_ACCOUNTS_THRIFT" hidden="1">"c25384"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FNMA_FHLMC_GNMA_THRIFT" hidden="1">"c24833"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ISSUES_IN_DEFAULT_PRINCIPAL_AMT_OUTSTANDING_THRIFT" hidden="1">"c25442"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KEY_PERSON_LIFE_INSURANCE_THRIFT" hidden="1">"c24885"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ND_LOANS_IN_PROCESS_FORECLOSURE_THRIFT" hidden="1">"c25309"</definedName>
    <definedName name="IQ_LAND_LOANS_TOTAL_LOANS_THRIFT" hidden="1">"c25747"</definedName>
    <definedName name="IQ_LAND_MINERAL_RIGHTS_TO_PPE_GROSS_COAL" hidden="1">"c15949"</definedName>
    <definedName name="IQ_LAND_MINERAL_RIGHTS_TO_PPE_NET_COAL" hidden="1">"c15950"</definedName>
    <definedName name="IQ_LAND_PML_ADJUSTED_NCOS_TOTAL_THRIFT" hidden="1">"c25208"</definedName>
    <definedName name="IQ_LAND_PML_GVA_CHARGE_OFFS_THRIFT" hidden="1">"c25123"</definedName>
    <definedName name="IQ_LAND_PML_GVA_RECOVERIES_THRIFT" hidden="1">"c25154"</definedName>
    <definedName name="IQ_LAND_PML_SVA_PROVISIONS_TRANSFERS_FROM_GVA_TOTAL_THRIFT" hidden="1">"c25177"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Q" hidden="1">500</definedName>
    <definedName name="IQ_LEAD_UNDERWRITER" hidden="1">"c8957"</definedName>
    <definedName name="IQ_LEASE_EXPENSE" hidden="1">"c16039"</definedName>
    <definedName name="IQ_LEASE_FIN_REC_INCL_EXCD_10_LL_FFIEC" hidden="1">"c27206"</definedName>
    <definedName name="IQ_LEASE_FIN_REC_LOSS_SHARING_DUE_30_89_FFIEC" hidden="1">"c27089"</definedName>
    <definedName name="IQ_LEASE_FIN_REC_LOSS_SHARING_DUE_90_FFIEC" hidden="1">"c27129"</definedName>
    <definedName name="IQ_LEASE_FIN_REC_LOSS_SHARING_NON_ACCRUAL_FFIEC" hidden="1">"c27169"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DOM_FFIEC" hidden="1">"c12915"</definedName>
    <definedName name="IQ_LEASE_FINANCING_RECEIVABLES_QUARTERLY_AVG_FFIEC" hidden="1">"c15483"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CEIVABLES_THRIFT" hidden="1">"c24857"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EXP_THRIFT" hidden="1">"c24789"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TTERS_CREDIT_THRIFT" hidden="1">"c25612"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"c16172"</definedName>
    <definedName name="IQ_LICENSED_WIRELESS_POPS" hidden="1">"c2123"</definedName>
    <definedName name="IQ_LIFE_EARNED" hidden="1">"c2739"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_LIQUID_ASSETS_THRIFT" hidden="1">"c25626"</definedName>
    <definedName name="IQ_LIQUID_ASSETS_NONCORE_FUNDING_FFIEC" hidden="1">"c13339"</definedName>
    <definedName name="IQ_LIQUID_ASSETS_TOTAL_ASSETS_THRIFT" hidden="1">"c25696"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L_ALLOWANCE_GROSS_LOANS_THRIFT" hidden="1">"c25637"</definedName>
    <definedName name="IQ_LL_ALLOWANCE_NET_LOANS_LOSSES_THRIFT" hidden="1">"c25642"</definedName>
    <definedName name="IQ_LL_ALLOWANCE_NONACCRUAL_ASSETS_THRIFT" hidden="1">"c25638"</definedName>
    <definedName name="IQ_LL_GUARANTEED_US_GOVT_EXCL_LOSS_SHARING_DUE_30_89_FFIEC" hidden="1">"c27068"</definedName>
    <definedName name="IQ_LL_GUARANTEED_US_GOVT_EXCL_LOSS_SHARING_DUE_90_FFIEC" hidden="1">"c27108"</definedName>
    <definedName name="IQ_LL_GUARANTEED_US_GOVT_EXCL_LOSS_SHARING_NON_ACCRUAL_FFIEC" hidden="1">"c27148"</definedName>
    <definedName name="IQ_LL_LOSS_SHARING_DUE_30_89_FFIEC" hidden="1">"c27090"</definedName>
    <definedName name="IQ_LL_LOSS_SHARING_DUE_90_FFIEC" hidden="1">"c27130"</definedName>
    <definedName name="IQ_LL_LOSS_SHARING_NON_ACCRUAL_FFIEC" hidden="1">"c27170"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LEASE_ALLOWANCE_PAST_DUE_NONACCRUAL_LOANS_THRIFT" hidden="1">"c25643"</definedName>
    <definedName name="IQ_LOAN_LEASE_RECEIV" hidden="1">"c657"</definedName>
    <definedName name="IQ_LOAN_LOSS" hidden="1">"c1386"</definedName>
    <definedName name="IQ_LOAN_LOSS_ALLOWANCE_GROSS_LOANS_THRIFT" hidden="1">"c25736"</definedName>
    <definedName name="IQ_LOAN_LOSS_ALLOWANCE_NON_PERF_ASSETS_FFIEC" hidden="1">"c13912"</definedName>
    <definedName name="IQ_LOAN_LOSS_PROVISION_FOREIGN_FFIEC" hidden="1">"c15382"</definedName>
    <definedName name="IQ_LOAN_LOSSES_AVERAGE_LOANS_FFIEC" hidden="1">"c13350"</definedName>
    <definedName name="IQ_LOAN_RECOVERIES_AVG_LOANS_THRIFT" hidden="1">"c25644"</definedName>
    <definedName name="IQ_LOAN_SERVICE_REV" hidden="1">"c658"</definedName>
    <definedName name="IQ_LOAN_SERVICING_FEES_THRIFT" hidden="1">"c24790"</definedName>
    <definedName name="IQ_LOANS_AGRICULTURAL_PROD_LL_REC_FFIEC" hidden="1">"c12886"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_INST_BANKS_EXCD_10_LL_FFIEC" hidden="1">"c27203"</definedName>
    <definedName name="IQ_LOANS_DEP_INST_BANKS_EXCD_10_RSTRC_DUE_30_89_FFIEC" hidden="1">"c27101"</definedName>
    <definedName name="IQ_LOANS_DEP_INST_BANKS_EXCD_10_RSTRC_DUE_90_FFIEC" hidden="1">"c27141"</definedName>
    <definedName name="IQ_LOANS_DEP_INST_BANKS_EXCD_10_RSTRC_NON_ACCRUAL_FFIEC" hidden="1">"c27181"</definedName>
    <definedName name="IQ_LOANS_DEP_INST_BANKS_EXCD_10_RSTRC_TERMS_FFIEC" hidden="1">"c27032"</definedName>
    <definedName name="IQ_LOANS_DEP_INST_BANKS_LOSS_SHARING_DUE_30_89_FFIEC" hidden="1">"c27086"</definedName>
    <definedName name="IQ_LOANS_DEP_INST_BANKS_LOSS_SHARING_DUE_90_FFIEC" hidden="1">"c27126"</definedName>
    <definedName name="IQ_LOANS_DEP_INST_BANKS_LOSS_SHARING_NON_ACCRUAL_FFIEC" hidden="1">"c27166"</definedName>
    <definedName name="IQ_LOANS_DEP_LL_REC_DOM_FFIEC" hidden="1">"c25855"</definedName>
    <definedName name="IQ_LOANS_DEP_LL_REC_FFIEC" hidden="1">"c25851"</definedName>
    <definedName name="IQ_LOANS_DEP_OTHER_LL_REC_DOM_FFIEC" hidden="1">"c25854"</definedName>
    <definedName name="IQ_LOANS_DEP_OTHER_LL_REC_FFIEC" hidden="1">"c25850"</definedName>
    <definedName name="IQ_LOANS_DEPOSITORY_INST_US_LL_REC_FFIEC" hidden="1">"c12884"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EXCD_10_RSTRC_DUE_30_89_FFIEC" hidden="1">"c27102"</definedName>
    <definedName name="IQ_LOANS_FINANCE_AGRICULTURAL_PROD_EXCD_10_RSTRC_DUE_90_FFIEC" hidden="1">"c27142"</definedName>
    <definedName name="IQ_LOANS_FINANCE_AGRICULTURAL_PROD_EXCD_10_RSTRC_NON_ACCRUAL_FFIEC" hidden="1">"c27182"</definedName>
    <definedName name="IQ_LOANS_FINANCE_AGRICULTURAL_PROD_EXCD_10_RSTRC_TERMS_FFIEC" hidden="1">"c27033"</definedName>
    <definedName name="IQ_LOANS_FINANCE_AGRICULTURAL_PROD_LL_REC_DOM_FFIEC" hidden="1">"c12909"</definedName>
    <definedName name="IQ_LOANS_FINANCE_AGRICULTURAL_PROD_LOSS_SHARING_DUE_30_89_FFIEC" hidden="1">"c27080"</definedName>
    <definedName name="IQ_LOANS_FINANCE_AGRICULTURAL_PROD_LOSS_SHARING_DUE_90_FFIEC" hidden="1">"c27120"</definedName>
    <definedName name="IQ_LOANS_FINANCE_AGRICULTURAL_PROD_LOSS_SHARING_FFIEC" hidden="1">"c27197"</definedName>
    <definedName name="IQ_LOANS_FINANCE_AGRICULTURAL_PROD_LOSS_SHARING_NON_ACCRUAL_FFIEC" hidden="1">"c27160"</definedName>
    <definedName name="IQ_LOANS_FINANCE_AGRICULTURAL_PROD_QUARTERLY_AVG_FFIEC" hidden="1">"c27063"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GOVT_OFFICIAL_EXCD_10_LL_FFIEC" hidden="1">"c27204"</definedName>
    <definedName name="IQ_LOANS_FOREIGN_GOVT_OFFICIAL_EXCD_10_RSTRC_DUE_30_89_FFIEC" hidden="1">"c27106"</definedName>
    <definedName name="IQ_LOANS_FOREIGN_GOVT_OFFICIAL_EXCD_10_RSTRC_DUE_90_FFIEC" hidden="1">"c27146"</definedName>
    <definedName name="IQ_LOANS_FOREIGN_GOVT_OFFICIAL_EXCD_10_RSTRC_NON_ACCRUAL_FFIEC" hidden="1">"c27186"</definedName>
    <definedName name="IQ_LOANS_FOREIGN_GOVT_OFFICIAL_EXCD_10_RSTRC_TERMS_FFIEC" hidden="1">"c27037"</definedName>
    <definedName name="IQ_LOANS_FOREIGN_GOVT_OFFICIAL_INST_LOSS_SHARING_DUE_30_89_FFIEC" hidden="1">"c27087"</definedName>
    <definedName name="IQ_LOANS_FOREIGN_GOVT_OFFICIAL_INST_LOSS_SHARING_DUE_90_FFIEC" hidden="1">"c27127"</definedName>
    <definedName name="IQ_LOANS_FOREIGN_GOVT_OFFICIAL_INST_LOSS_SHARING_NON_ACCRUAL_FFIEC" hidden="1">"c27167"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INDIVIDUALS_FOREIGN_FFIEC" hidden="1">"c13480"</definedName>
    <definedName name="IQ_LOANS_INDIVIDUALS_GROSS_LOANS_THRIFT" hidden="1">"c25733"</definedName>
    <definedName name="IQ_LOANS_INDIVIDUALS_RISK_BASED_CAPITAL_THRIFT" hidden="1">"c25718"</definedName>
    <definedName name="IQ_LOANS_LEASES_AMOUNTS_NETTED_THRIFT" hidden="1">"c25498"</definedName>
    <definedName name="IQ_LOANS_LEASES_ASSETS_TOT_FFIEC" hidden="1">"c13437"</definedName>
    <definedName name="IQ_LOANS_LEASES_FAIR_VALUE_TOT_FFIEC" hidden="1">"c13209"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DUE_30_89_THRIFT" hidden="1">"c25257"</definedName>
    <definedName name="IQ_LOANS_LEASES_HFS_DUE_90_THRIFT" hidden="1">"c25278"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HFS_NON_ACCRUAL_THRIFT" hidden="1">"c25299"</definedName>
    <definedName name="IQ_LOANS_LEASES_LEVEL_1_FFIEC" hidden="1">"c13217"</definedName>
    <definedName name="IQ_LOANS_LEASES_LEVEL_1_THRIFT" hidden="1">"c25494"</definedName>
    <definedName name="IQ_LOANS_LEASES_LEVEL_2_FFIEC" hidden="1">"c13225"</definedName>
    <definedName name="IQ_LOANS_LEASES_LEVEL_2_THRIFT" hidden="1">"c25495"</definedName>
    <definedName name="IQ_LOANS_LEASES_LEVEL_3_FFIEC" hidden="1">"c13233"</definedName>
    <definedName name="IQ_LOANS_LEASES_LEVEL_3_THRIFT" hidden="1">"c25496"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EASES_REPORTED_WHOLLY_PARTIALLY_GUARANT_US_GOVT_AGENCY_SPONS_ENTITY_DUE_30_89_THRIFT" hidden="1">"c25258"</definedName>
    <definedName name="IQ_LOANS_LEASES_REPORTED_WHOLLY_PARTIALLY_GUARANT_US_GOVT_AGENCY_SPONS_ENTITY_DUE_90_THRIFT" hidden="1">"c25279"</definedName>
    <definedName name="IQ_LOANS_LEASES_REPORTED_WHOLLY_PARTIALLY_GUARANT_US_GOVT_AGENCY_SPONS_ENTITY_NON_ACCRUAL_THRIFT" hidden="1">"c25300"</definedName>
    <definedName name="IQ_LOANS_LEASES_TOTAL_AFTER_NETTING_THRIFT" hidden="1">"c25499"</definedName>
    <definedName name="IQ_LOANS_LEASES_TOTAL_BEFORE_NETTING_THRIFT" hidden="1">"c25497"</definedName>
    <definedName name="IQ_LOANS_LOC_ASSETS_TOT_FFIEC" hidden="1">"c13441"</definedName>
    <definedName name="IQ_LOANS_PAST_DUE" hidden="1">"c667"</definedName>
    <definedName name="IQ_LOANS_PURCHASE_CARRY_LL_REC_DOM_FFIEC" hidden="1">"c25856"</definedName>
    <definedName name="IQ_LOANS_PURCHASE_CARRY_LL_REC_FFIEC" hidden="1">"c25852"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FARMLAND_DOM_LOANS_EXCD_10_RSTRC_DUE_30_89_FFIEC" hidden="1">"c27100"</definedName>
    <definedName name="IQ_LOANS_SEC_FARMLAND_DOM_LOANS_EXCD_10_RSTRC_DUE_90_FFIEC" hidden="1">"c27140"</definedName>
    <definedName name="IQ_LOANS_SEC_FARMLAND_DOM_LOANS_EXCD_10_RSTRC_NON_ACCRUAL_FFIEC" hidden="1">"c27180"</definedName>
    <definedName name="IQ_LOANS_SEC_FARMLAND_DOM_LOANS_EXCD_10_RSTRC_TERMS_FFIEC" hidden="1">"c27031"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CONSTRUCTION_TRADING_DOM_FFIEC" hidden="1">"c12925"</definedName>
    <definedName name="IQ_LOANS_SECURED_FARM_100000_THROUGH_250000_THRIFT" hidden="1">"c24968"</definedName>
    <definedName name="IQ_LOANS_SECURED_FARM_250000_THROUGH_500000_THRIFT" hidden="1">"c24970"</definedName>
    <definedName name="IQ_LOANS_SECURED_FARM_LESS_THAN_EQUAL_100000_THRIFT" hidden="1">"c24966"</definedName>
    <definedName name="IQ_LOANS_SECURED_FARMLAND_TRADING_DOM_FFIEC" hidden="1">"c12926"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RVICED_OTHERS_THRIFT" hidden="1">"c24935"</definedName>
    <definedName name="IQ_LOANS_US_INST_CHARGE_OFFS_FFIEC" hidden="1">"c13175"</definedName>
    <definedName name="IQ_LOANS_US_INST_RECOV_FFIEC" hidden="1">"c13197"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VAIL_SALE_EQUITY_SEC_T1_FFIEC" hidden="1">"c13132"</definedName>
    <definedName name="IQ_LOSS_LOSS_EXP" hidden="1">"c672"</definedName>
    <definedName name="IQ_LOSS_RECOGNIZED_OCI_FFIEC" hidden="1">"c25847"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OTHER_PROF_SERVICES_THRIFT" hidden="1">"c24788"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BS_ALL_OTHER_COMM_AFS_FFIEC" hidden="1">"c27004"</definedName>
    <definedName name="IQ_MBS_COMM_OTHER_PASS_THROUGH_AFS_AMORT_COST_FFIEC" hidden="1">"c27020"</definedName>
    <definedName name="IQ_MBS_COMM_OTHER_PASS_THROUGH_AFS_FFIEC" hidden="1">"c27002"</definedName>
    <definedName name="IQ_MBS_COMM_OTHER_PASS_THROUGH_HTM_FAIR_VAL_FFIEC" hidden="1">"c27016"</definedName>
    <definedName name="IQ_MBS_COMM_OTHER_PASS_THROUGH_HTM_FFIEC" hidden="1">"c26998"</definedName>
    <definedName name="IQ_MBS_COMM_PASS_THROUGH_ISSUED_FNMA_AFS_AMORT_COST_FFIEC" hidden="1">"c27019"</definedName>
    <definedName name="IQ_MBS_COMM_PASS_THROUGH_ISSUED_FNMA_AFS_FFIEC" hidden="1">"c27001"</definedName>
    <definedName name="IQ_MBS_COMM_PASS_THROUGH_ISSUED_FNMA_HTM_FAIR_VAL_FFIEC" hidden="1">"c27015"</definedName>
    <definedName name="IQ_MBS_COMM_PASS_THROUGH_ISSUED_FNMA_HTM_FFIEC" hidden="1">"c26997"</definedName>
    <definedName name="IQ_MBS_INVEST_SECURITIES_FFIEC" hidden="1">"c13460"</definedName>
    <definedName name="IQ_MBS_OTHER_COMM_AFS_AMORT_COST_FFIEC" hidden="1">"c27022"</definedName>
    <definedName name="IQ_MBS_OTHER_COMM_HTM_FAIR_VAL_FFIEC" hidden="1">"c27018"</definedName>
    <definedName name="IQ_MBS_OTHER_COMM_HTM_FFIEC" hidden="1">"c27000"</definedName>
    <definedName name="IQ_MBS_OTHER_COMM_ISSUED_FNMA_AFS_AMORT_COST_FFIEC" hidden="1">"c27021"</definedName>
    <definedName name="IQ_MBS_OTHER_COMM_ISSUED_FNMA_AFS_FFIEC" hidden="1">"c27003"</definedName>
    <definedName name="IQ_MBS_OTHER_COMM_ISSUED_FNMA_HTM_FAIR_VAL_FFIEC" hidden="1">"c27017"</definedName>
    <definedName name="IQ_MBS_OTHER_COMM_ISSUED_FNMA_HTM_FFIEC" hidden="1">"c26999"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UM_SULFUR_CONTENT_RESERVES_COAL" hidden="1">"c15926"</definedName>
    <definedName name="IQ_MEDIUM_SULFURE_RESERVES_TO_TOTAL_RESERVES_COAL" hidden="1">"c15962"</definedName>
    <definedName name="IQ_MEMO_LOANS_SOLD_WITH_RECOURSE_120_DAYS_LESS_THRIFT" hidden="1">"c25337"</definedName>
    <definedName name="IQ_MEMO_LOANS_SOLD_WITH_RECOURSE_GREATER_THAN_120_DAYS_THRIFT" hidden="1">"c25338"</definedName>
    <definedName name="IQ_MEMO_REFINANCING_LOANS_THRIFT" hidden="1">"c25336"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ETRIC_NAME" hidden="1">"c18017"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IMUM_RENTAL" hidden="1">"c26970"</definedName>
    <definedName name="IQ_MINORITY_INT_AVG_ASSETS_FFIEC" hidden="1">"c13367"</definedName>
    <definedName name="IQ_MINORITY_INT_AVG_ASSETS_THRIFT" hidden="1">"c25660"</definedName>
    <definedName name="IQ_MINORITY_INT_BS_FFIEC" hidden="1">"c12874"</definedName>
    <definedName name="IQ_MINORITY_INT_FFIEC" hidden="1">"c13031"</definedName>
    <definedName name="IQ_MINORITY_INT_REDEEM" hidden="1">"c25787"</definedName>
    <definedName name="IQ_MINORITY_INT_REDEEM_TOT" hidden="1">"c25789"</definedName>
    <definedName name="IQ_MINORITY_INT_THRIFT" hidden="1">"c24926"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ISCELLANEOUS_ASSETS_ALL_OTHER_ACCOUNTS_THRIFT" hidden="1">"c25437"</definedName>
    <definedName name="IQ_MISCELLANEOUS_ASSETS_EMPLOYEE_BENEFIT_RETIREMENT_RELATED_ACCOUNTS_THRIFT" hidden="1">"c25421"</definedName>
    <definedName name="IQ_MISCELLANEOUS_ASSETS_PERSONAL_TRUST_AGENCY_INV_MANAGEMENT_ACCOUNTS_THRIFT" hidden="1">"c25405"</definedName>
    <definedName name="IQ_MKT_RISK" hidden="1">"c26991"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MDA_SAVINGS_TOTAL_DEPOSITS_THRIFT" hidden="1">"c25778"</definedName>
    <definedName name="IQ_MOBILE_HOME_LOANS_THRIFT" hidden="1">"c24863"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THRIFT" hidden="1">"c24999"</definedName>
    <definedName name="IQ_MONEY_MKT_DEPOSITS_TOTAL_DEPOSITS" hidden="1">"c15720"</definedName>
    <definedName name="IQ_MONEY_MKT_SAVINGS_ACCT_DEPOSITS_TOTAL_DEPOSITS" hidden="1">"c15722"</definedName>
    <definedName name="IQ_MONEY_SUPPLY_M1" hidden="1">"c20881"</definedName>
    <definedName name="IQ_MONEY_SUPPLY_M2" hidden="1">"c20882"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ASSET_BACKED_SEC_ELIGIBLE_20_PCT_RISK_WEIGHT_THRIFT" hidden="1">"c25057"</definedName>
    <definedName name="IQ_MORTGAGE_ASSET_BACKED_SEC_ELIGIBLE_50_PCT_RISK_WEIGHT_THRIFT" hidden="1">"c25066"</definedName>
    <definedName name="IQ_MORTGAGE_BACKED_SEC_ADJUSTED_NCOS_THRIFT" hidden="1">"c25198"</definedName>
    <definedName name="IQ_MORTGAGE_BACKED_SEC_GVA_CHARGE_OFFS_THRIFT" hidden="1">"c25113"</definedName>
    <definedName name="IQ_MORTGAGE_BACKED_SEC_GVA_RECOVERIES_THRIFT" hidden="1">"c25144"</definedName>
    <definedName name="IQ_MORTGAGE_BACKED_SEC_INV_SEC_THRIFT" hidden="1">"c25673"</definedName>
    <definedName name="IQ_MORTGAGE_BACKED_SEC_SVA_PROVISIONS_TRANSFERS_FROM_GVA_THRIFT" hidden="1">"c25167"</definedName>
    <definedName name="IQ_MORTGAGE_BACKED_SECURITIES_QUARTERLY_AVG_FFIEC" hidden="1">"c27061"</definedName>
    <definedName name="IQ_MORTGAGE_DEBT_UNDER_CAPITAL_LEASES_FFIEC" hidden="1">"c15276"</definedName>
    <definedName name="IQ_MORTGAGE_LOAN_SERVICING_FEES_THRIFT" hidden="1">"c24766"</definedName>
    <definedName name="IQ_MORTGAGE_LOANS_ADJUSTED_NCOS_TOTAL_THRIFT" hidden="1">"c25199"</definedName>
    <definedName name="IQ_MORTGAGE_LOANS_CASH_REPAYMENT_PRINCIPAL_THRIFT" hidden="1">"c25334"</definedName>
    <definedName name="IQ_MORTGAGE_LOANS_DEBITS_LESS_CREDITS_OTHER_THAN_REPAYMENT_PRINCIPAL_THRIFT" hidden="1">"c25335"</definedName>
    <definedName name="IQ_MORTGAGE_LOANS_FORECLOSED_DURING_QUARTER_TOTAL_THRIFT" hidden="1">"c25236"</definedName>
    <definedName name="IQ_MORTGAGE_LOANS_GROSS_LOANS_THRIFT" hidden="1">"c25721"</definedName>
    <definedName name="IQ_MORTGAGE_LOANS_GVA_RECOVERIES_TOTAL_THRIFT" hidden="1">"c25145"</definedName>
    <definedName name="IQ_MORTGAGE_LOANS_PARTICIPATIONS_PURCHASED_FROM_ENTITIES_OTHER_THAN_FEDERALLY_INSURED_DEPOSITORY_INSTITUTIONS_THEIR_SUBSIDIARIES_THRIFT" hidden="1">"c25326"</definedName>
    <definedName name="IQ_MORTGAGE_LOANS_PARTICIPATIONS_PURCHASED_SECURED_1_4_DWELLING_UNITS_THRIFT" hidden="1">"c25325"</definedName>
    <definedName name="IQ_MORTGAGE_LOANS_PARTICIPATIONS_PURCHASED_SECURED_HOME_EQUITY_JUNIOR_LIENS_THRIFT" hidden="1">"c25327"</definedName>
    <definedName name="IQ_MORTGAGE_LOANS_PARTICIPATIONS_PURCHASED_SECURED_MULTIFAMILY_5_MORE_DWELLING_UNITS_THRIFT" hidden="1">"c25328"</definedName>
    <definedName name="IQ_MORTGAGE_LOANS_PARTICIPATIONS_PURCHASED_SECURED_NONRES_THRIFT" hidden="1">"c25329"</definedName>
    <definedName name="IQ_MORTGAGE_LOANS_PARTICIPATIONS_SOLD_SECURED_1_4_DWELLING_UNITS_THRIFT" hidden="1">"c25330"</definedName>
    <definedName name="IQ_MORTGAGE_LOANS_PARTICIPATIONS_SOLD_SECURED_HOME_EQUITY_JUNIOR_LIENS_THRIFT" hidden="1">"c25331"</definedName>
    <definedName name="IQ_MORTGAGE_LOANS_PARTICIPATIONS_SOLD_SECURED_MULTIFAMILY_5_MORE_DWELLING_UNITS_THRIFT" hidden="1">"c25332"</definedName>
    <definedName name="IQ_MORTGAGE_LOANS_PARTICIPATIONS_SOLD_SECURED_NONRES_THRIFT" hidden="1">"c25333"</definedName>
    <definedName name="IQ_MORTGAGE_LOANS_RISK_BASED_CAPITAL_THRIFT" hidden="1">"c25706"</definedName>
    <definedName name="IQ_MORTGAGE_LOANS_SECURED_NON_RES_PROPERTY_100000_THROUGH_250000_THRIFT" hidden="1">"c24954"</definedName>
    <definedName name="IQ_MORTGAGE_LOANS_SECURED_NON_RES_PROPERTY_250000_THROUGH_1000000_THRIFT" hidden="1">"c24956"</definedName>
    <definedName name="IQ_MORTGAGE_LOANS_SECURED_NON_RES_PROPERTY_LESS_THAN_EQUAL_100000_THRIFT" hidden="1">"c24952"</definedName>
    <definedName name="IQ_MORTGAGE_LOANS_SVA_PROVISIONS_TRANSFERS_FROM_GVA_TOTAL_THRIFT" hidden="1">"c25168"</definedName>
    <definedName name="IQ_MORTGAGE_LOANS_TOTAL_GVA_CHARGE_OFFS_THRIFT" hidden="1">"c25114"</definedName>
    <definedName name="IQ_MORTGAGE_LOANS_TOTAL_LOANS_THRIFT" hidden="1">"c25740"</definedName>
    <definedName name="IQ_MORTGAGE_SERV_RIGHTS" hidden="1">"c2242"</definedName>
    <definedName name="IQ_MORTGAGE_SERVICING_ASSETS_FFIEC" hidden="1">"c12838"</definedName>
    <definedName name="IQ_MORTGAGE_SERVICING_RIGHTS_AMOUNTS_NETTED_THRIFT" hidden="1">"c25504"</definedName>
    <definedName name="IQ_MORTGAGE_SERVICING_RIGHTS_LEVEL_1_THRIFT" hidden="1">"c25500"</definedName>
    <definedName name="IQ_MORTGAGE_SERVICING_RIGHTS_LEVEL_2_THRIFT" hidden="1">"c25501"</definedName>
    <definedName name="IQ_MORTGAGE_SERVICING_RIGHTS_LEVEL_3_THRIFT" hidden="1">"c25502"</definedName>
    <definedName name="IQ_MORTGAGE_SERVICING_RIGHTS_TOTAL_AFTER_NETTING_THRIFT" hidden="1">"c25505"</definedName>
    <definedName name="IQ_MORTGAGE_SERVICING_RIGHTS_TOTAL_BEFORE_NETTING_THRIFT" hidden="1">"c25503"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_DOM_LOSS_SHARING_FFIEC" hidden="1">"c27210"</definedName>
    <definedName name="IQ_MULTIFAMILY_5_MORE_DWELLING_UNITS_CONSTRUCTION_MORTGAGE_LOANS_ADJUSTED_NCOS_TOTAL_THRIFT" hidden="1">"c25201"</definedName>
    <definedName name="IQ_MULTIFAMILY_5_MORE_DWELLING_UNITS_CONSTRUCTION_MORTGAGE_LOANS_GVA_CHARGE_OFFS_THRIFT" hidden="1">"c25116"</definedName>
    <definedName name="IQ_MULTIFAMILY_5_MORE_DWELLING_UNITS_CONSTRUCTION_MORTGAGE_LOANS_GVA_RECOVERIES_THRIFT" hidden="1">"c25147"</definedName>
    <definedName name="IQ_MULTIFAMILY_5_MORE_DWELLING_UNITS_CONSTRUCTION_MORTGAGE_LOANS_SVA_PROVISIONS_TRANSFERS_FROM_GVA_TOTAL_THRIFT" hidden="1">"c25170"</definedName>
    <definedName name="IQ_MULTIFAMILY_5_MORE_DWELLING_UNITS_IN_PROCESS_FORECLOSURE_THRIFT" hidden="1">"c25307"</definedName>
    <definedName name="IQ_MULTIFAMILY_5_MORE_DWELLING_UNITS_PML_ADJUSTED_NCOS_TOTAL_THRIFT" hidden="1">"c25206"</definedName>
    <definedName name="IQ_MULTIFAMILY_5_MORE_DWELLING_UNITS_PML_GVA_CHARGE_OFFS_THRIFT" hidden="1">"c25121"</definedName>
    <definedName name="IQ_MULTIFAMILY_5_MORE_DWELLING_UNITS_PML_GVA_RECOVERIES_THRIFT" hidden="1">"c25152"</definedName>
    <definedName name="IQ_MULTIFAMILY_5_MORE_DWELLING_UNITS_PML_SVA_PROVISIONS_TRANSFERS_FROM_GVA_TOTAL_THRIFT" hidden="1">"c25175"</definedName>
    <definedName name="IQ_MULTIFAMILY_5_MORE_LOANS_TOTAL_LOANS_THRIFT" hidden="1">"c25745"</definedName>
    <definedName name="IQ_MULTIFAMILY_LOANS_GROSS_LOANS_FFIEC" hidden="1">"c13404"</definedName>
    <definedName name="IQ_MULTIFAMILY_LOANS_GROSS_LOANS_THRIFT" hidden="1">"c25729"</definedName>
    <definedName name="IQ_MULTIFAMILY_LOANS_RISK_BASED_CAPITAL_THRIFT" hidden="1">"c25714"</definedName>
    <definedName name="IQ_MULTIFAMILY_LOANS_RISK_BASED_FFIEC" hidden="1">"c13425"</definedName>
    <definedName name="IQ_MULTIFAMILY_RES_DOM_FFIEC" hidden="1">"c15270"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NICIPAL_SEC_INV_SEC_THRIFT" hidden="1">"c25672"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MUTUAL_FUNDS_EQUITY_ALL_OTHER_ACCOUNTS_THRIFT" hidden="1">"c25428"</definedName>
    <definedName name="IQ_MUTUAL_FUNDS_EQUITY_EMPLOYEE_BENEFIT_RETIREMENT_RELATED_ACCOUNTS_THRIFT" hidden="1">"c25412"</definedName>
    <definedName name="IQ_MUTUAL_FUNDS_EQUITY_PERSONAL_TRUST_AGENCY_INV_MANAGEMENT_ACCOUNTS_THRIFT" hidden="1">"c25396"</definedName>
    <definedName name="IQ_MUTUAL_FUNDS_MONEY_MARKET_ALL_OTHER_ACCOUNTS_THRIFT" hidden="1">"c25427"</definedName>
    <definedName name="IQ_MUTUAL_FUNDS_MONEY_MARKET_EMPLOYEE_BENEFIT_RETIREMENT_RELATED_ACCOUNTS_THRIFT" hidden="1">"c25411"</definedName>
    <definedName name="IQ_MUTUAL_FUNDS_MONEY_MARKET_PERSONAL_TRUST_AGENCY_INV_MANAGEMENT_ACCOUNTS_THRIFT" hidden="1">"c25395"</definedName>
    <definedName name="IQ_MUTUAL_FUNDS_OTHER_ALL_OTHER_ACCOUNTS_THRIFT" hidden="1">"c25429"</definedName>
    <definedName name="IQ_MUTUAL_FUNDS_OTHER_EMPLOYEE_BENEFIT_RETIREMENT_RELATED_ACCOUNTS_THRIFT" hidden="1">"c25413"</definedName>
    <definedName name="IQ_MUTUAL_FUNDS_OTHER_PERSONAL_TRUST_AGENCY_INV_MANAGEMENT_ACCOUNTS_THRIFT" hidden="1">"c25397"</definedName>
    <definedName name="IQ_NAMES_REVISION_DATE_" hidden="1">41651.4176041667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RE" hidden="1">"c16011"</definedName>
    <definedName name="IQ_NAV_STDDEV_EST" hidden="1">"c1756"</definedName>
    <definedName name="IQ_NCLS_CLOSED_END_1_4_FAM_LOANS_TOT_LOANS_FFIEC" hidden="1">"c13891"</definedName>
    <definedName name="IQ_NCLS_CLOSED_END_1_4_FAMILY_LOANS_TOTAL_LOANS_THRIFT" hidden="1">"c25769"</definedName>
    <definedName name="IQ_NCLS_COMM_IND_LOANS_TOT_LOANS_FFIEC" hidden="1">"c13898"</definedName>
    <definedName name="IQ_NCLS_COMM_LOANS_TOTAL_LOANS_THRIFT" hidden="1">"c25775"</definedName>
    <definedName name="IQ_NCLS_COMM_RE_FARM_LOANS_TOT_LOANS_FFIEC" hidden="1">"c13897"</definedName>
    <definedName name="IQ_NCLS_COMM_RE_FARM_LOANS_TOTAL_LOANS_THRIFT" hidden="1">"c25771"</definedName>
    <definedName name="IQ_NCLS_COMM_RE_NONFARM_NONRES_TOT_LOANS_FFIEC" hidden="1">"c13896"</definedName>
    <definedName name="IQ_NCLS_COMM_RE_NONFARM_NONRESIDENTIAL_TOTAL_LOANS_THRIFT" hidden="1">"c25773"</definedName>
    <definedName name="IQ_NCLS_CONST_LAND_DEV_LOANS_TOT_LOANS_FFIEC" hidden="1">"c13890"</definedName>
    <definedName name="IQ_NCLS_CONSTRUCTION_LAND_DEVELOPMENT_LOANS_TOTAL_LOANS_THRIFT" hidden="1">"c25767"</definedName>
    <definedName name="IQ_NCLS_CONSUMER_LOANS_TOT_LOANS_FFIEC" hidden="1">"c13899"</definedName>
    <definedName name="IQ_NCLS_CONSUMER_LOANS_TOTAL_LOANS_THRIFT" hidden="1">"c25776"</definedName>
    <definedName name="IQ_NCLS_FARM_LOANS_TOT_LOANS_FFIEC" hidden="1">"c13895"</definedName>
    <definedName name="IQ_NCLS_HOME_EQUITY_LOANS_TOT_LOANS_FFIEC" hidden="1">"c13892"</definedName>
    <definedName name="IQ_NCLS_LAND_LOANS_TOTAL_LOANS_THRIFT" hidden="1">"c25772"</definedName>
    <definedName name="IQ_NCLS_MULTIFAM_5_LOANS_TOT_LOANS_FFIEC" hidden="1">"c13894"</definedName>
    <definedName name="IQ_NCLS_MULTIFAMILY_5_MORE_LOANS_TOTAL_LOANS_THRIFT" hidden="1">"c25770"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LS_TOTAL_1_4_FAMILY_LOANS_TOTAL_LOANS_THRIFT" hidden="1">"c25768"</definedName>
    <definedName name="IQ_NCLS_TOTAL_LOANS_TOTAL_LOANS_THRIFT" hidden="1">"c25765"</definedName>
    <definedName name="IQ_NCLS_TOTAL_MORTGAGE_LOANS_TOTAL_LOANS_THRIFT" hidden="1">"c25766"</definedName>
    <definedName name="IQ_NCLS_TOTAL_NON_RE_LOANS_TOTAL_LOANS_THRIFT" hidden="1">"c25774"</definedName>
    <definedName name="IQ_NCOS_CLOSED_END_1_4_FAM_LOANS_TOT_LOANS_FFIEC" hidden="1">"c13879"</definedName>
    <definedName name="IQ_NCOS_CLOSED_END_1_4_FAMILY_LOANS_TOTAL_LOANS_THRIFT" hidden="1">"c25757"</definedName>
    <definedName name="IQ_NCOS_COMM_IND_LOANS_TOT_LOANS_FFIEC" hidden="1">"c13886"</definedName>
    <definedName name="IQ_NCOS_COMM_LOANS_TOTAL_LOANS_THRIFT" hidden="1">"c25763"</definedName>
    <definedName name="IQ_NCOS_COMM_RE_FARM_LOANS_TOT_LOANS_FFIEC" hidden="1">"c13885"</definedName>
    <definedName name="IQ_NCOS_COMM_RE_FARM_LOANS_TOTAL_LOANS_THRIFT" hidden="1">"c25759"</definedName>
    <definedName name="IQ_NCOS_COMM_RE_NONFARM_NONRES_TOT_LOANS_FFIEC" hidden="1">"c13884"</definedName>
    <definedName name="IQ_NCOS_COMM_RE_NONFARM_NONRESIDENTIAL_TOTAL_LOANS_THRIFT" hidden="1">"c25761"</definedName>
    <definedName name="IQ_NCOS_CONST_LAND_DEV_LOANS_TOT_LOANS_FFIEC" hidden="1">"c13878"</definedName>
    <definedName name="IQ_NCOS_CONSTRUCTION_LAND_DEVELOPMENT_LOANS_TOTAL_LOANS_THRIFT" hidden="1">"c25755"</definedName>
    <definedName name="IQ_NCOS_CONSUMER_LOANS_TOT_LOANS_FFIEC" hidden="1">"c13887"</definedName>
    <definedName name="IQ_NCOS_CONSUMER_LOANS_TOTAL_LOANS_THRIFT" hidden="1">"c25764"</definedName>
    <definedName name="IQ_NCOS_FARM_LOANS_TOT_LOANS_FFIEC" hidden="1">"c13883"</definedName>
    <definedName name="IQ_NCOS_HOME_EQUITY_LOANS_TOT_LOANS_FFIEC" hidden="1">"c13880"</definedName>
    <definedName name="IQ_NCOS_LAND_LOANS_TOTAL_LOANS_THRIFT" hidden="1">"c25760"</definedName>
    <definedName name="IQ_NCOS_MULTIFAM_5_LOANS_TOT_LOANS_FFIEC" hidden="1">"c13882"</definedName>
    <definedName name="IQ_NCOS_MULTIFAMILY_5_MORE_LOANS_TOTAL_LOANS_THRIFT" hidden="1">"c25758"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COS_TOTAL_1_4_FAMILY_LOANS_TOTAL_LOANS_THRIFT" hidden="1">"c25756"</definedName>
    <definedName name="IQ_NCOS_TOTAL_LOANS_TOTAL_LOANS_THRIFT" hidden="1">"c25753"</definedName>
    <definedName name="IQ_NCOS_TOTAL_MORTGAGE_LOANS_TOTAL_LOANS_THRIFT" hidden="1">"c25754"</definedName>
    <definedName name="IQ_NCOS_TOTAL_NON_RE_LOANS_TOTAL_LOANS_THRIFT" hidden="1">"c25762"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ED_FUNDS_PURCHASED_TOTAL_ASSETS_THRIFT" hidden="1">"c25704"</definedName>
    <definedName name="IQ_NET_FIDUCIARY_RELATED_SERVICES_INC_THRIFT" hidden="1">"c24815"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AFS_SEC_THRIFT" hidden="1">"c24770"</definedName>
    <definedName name="IQ_NET_GAIN_SALE_LOANS_HELD_INV_THRIFT" hidden="1">"c24774"</definedName>
    <definedName name="IQ_NET_GAIN_SALE_LOANS_LEASES_HFS_THRIFT" hidden="1">"c24771"</definedName>
    <definedName name="IQ_NET_GAIN_SALE_OTHER_ASSETS_HELD_INV_THRIFT" hidden="1">"c24775"</definedName>
    <definedName name="IQ_NET_GAIN_SALE_OTHER_ASSETS_HFS_THRIFT" hidden="1">"c24772"</definedName>
    <definedName name="IQ_NET_GAIN_SALE_PREMISES_FIXED_ASSETS_EXP_FFIEC" hidden="1">"c15372"</definedName>
    <definedName name="IQ_NET_GAIN_SALE_PREMISES_FIXED_ASSETS_INC_FFIEC" hidden="1">"c15369"</definedName>
    <definedName name="IQ_NET_GAIN_SALE_SEC_HTM_THRIFT" hidden="1">"c24773"</definedName>
    <definedName name="IQ_NET_GAINS_FIN_ASSETS_LIABILITIES_FV_THRIFT" hidden="1">"c24776"</definedName>
    <definedName name="IQ_NET_IMPAIR_LOSS_FFIEC" hidden="1">"c25848"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AVG_ASSETS_THRIFT" hidden="1">"c25661"</definedName>
    <definedName name="IQ_NET_INCOME_HOMEBUILDING_SALES" hidden="1">"c15818"</definedName>
    <definedName name="IQ_NET_INCOME_LH_FFIEC" hidden="1">"c13110"</definedName>
    <definedName name="IQ_NET_INCOME_LOCOM_ADJUST_THRIFT" hidden="1">"c24779"</definedName>
    <definedName name="IQ_NET_INCOME_LOSS_ATTRIBUTABLE_SAVINGS_ASSOCIATION_THRIFT" hidden="1">"c25009"</definedName>
    <definedName name="IQ_NET_INCOME_PC_FFIEC" hidden="1">"c13103"</definedName>
    <definedName name="IQ_NET_INCOME_REPOSSESS_ASSETS_THRIFT" hidden="1">"c24778"</definedName>
    <definedName name="IQ_NET_INCOME_SALE_ASSETS_HFS_AFS_SEC_THRIFT" hidden="1">"c24769"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INCOME_AFTER_PROVISION_THRIFT" hidden="1">"c25871"</definedName>
    <definedName name="IQ_NET_INT_INCOME_AVG_ASSET" hidden="1">"c15706"</definedName>
    <definedName name="IQ_NET_INT_INCOME_AVG_ASSETS_THRIFT" hidden="1">"c25649"</definedName>
    <definedName name="IQ_NET_INT_INCOME_AVG_EARNING_ASSETS_THRIFT" hidden="1">"c25668"</definedName>
    <definedName name="IQ_NET_INT_INCOME_FFIEC" hidden="1">"c13001"</definedName>
    <definedName name="IQ_NET_INT_INCOME_FTE_FFIEC" hidden="1">"c13036"</definedName>
    <definedName name="IQ_NET_INT_INCOME_THRIFT" hidden="1">"c24765"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LIFE_INS_IN_FORCE" hidden="1">"c2769"</definedName>
    <definedName name="IQ_NET_LOAN_LOSSES_AVG_LOANS_THRIFT" hidden="1">"c25635"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CORE_DEPOSITS_THRIFT" hidden="1">"c25628"</definedName>
    <definedName name="IQ_NET_LOANS_DEPOSITS_FFIEC" hidden="1">"c13340"</definedName>
    <definedName name="IQ_NET_LOANS_EQUITY_FFIEC" hidden="1">"c13347"</definedName>
    <definedName name="IQ_NET_LOANS_EQUITY_THRIFT" hidden="1">"c25632"</definedName>
    <definedName name="IQ_NET_LOANS_LEASES_LETTERS_CREDIT_TOTAL_ASSETS_THRIFT" hidden="1">"c25698"</definedName>
    <definedName name="IQ_NET_LOANS_LEASES_TOTAL_ASSETS_THRIFT" hidden="1">"c25694"</definedName>
    <definedName name="IQ_NET_LOANS_TOTAL_DEPOSITS" hidden="1">"c779"</definedName>
    <definedName name="IQ_NET_LOANS_TOTAL_DEPOSITS_THRIFT" hidden="1">"c25627"</definedName>
    <definedName name="IQ_NET_LOSSES" hidden="1">"c15873"</definedName>
    <definedName name="IQ_NET_LOSSES_FIDUCIARY_RELATED_SERVICES_THRIFT" hidden="1">"c24813"</definedName>
    <definedName name="IQ_NET_NEW_CLIENT_ASSETS" hidden="1">"c20430"</definedName>
    <definedName name="IQ_NET_NONCORE_FUNDING_DEPENDENCE_SHORT_TERM_THRIFT" hidden="1">"c25624"</definedName>
    <definedName name="IQ_NET_NONCORE_FUNDING_DEPENDENCE_THRIFT" hidden="1">"c25623"</definedName>
    <definedName name="IQ_NET_NONINTEREST_INC_EXP_INTERNATIONAL_OPS_FFIEC" hidden="1">"c15387"</definedName>
    <definedName name="IQ_NET_OCCUPANCY_EXP_ADJUSTED_OPERATING_INCOME_THRIFT" hidden="1">"c25686"</definedName>
    <definedName name="IQ_NET_PC_WRITTEN" hidden="1">"c1027"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PROVISION_LOSS_GVA_THRIFT" hidden="1">"c25092"</definedName>
    <definedName name="IQ_NET_PROVISION_LOSS_SVA_THRIFT" hidden="1">"c25100"</definedName>
    <definedName name="IQ_NET_PROVISION_LOSS_TVA_THRIFT" hidden="1">"c25107"</definedName>
    <definedName name="IQ_NET_RENTAL_EXP" hidden="1">"c26983"</definedName>
    <definedName name="IQ_NET_RENTAL_EXP_FN" hidden="1">"c780"</definedName>
    <definedName name="IQ_NET_RENTAL_EXP_SUPPLE" hidden="1">"c26984"</definedName>
    <definedName name="IQ_NET_SECURITIZATION_INC_FOREIGN_FFIEC" hidden="1">"c15379"</definedName>
    <definedName name="IQ_NET_SERVICING_FEES_ADJUSTED_OPERATING_INCOME_THRIFT" hidden="1">"c25690"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BASIS_ACCOUNTING_ADJUSTMENTS_SAVINGS_ASSOCIATION_THRIFT" hidden="1">"c25015"</definedName>
    <definedName name="IQ_NEW_DEPOSITS_RECEIVED_LESS_DEPOSITS_WITHDRAWN_THRIFT" hidden="1">"c25343"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ANK_NONCONTROLLING_INT_THRIFT" hidden="1">"c24798"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COMPANY" hidden="1">"c25786"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NCONTROLLING_INT_THRIFT" hidden="1">"c24799"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I_SUBTOTAL_AP" hidden="1">"c8983"</definedName>
    <definedName name="IQ_NI_THRIFT" hidden="1">"c24800"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OUNTERPARTY_RISK" hidden="1">"c26990"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MAND_DEPOSITS_THRIFT" hidden="1">"c25007"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FTER_PROVISION_THRIFT" hidden="1">"c25872"</definedName>
    <definedName name="IQ_NON_INT_EXP_AVG_ASSETS_FFIEC" hidden="1">"c18878"</definedName>
    <definedName name="IQ_NON_INT_EXP_AVG_ASSETS_THRIFT" hidden="1">"c25784"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THRIFT" hidden="1">"c24793"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OPERATING_INC_FFIEC" hidden="1">"c13382"</definedName>
    <definedName name="IQ_NON_INT_INCOME_ADJUSTED_OPERATING_INCOME_THRIFT" hidden="1">"c25688"</definedName>
    <definedName name="IQ_NON_INT_INCOME_AVG_ASSET" hidden="1">"c15707"</definedName>
    <definedName name="IQ_NON_INT_INCOME_AVG_ASSETS_THRIFT" hidden="1">"c25650"</definedName>
    <definedName name="IQ_NON_INT_INCOME_FFIEC" hidden="1">"c13017"</definedName>
    <definedName name="IQ_NON_INT_INCOME_THRIFT" hidden="1">"c24781"</definedName>
    <definedName name="IQ_NON_INTEREST_BEARING_DEPOSITS_ALL_OTHER_ACCOUNTS_THRIFT" hidden="1">"c25423"</definedName>
    <definedName name="IQ_NON_INTEREST_BEARING_DEPOSITS_EMPLOYEE_BENEFIT_RETIREMENT_RELATED_ACCOUNTS_THRIFT" hidden="1">"c25407"</definedName>
    <definedName name="IQ_NON_INTEREST_BEARING_DEPOSITS_PERSONAL_TRUST_AGENCY_INV_MANAGEMENT_ACCOUNTS_THRIFT" hidden="1">"c25391"</definedName>
    <definedName name="IQ_NON_INTEREST_EXP" hidden="1">"c1400"</definedName>
    <definedName name="IQ_NON_INTEREST_INC" hidden="1">"c1401"</definedName>
    <definedName name="IQ_NON_MORTGAGE_AGRICULTURE_FARMERS_COMM_LOANS_100000_THROUGH_250000_THRIFT" hidden="1">"c24974"</definedName>
    <definedName name="IQ_NON_MORTGAGE_AGRICULTURE_FARMERS_COMM_LOANS_250000_THROUGH_500000_THRIFT" hidden="1">"c24976"</definedName>
    <definedName name="IQ_NON_MORTGAGE_AGRICULTURE_FARMERS_COMM_LOANS_LESS_THAN_EQUAL_100000_THRIFT" hidden="1">"c24972"</definedName>
    <definedName name="IQ_NON_MORTGAGE_LOANS_ADJUSTED_NCOS_TOTAL_TOTAL_THRIFT" hidden="1">"c25209"</definedName>
    <definedName name="IQ_NON_MORTGAGE_LOANS_GVA_CHARGE_OFFS_TOTAL_THRIFT" hidden="1">"c25124"</definedName>
    <definedName name="IQ_NON_MORTGAGE_LOANS_GVA_RECOVERIES_TOTAL_THRIFT" hidden="1">"c25155"</definedName>
    <definedName name="IQ_NON_MORTGAGE_LOANS_SVA_PROVISIONS_TRANSFERS_FROM_GVA_TOTAL_TOTAL_THRIFT" hidden="1">"c25178"</definedName>
    <definedName name="IQ_NON_MORTGAGE_NON_AGRICULTURE_COMM_LOANS_100000_THROUGH_250000_THRIFT" hidden="1">"c24961"</definedName>
    <definedName name="IQ_NON_MORTGAGE_NON_AGRICULTURE_COMM_LOANS_250000_THROUGH_1000000_THRIFT" hidden="1">"c24963"</definedName>
    <definedName name="IQ_NON_MORTGAGE_NON_AGRICULTURE_COMM_LOANS_LESS_THAN_EQUAL_100000_THRIFT" hidden="1">"c24959"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FUNDING_TOTAL_ASSETS_THRIFT" hidden="1">"c25700"</definedName>
    <definedName name="IQ_NONCUMULATIVE_PREF_THRIFT" hidden="1">"c24916"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DOM_LOSS_SHARING_FFIEC" hidden="1">"c27211"</definedName>
    <definedName name="IQ_NONFARM_NONRES_GROSS_LOANS_FFIEC" hidden="1">"c13405"</definedName>
    <definedName name="IQ_NONFARM_NONRES_LL_REC_DOM_FFIEC" hidden="1">"c13626"</definedName>
    <definedName name="IQ_NONFARM_NONRES_LOANS_GROSS_LOANS_THRIFT" hidden="1">"c25730"</definedName>
    <definedName name="IQ_NONFARM_NONRES_LOANS_RISK_BASED_CAPITAL_THRIFT" hidden="1">"c25715"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CASH_FFIEC" hidden="1">"c12774"</definedName>
    <definedName name="IQ_NONINTEREST_INC_FOREIGN_FFIEC" hidden="1">"c15376"</definedName>
    <definedName name="IQ_NONINTEREST_INC_QUARTER_SECURITIZATION_CLOSED_END_1_4_MORTGAGE_LOANS_FFIEC" hidden="1">"c27053"</definedName>
    <definedName name="IQ_NONINTEREST_INC_QUARTER_SECURITIZATION_OPEN_END_1_4_MORTGAGE_LOANS_FFIEC" hidden="1">"c27054"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RES_PROPERTY_CONSTRUCTION_MORTGAGE_LOANS_GVA_CHARGE_OFFS_THRIFT" hidden="1">"c25117"</definedName>
    <definedName name="IQ_NONRES_PROPERTY_CONSTRUCTION_MORTGAGE_LOANS_GVA_RECOVERIES_THRIFT" hidden="1">"c25148"</definedName>
    <definedName name="IQ_NONRES_PROPERTY_DWELLING_UNITS_CONSTRUCTION_MORTGAGE_LOANS_ADJUSTED_NCOS_TOTAL_THRIFT" hidden="1">"c25202"</definedName>
    <definedName name="IQ_NONRES_PROPERTY_DWELLING_UNITS_CONSTRUCTION_MORTGAGE_LOANS_SVA_PROVISIONS_TRANSFERS_FROM_GVA_TOTAL_THRIFT" hidden="1">"c25171"</definedName>
    <definedName name="IQ_NONRES_PROPERTY_EXCEPT_LAND_IN_PROCESS_FORECLOSURE_THRIFT" hidden="1">"c25308"</definedName>
    <definedName name="IQ_NONRES_PROPERTY_EXCEPT_LAND_PML_ADJUSTED_NCOS_TOTAL_THRIFT" hidden="1">"c25207"</definedName>
    <definedName name="IQ_NONRES_PROPERTY_EXCEPT_LAND_PML_GVA_CHARGE_OFFS_THRIFT" hidden="1">"c25122"</definedName>
    <definedName name="IQ_NONRES_PROPERTY_EXCEPT_LAND_PML_GVA_RECOVERIES_THRIFT" hidden="1">"c25153"</definedName>
    <definedName name="IQ_NONRES_PROPERTY_EXCEPT_LAND_PML_SVA_PROVISIONS_TRANSFERS_FROM_GVA_TOTAL_THRIFT" hidden="1">"c25176"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OBLIGATIONS_FDIC_INC_COVERED_ASSETS_ELIGIBLE_0_PCT_RISK_WEIGHT_THRIFT" hidden="1">"c25053"</definedName>
    <definedName name="IQ_NOTES_PAY" hidden="1">"c1423"</definedName>
    <definedName name="IQ_NOTIONAL_AMT_DERIVATIVES_BENEFICIARY_FFIEC" hidden="1">"c13118"</definedName>
    <definedName name="IQ_NOTIONAL_AMT_DERIVATIVES_GUARANTOR_FFIEC" hidden="1">"c13111"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ATMS" hidden="1">"c26995"</definedName>
    <definedName name="IQ_NUMBER_CELL_SITES" hidden="1">"c15762"</definedName>
    <definedName name="IQ_NUMBER_DAYS" hidden="1">"c1904"</definedName>
    <definedName name="IQ_NUMBER_DEPOSIT_ACCOUNTS_EXCLUDING_RETIREMENT_ACCOUNTS_GREATER_THAN_250000_THRIFT" hidden="1">"c24989"</definedName>
    <definedName name="IQ_NUMBER_DEPOSIT_ACCOUNTS_EXCLUDING_RETIREMENT_ACCOUNTS_LESS_THAN_250000_THRIFT" hidden="1">"c24988"</definedName>
    <definedName name="IQ_NUMBER_DEPOSIT_ACCOUNTS_THRIFT" hidden="1">"c24987"</definedName>
    <definedName name="IQ_NUMBER_FIDUCIARY_MANAGED_ACCOUNTS_THRIFT" hidden="1">"c25439"</definedName>
    <definedName name="IQ_NUMBER_FTE_EMPLOYEES_THRIFT" hidden="1">"c24929"</definedName>
    <definedName name="IQ_NUMBER_ISSUES_IN_DEFAULT_THRIFT" hidden="1">"c25443"</definedName>
    <definedName name="IQ_NUMBER_LOANS_SECURED_FARM_100000_THROUGH_250000_THRIFT" hidden="1">"c24969"</definedName>
    <definedName name="IQ_NUMBER_LOANS_SECURED_FARM_250000_THROUGH_500000_THRIFT" hidden="1">"c24971"</definedName>
    <definedName name="IQ_NUMBER_LOANS_SECURED_FARM_LESS_THAN_EQUAL_100000_THRIFT" hidden="1">"c24967"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MORTGAGE_LOANS_SECURED_NON_RES_PROPERTY_100000_THROUGH_250000_THRIFT" hidden="1">"c24955"</definedName>
    <definedName name="IQ_NUMBER_MORTGAGE_LOANS_SECURED_NON_RES_PROPERTY_250000_THROUGH_1000000_THRIFT" hidden="1">"c24957"</definedName>
    <definedName name="IQ_NUMBER_MORTGAGE_LOANS_SECURED_NON_RES_PROPERTY_LESS_THAN_EQUAL_100000_THRIFT" hidden="1">"c24953"</definedName>
    <definedName name="IQ_NUMBER_MORTGAGE_LOANS_SECURED_NON_RES_PROPERTY_THRIFT" hidden="1">"c24958"</definedName>
    <definedName name="IQ_NUMBER_NON_MORTGAGE_AGRICULTURE_FARMERS_COMM_LOANS_100000_THROUGH_250000_THRIFT" hidden="1">"c24975"</definedName>
    <definedName name="IQ_NUMBER_NON_MORTGAGE_AGRICULTURE_FARMERS_COMM_LOANS_250000_THROUGH_500000_THRIFT" hidden="1">"c24977"</definedName>
    <definedName name="IQ_NUMBER_NON_MORTGAGE_AGRICULTURE_FARMERS_COMM_LOANS_LESS_THAN_EQUAL_100000_THRIFT" hidden="1">"c24973"</definedName>
    <definedName name="IQ_NUMBER_NON_MORTGAGE_LOANS_EXCEPT_CREDIT_CARD_LOANS_THRIFT" hidden="1">"c24965"</definedName>
    <definedName name="IQ_NUMBER_NON_MORTGAGE_NON_AGRICULTURE_COMM_LOANS_100000_THROUGH_250000_THRIFT" hidden="1">"c24962"</definedName>
    <definedName name="IQ_NUMBER_NON_MORTGAGE_NON_AGRICULTURE_COMM_LOANS_250000_THROUGH_1000000_THRIFT" hidden="1">"c24964"</definedName>
    <definedName name="IQ_NUMBER_NON_MORTGAGE_NON_AGRICULTURE_COMM_LOANS_LESS_THAN_EQUAL_100000_THRIFT" hidden="1">"c24960"</definedName>
    <definedName name="IQ_NUMBER_NONINTEREST_BEARING_TRANSACTION_ACCOUNTS_MORE_THAN_250000_THRIFT" hidden="1">"c25583"</definedName>
    <definedName name="IQ_NUMBER_RETIREMENT_DEPOSIT_ACCOUNTS_GREATER_THAN_250000_THRIFT" hidden="1">"c24993"</definedName>
    <definedName name="IQ_NUMBER_RETIREMENT_DEPOSIT_ACCOUNTS_LESS_THAN_250000_THRIFT" hidden="1">"c24992"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CCUPANCY_CONSOL" hidden="1">"c8840"</definedName>
    <definedName name="IQ_OCCUPANCY_EXP_AVG_ASSETS_FFIEC" hidden="1">"c13372"</definedName>
    <definedName name="IQ_OCCUPANCY_EXP_AVG_ASSETS_THRIFT" hidden="1">"c25663"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FFICE_OCCUPANCY_EQUIP_EXP_THRIFT" hidden="1">"c24787"</definedName>
    <definedName name="IQ_OFFICE_PREMISES_EQUIPMENT_THRIFT" hidden="1">"c24882"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"c20387"</definedName>
    <definedName name="IQ_OG_EQUTY_RESERVES_NGL" hidden="1">"c20388"</definedName>
    <definedName name="IQ_OG_EQUTY_RESERVES_OIL" hidden="1">"c20389"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END_LINES_CREDIT_THRIFT" hidden="1">"c25608"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CM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AL_RISK" hidden="1">"c26992"</definedName>
    <definedName name="IQ_OPERATIONS_EXP" hidden="1">"c855"</definedName>
    <definedName name="IQ_OPT_DIV_YLD_HIGH" hidden="1">"c18022"</definedName>
    <definedName name="IQ_OPT_DIV_YLD_LOW" hidden="1">"c18021"</definedName>
    <definedName name="IQ_OPT_FAIR_VALUE_HIGH" hidden="1">"c18030"</definedName>
    <definedName name="IQ_OPT_FAIR_VALUE_LOW" hidden="1">"c18029"</definedName>
    <definedName name="IQ_OPT_FORFEITURE_HIGH" hidden="1">"c18028"</definedName>
    <definedName name="IQ_OPT_FORFEITURE_LOW" hidden="1">"c18027"</definedName>
    <definedName name="IQ_OPT_LIFE_HIGH" hidden="1">"c18026"</definedName>
    <definedName name="IQ_OPT_LIFE_LOW" hidden="1">"c18025"</definedName>
    <definedName name="IQ_OPT_MODEL" hidden="1">"c18018"</definedName>
    <definedName name="IQ_OPT_RISK_FREE_HIGH" hidden="1">"c18020"</definedName>
    <definedName name="IQ_OPT_RISK_FREE_LOW" hidden="1">"c18019"</definedName>
    <definedName name="IQ_OPT_TOTAL_AGG_INT_VALUE_EXER" hidden="1">"c18441"</definedName>
    <definedName name="IQ_OPT_TOTAL_AGG_INT_VALUE_OUT" hidden="1">"c18437"</definedName>
    <definedName name="IQ_OPT_TOTAL_NUM_EXER" hidden="1">"c18439"</definedName>
    <definedName name="IQ_OPT_TOTAL_NUM_OUT" hidden="1">"c18435"</definedName>
    <definedName name="IQ_OPT_TOTAL_PLAN_NAME" hidden="1">"c18467"</definedName>
    <definedName name="IQ_OPT_TOTAL_PRICE_HIGH" hidden="1">"c18432"</definedName>
    <definedName name="IQ_OPT_TOTAL_PRICE_LOW" hidden="1">"c18431"</definedName>
    <definedName name="IQ_OPT_TOTAL_PRICE_RANGE" hidden="1">"c18433"</definedName>
    <definedName name="IQ_OPT_TOTAL_WTD_LIFE_EXER" hidden="1">"c18440"</definedName>
    <definedName name="IQ_OPT_TOTAL_WTD_LIFE_OUT" hidden="1">"c18436"</definedName>
    <definedName name="IQ_OPT_TOTAL_WTD_PRICE_EXER" hidden="1">"c18438"</definedName>
    <definedName name="IQ_OPT_TOTAL_WTD_PRICE_OUT" hidden="1">"c18434"</definedName>
    <definedName name="IQ_OPT_TRANCHE_AGG_INT_VALUE_EXER" hidden="1">"c18430"</definedName>
    <definedName name="IQ_OPT_TRANCHE_AGG_INT_VALUE_OUT" hidden="1">"c18426"</definedName>
    <definedName name="IQ_OPT_TRANCHE_CLASS_NAME" hidden="1">"c18419"</definedName>
    <definedName name="IQ_OPT_TRANCHE_NUM_EXER" hidden="1">"c18428"</definedName>
    <definedName name="IQ_OPT_TRANCHE_NUM_OUT" hidden="1">"c18424"</definedName>
    <definedName name="IQ_OPT_TRANCHE_PLAN_NAME" hidden="1">"c18418"</definedName>
    <definedName name="IQ_OPT_TRANCHE_PLAN_RANK" hidden="1">"c18466"</definedName>
    <definedName name="IQ_OPT_TRANCHE_PRICE_HIGH" hidden="1">"c18421"</definedName>
    <definedName name="IQ_OPT_TRANCHE_PRICE_LOW" hidden="1">"c18420"</definedName>
    <definedName name="IQ_OPT_TRANCHE_PRICE_RANGE" hidden="1">"c18422"</definedName>
    <definedName name="IQ_OPT_TRANCHE_WTD_LIFE_EXER" hidden="1">"c18429"</definedName>
    <definedName name="IQ_OPT_TRANCHE_WTD_LIFE_OUT" hidden="1">"c18425"</definedName>
    <definedName name="IQ_OPT_TRANCHE_WTD_PRICE_EXER" hidden="1">"c18427"</definedName>
    <definedName name="IQ_OPT_TRANCHE_WTD_PRICE_OUT" hidden="1">"c18423"</definedName>
    <definedName name="IQ_OPT_VOL_HIGH" hidden="1">"c18024"</definedName>
    <definedName name="IQ_OPT_VOL_LOW" hidden="1">"c18023"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FFIEC" hidden="1">"c12831"</definedName>
    <definedName name="IQ_OREO_FOREIGN_FFIEC" hidden="1">"c15273"</definedName>
    <definedName name="IQ_OREO_OTHER_FFIEC" hidden="1">"c12833"</definedName>
    <definedName name="IQ_ORGANIC_GROWTH_RATE" hidden="1">"c20429"</definedName>
    <definedName name="IQ_OTHER_ACCRUED_INT_PAYABLE_THRIFT" hidden="1">"c24908"</definedName>
    <definedName name="IQ_OTHER_ADDITIONS_ADJUSTED_ASSETS_THRIFT" hidden="1">"c25037"</definedName>
    <definedName name="IQ_OTHER_ADDITIONS_T1_FFIEC" hidden="1">"c13142"</definedName>
    <definedName name="IQ_OTHER_ADDITIONS_T1_THRIFT" hidden="1">"c25028"</definedName>
    <definedName name="IQ_OTHER_ADDITIONS_T2_FFIEC" hidden="1">"c13148"</definedName>
    <definedName name="IQ_OTHER_ADDITIONS_T2_THRIFT" hidden="1">"c25044"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DJUSTMENTS_SAVINGS_ASSOCIATION_THRIFT" hidden="1">"c25018"</definedName>
    <definedName name="IQ_OTHER_AFFO" hidden="1">"c16180"</definedName>
    <definedName name="IQ_OTHER_AMORT" hidden="1">"c5563"</definedName>
    <definedName name="IQ_OTHER_AMORT_BNK" hidden="1">"c5565"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OCI_THRIFT" hidden="1">"c24923"</definedName>
    <definedName name="IQ_OTHER_ASSET_LOSS_SHARING_FFIEC" hidden="1">"c27215"</definedName>
    <definedName name="IQ_OTHER_ASSETS" hidden="1">"c860"</definedName>
    <definedName name="IQ_OTHER_ASSETS_ADJUSTED_NCOS_TOTAL_THRIFT" hidden="1">"c25227"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FIEC" hidden="1">"c12848"</definedName>
    <definedName name="IQ_OTHER_ASSETS_FIN" hidden="1">"c863"</definedName>
    <definedName name="IQ_OTHER_ASSETS_GVA_CHARGE_OFFS_THRIFT" hidden="1">"c25142"</definedName>
    <definedName name="IQ_OTHER_ASSETS_GVA_RECOVERIES_THRIFT" hidden="1">"c25165"</definedName>
    <definedName name="IQ_OTHER_ASSETS_GVA_THRIFT" hidden="1">"c24893"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SVA_PROVISIONS_TRANSFERS_FROM_GVA_TOTAL_THRIFT" hidden="1">"c25196"</definedName>
    <definedName name="IQ_OTHER_ASSETS_THRIFT" hidden="1">"c24892"</definedName>
    <definedName name="IQ_OTHER_ASSETS_TOTAL_FFIEC" hidden="1">"c12841"</definedName>
    <definedName name="IQ_OTHER_ASSETS_UTI" hidden="1">"c866"</definedName>
    <definedName name="IQ_OTHER_BALANCE_CHANGES_OTHER_MORTGAGE_BACKED_SEC_THRIFT" hidden="1">"c25316"</definedName>
    <definedName name="IQ_OTHER_BALANCE_CHANGES_PASS_THROUGH_MORTGAGE_BACKED_SEC_THRIFT" hidden="1">"c25313"</definedName>
    <definedName name="IQ_OTHER_BANK_OWNED_LIFE_INSURANCE_THRIFT" hidden="1">"c24886"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AMOUNTS_NETTED_THRIFT" hidden="1">"c25546"</definedName>
    <definedName name="IQ_OTHER_BORROWINGS_LESS_THAN_1_YR_TOTAL_ASSETS_THRIFT" hidden="1">"c25705"</definedName>
    <definedName name="IQ_OTHER_BORROWINGS_LEVEL_1_THRIFT" hidden="1">"c25542"</definedName>
    <definedName name="IQ_OTHER_BORROWINGS_LEVEL_2_THRIFT" hidden="1">"c25543"</definedName>
    <definedName name="IQ_OTHER_BORROWINGS_LEVEL_3_THRIFT" hidden="1">"c25544"</definedName>
    <definedName name="IQ_OTHER_BORROWINGS_THRIFT" hidden="1">"c24904"</definedName>
    <definedName name="IQ_OTHER_BORROWINGS_TOTAL_AFTER_NETTING_THRIFT" hidden="1">"c25547"</definedName>
    <definedName name="IQ_OTHER_BORROWINGS_TOTAL_BEFORE_NETTING_THRIFT" hidden="1">"c25545"</definedName>
    <definedName name="IQ_OTHER_BROKERED_TIME_DEPOSITS_THRIFT" hidden="1">"c25006"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M_MBS_TRADING_DOM_FFIEC" hidden="1">"c27013"</definedName>
    <definedName name="IQ_OTHER_COMM_MBS_TRADING_FFIEC" hidden="1">"c27006"</definedName>
    <definedName name="IQ_OTHER_COMMON_PREFERRED_STOCKS_ALL_OTHER_ACCOUNTS_THRIFT" hidden="1">"c25434"</definedName>
    <definedName name="IQ_OTHER_COMMON_PREFERRED_STOCKS_EMPLOYEE_BENEFIT_RETIREMENT_RELATED_ACCOUNTS_THRIFT" hidden="1">"c25418"</definedName>
    <definedName name="IQ_OTHER_COMMON_PREFERRED_STOCKS_PERSONAL_TRUST_AGENCY_INV_MANAGEMENT_ACCOUNTS_THRIFT" hidden="1">"c25402"</definedName>
    <definedName name="IQ_OTHER_COMPREHENSIVE_INCOME_FFIEC" hidden="1">"c12970"</definedName>
    <definedName name="IQ_OTHER_COMPREHENSIVE_INCOME_SAVINGS_ASSOCIATION_THRIFT" hidden="1">"c25016"</definedName>
    <definedName name="IQ_OTHER_CONST_LAND_DEVELOP_LOANS_DOM_RSTRC_TERMS_FFIEC" hidden="1">"c27024"</definedName>
    <definedName name="IQ_OTHER_CONST_LOANS_DOM_LOSS_SHARING_FFIEC" hidden="1">"c27189"</definedName>
    <definedName name="IQ_OTHER_CONST_LOANS_RSTRC_DUE_30_89_FFIEC" hidden="1">"c27092"</definedName>
    <definedName name="IQ_OTHER_CONST_LOANS_RSTRC_DUE_90_FFIEC" hidden="1">"c27132"</definedName>
    <definedName name="IQ_OTHER_CONST_LOANS_RSTRC_DUE_NON_ACCRUAL_FFIEC" hidden="1">"c27172"</definedName>
    <definedName name="IQ_OTHER_CONST_LOANS_SEC_RE_DOM_LOSS_SHARING_DUE_30_89_FFIEC" hidden="1">"c27072"</definedName>
    <definedName name="IQ_OTHER_CONST_LOANS_SEC_RE_DOM_LOSS_SHARING_DUE_90_FFIEC" hidden="1">"c27112"</definedName>
    <definedName name="IQ_OTHER_CONST_LOANS_SEC_RE_DOM_LOSS_SHARING_DUE_NON_ACCRUAL_FFIEC" hidden="1">"c27152"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GROSS_LOANS_THRIFT" hidden="1">"c25728"</definedName>
    <definedName name="IQ_OTHER_CONSTRUCTION_LOANS_NON_ACCRUAL_FFIEC" hidden="1">"c13312"</definedName>
    <definedName name="IQ_OTHER_CONSTRUCTION_LOANS_RISK_BASED_CAPITAL_THRIFT" hidden="1">"c25713"</definedName>
    <definedName name="IQ_OTHER_CONSTRUCTION_LOANS_UNUSED_FFIEC" hidden="1">"c13245"</definedName>
    <definedName name="IQ_OTHER_CONSTRUCTION_RISK_BASED_FFIEC" hidden="1">"c13424"</definedName>
    <definedName name="IQ_OTHER_CONSUMER_EXCL_AUTO_LL_REC_FFIEC" hidden="1">"c27363"</definedName>
    <definedName name="IQ_OTHER_CONSUMER_INC_LEASE_RECEIVABLES_THRIFT" hidden="1">"c24865"</definedName>
    <definedName name="IQ_OTHER_CONSUMER_LL_REC_FFIEC" hidden="1">"c12891"</definedName>
    <definedName name="IQ_OTHER_CONSUMER_LOANS_EXCD_10_RSTRC_DUE_30_89_FFIEC" hidden="1">"c27105"</definedName>
    <definedName name="IQ_OTHER_CONSUMER_LOANS_EXCD_10_RSTRC_DUE_90_FFIEC" hidden="1">"c27145"</definedName>
    <definedName name="IQ_OTHER_CONSUMER_LOANS_EXCD_10_RSTRC_NON_ACCRUAL_FFIEC" hidden="1">"c27185"</definedName>
    <definedName name="IQ_OTHER_CONSUMER_LOANS_EXCL_AUTO_DUE_30_89_FFIEC" hidden="1">"c27355"</definedName>
    <definedName name="IQ_OTHER_CONSUMER_LOANS_EXCL_AUTO_DUE_90_FFIEC" hidden="1">"c27356"</definedName>
    <definedName name="IQ_OTHER_CONSUMER_LOANS_EXCL_AUTO_NON_ACCRUAL_FFIEC" hidden="1">"c27357"</definedName>
    <definedName name="IQ_OTHER_CONSUMER_LOANS_EXCL_AUTO_TRADING_DOM_FFIEC" hidden="1">"c27365"</definedName>
    <definedName name="IQ_OTHER_CONSUMER_LOANS_EXCL_AUTO_TRADING_FFIEC" hidden="1">"c27364"</definedName>
    <definedName name="IQ_OTHER_CONSUMER_LOANS_FAIR_VAL_DOM_FFIEC" hidden="1">"c27044"</definedName>
    <definedName name="IQ_OTHER_CONSUMER_LOANS_FAIR_VAL_FFIEC" hidden="1">"c27040"</definedName>
    <definedName name="IQ_OTHER_CONSUMER_LOANS_FFIEC" hidden="1">"c12824"</definedName>
    <definedName name="IQ_OTHER_CONSUMER_LOANS_LOSS_SHARING_DUE_30_89_FFIEC" hidden="1">"c27084"</definedName>
    <definedName name="IQ_OTHER_CONSUMER_LOANS_LOSS_SHARING_DUE_90_FFIEC" hidden="1">"c27124"</definedName>
    <definedName name="IQ_OTHER_CONSUMER_LOANS_LOSS_SHARING_FFIEC" hidden="1">"c27201"</definedName>
    <definedName name="IQ_OTHER_CONSUMER_LOANS_LOSS_SHARING_NON_ACCRUAL_FFIEC" hidden="1">"c27164"</definedName>
    <definedName name="IQ_OTHER_CONSUMER_LOANS_QUARTERLY_AVG_FFIEC" hidden="1">"c27067"</definedName>
    <definedName name="IQ_OTHER_CONSUMER_LOANS_RSTRC_TERMS_FFIEC" hidden="1">"c27036"</definedName>
    <definedName name="IQ_OTHER_CONSUMER_LOANS_TRADING_DOM_FFIEC" hidden="1">"c12935"</definedName>
    <definedName name="IQ_OTHER_CONSUMER_LOANS_UNPAID_PRIN_FAIR_VAL_DOM_FFIEC" hidden="1">"c27046"</definedName>
    <definedName name="IQ_OTHER_CONSUMER_LOANS_UNPAID_PRIN_FAIR_VAL_FFIEC" hidden="1">"c27042"</definedName>
    <definedName name="IQ_OTHER_CONSUMER_LOANS_UNPAID_PRIN_FAIR_VAL_TRADING_DOM_FFIEC" hidden="1">"c27050"</definedName>
    <definedName name="IQ_OTHER_CONSUMER_LOANS_UNPAID_PRIN_FAIR_VAL_TRADING_FFIEC" hidden="1">"c27048"</definedName>
    <definedName name="IQ_OTHER_CONTINGENT_LIABILITIES_THRIFT" hidden="1">"c25621"</definedName>
    <definedName name="IQ_OTHER_CREDIT_CARD_LINES_UNUSED_FFIEC" hidden="1">"c25863"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ADJUSTED_ASSETS_THRIFT" hidden="1">"c25034"</definedName>
    <definedName name="IQ_OTHER_DEDUCTIONS_LEVERAGE_RATIO_FFIEC" hidden="1">"c13158"</definedName>
    <definedName name="IQ_OTHER_DEDUCTIONS_T1_THRIFT" hidden="1">"c25025"</definedName>
    <definedName name="IQ_OTHER_DEP" hidden="1">"c885"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EARNING" hidden="1">"c1609"</definedName>
    <definedName name="IQ_OTHER_ELIGIBLE_0_PCT_RISK_WEIGHT_THRIFT" hidden="1">"c25054"</definedName>
    <definedName name="IQ_OTHER_ELIGIBLE_20_PCT_RISK_WEIGHT_THRIFT" hidden="1">"c25061"</definedName>
    <definedName name="IQ_OTHER_ELIGIBLE_50_PCT_RISK_WEIGHT_THRIFT" hidden="1">"c25068"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ONENTS_THRIFT" hidden="1">"c24924"</definedName>
    <definedName name="IQ_OTHER_EQUITY_CAPITAL_COMPS_FFIEC" hidden="1">"c12880"</definedName>
    <definedName name="IQ_OTHER_EQUITY_CM" hidden="1">"c888"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INSTRUMENTS_T2_THRIFT" hidden="1">"c25042"</definedName>
    <definedName name="IQ_OTHER_EQUITY_INV_NOT_CARRIED_FV_THRIFT" hidden="1">"c24881"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EES_CHARGES_THRIFT" hidden="1">"c24768"</definedName>
    <definedName name="IQ_OTHER_FIDUCIARY_ACCOUNTS_INC_THRIFT" hidden="1">"c24808"</definedName>
    <definedName name="IQ_OTHER_FIDUCIARY_ACCOUNTS_MANAGED_ASSETS_THRIFT" hidden="1">"c25355"</definedName>
    <definedName name="IQ_OTHER_FIDUCIARY_ACCOUNTS_NONMANAGED_ASSETS_THRIFT" hidden="1">"c25376"</definedName>
    <definedName name="IQ_OTHER_FIDUCIARY_ACCOUNTS_NUMBER_MANAGED_ACCOUNTS_THRIFT" hidden="1">"c25366"</definedName>
    <definedName name="IQ_OTHER_FIDUCIARY_ACCOUNTS_NUMBER_NONMANAGED_ACCOUNTS_THRIFT" hidden="1">"c25388"</definedName>
    <definedName name="IQ_OTHER_FIDUCIARY_ACCOUNTS_RELATED_SERVICES_GROSS_LOSSES_MANAGED_ACCOUNTS_THRIFT" hidden="1">"c25464"</definedName>
    <definedName name="IQ_OTHER_FIDUCIARY_ACCOUNTS_RELATED_SERVICES_GROSS_LOSSES_NONMANAGED_ACCOUNTS_THRIFT" hidden="1">"c25469"</definedName>
    <definedName name="IQ_OTHER_FIDUCIARY_ACCOUNTS_RELATED_SERVICES_RECOVERIES_THRIFT" hidden="1">"c25474"</definedName>
    <definedName name="IQ_OTHER_FIDUCIARY_RELATED_SERVICES_INC_THRIFT" hidden="1">"c24810"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PREMIUMS_FFIEC" hidden="1">"c13071"</definedName>
    <definedName name="IQ_OTHER_INT_EARNING_DEPOSITS_THRIFT" hidden="1">"c24820"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V" hidden="1">"c914"</definedName>
    <definedName name="IQ_OTHER_INV_SEC_INV_SEC_THRIFT" hidden="1">"c25675"</definedName>
    <definedName name="IQ_OTHER_INV_SEC_THRIFT" hidden="1">"c24826"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DEFERRED_INCOME_THRIFT" hidden="1">"c24912"</definedName>
    <definedName name="IQ_OTHER_LIABILITIES_FFIEC" hidden="1">"c12872"</definedName>
    <definedName name="IQ_OTHER_LIABILITIES_THRIFT" hidden="1">"c24905"</definedName>
    <definedName name="IQ_OTHER_LIABILITIES_TOTAL_FFIEC" hidden="1">"c12869"</definedName>
    <definedName name="IQ_OTHER_LINES_CREDIT_THRIFT" hidden="1">"c25611"</definedName>
    <definedName name="IQ_OTHER_LL_LOSS_SHARING_FFIEC" hidden="1">"c27202"</definedName>
    <definedName name="IQ_OTHER_LL_REC_FFIEC" hidden="1">"c12894"</definedName>
    <definedName name="IQ_OTHER_LOANS" hidden="1">"c945"</definedName>
    <definedName name="IQ_OTHER_LOANS_ALL_OTHER_LEASES_RSTRC_DUE_30_89_FFIEC" hidden="1">"c27358"</definedName>
    <definedName name="IQ_OTHER_LOANS_ALL_OTHER_LEASES_RSTRC_DUE_90_FFIEC" hidden="1">"c27359"</definedName>
    <definedName name="IQ_OTHER_LOANS_ALL_OTHER_LEASES_RSTRC_NON_ACCRUAL_FFIEC" hidden="1">"c27360"</definedName>
    <definedName name="IQ_OTHER_LOANS_DUE_30_89_FFIEC" hidden="1">"c13275"</definedName>
    <definedName name="IQ_OTHER_LOANS_DUE_90_FFIEC" hidden="1">"c13301"</definedName>
    <definedName name="IQ_OTHER_LOANS_EXCD_10_LL_FFIEC" hidden="1">"c27205"</definedName>
    <definedName name="IQ_OTHER_LOANS_EXCD_10_RSTRC_DUE_30_89_FFIEC" hidden="1">"c27107"</definedName>
    <definedName name="IQ_OTHER_LOANS_EXCD_10_RSTRC_DUE_90_FFIEC" hidden="1">"c27147"</definedName>
    <definedName name="IQ_OTHER_LOANS_EXCD_10_RSTRC_NON_ACCRUAL_FFIEC" hidden="1">"c27187"</definedName>
    <definedName name="IQ_OTHER_LOANS_EXCD_10_RSTRC_TERMS_FFIEC" hidden="1">"c27038"</definedName>
    <definedName name="IQ_OTHER_LOANS_FFIEC" hidden="1">"c12825"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EXCL_AUTO_CHARGE_OFFS_FFIEC" hidden="1">"c27361"</definedName>
    <definedName name="IQ_OTHER_LOANS_INDIVIDUALS_EXCL_AUTO_RECOV_FFIEC" hidden="1">"c27362"</definedName>
    <definedName name="IQ_OTHER_LOANS_INDIVIDUALS_NON_ACCRUAL_FFIEC" hidden="1">"c13325"</definedName>
    <definedName name="IQ_OTHER_LOANS_INDIVIDUALS_RECOV_FFIEC" hidden="1">"c13203"</definedName>
    <definedName name="IQ_OTHER_LOANS_LEASES_GROSS_LOANS_THRIFT" hidden="1">"c25735"</definedName>
    <definedName name="IQ_OTHER_LOANS_LEASES_RISK_BASED_CAPITAL_THRIFT" hidden="1">"c25720"</definedName>
    <definedName name="IQ_OTHER_LOANS_LL_REC_DOM_FFIEC" hidden="1">"c12914"</definedName>
    <definedName name="IQ_OTHER_LOANS_LOSS_SHARING_DUE_30_89_FFIEC" hidden="1">"c27088"</definedName>
    <definedName name="IQ_OTHER_LOANS_LOSS_SHARING_DUE_90_FFIEC" hidden="1">"c27128"</definedName>
    <definedName name="IQ_OTHER_LOANS_LOSS_SHARING_NON_ACCRUAL_FFIEC" hidden="1">"c27168"</definedName>
    <definedName name="IQ_OTHER_LOANS_NON_ACCRUAL_FFIEC" hidden="1">"c13327"</definedName>
    <definedName name="IQ_OTHER_LOANS_RISK_BASED_FFIEC" hidden="1">"c13435"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EXCLUDING_BONDS_THRIFT" hidden="1">"c24832"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HRIFT" hidden="1">"c24835"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_NINT_INCOME_THRIFT" hidden="1">"c24780"</definedName>
    <definedName name="IQ_OTHER_NON_INT_ALLOCATIONS_FFIEC" hidden="1">"c13065"</definedName>
    <definedName name="IQ_OTHER_NON_INT_EXP" hidden="1">"c953"</definedName>
    <definedName name="IQ_OTHER_NON_INT_EXP_FFIEC" hidden="1">"c13027"</definedName>
    <definedName name="IQ_OTHER_NON_INT_EXP_THRIFT" hidden="1">"c24792"</definedName>
    <definedName name="IQ_OTHER_NON_INT_EXP_TOTAL" hidden="1">"c954"</definedName>
    <definedName name="IQ_OTHER_NON_INT_INC" hidden="1">"c955"</definedName>
    <definedName name="IQ_OTHER_NON_INT_INC_OPERATING_INC_FFIEC" hidden="1">"c13392"</definedName>
    <definedName name="IQ_OTHER_NON_INT_INCOME_ADJUSTED_OPERATING_INCOME_THRIFT" hidden="1">"c25691"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TES_BONDS_ALL_OTHER_ACCOUNTS_THRIFT" hidden="1">"c25432"</definedName>
    <definedName name="IQ_OTHER_NOTES_BONDS_EMPLOYEE_BENEFIT_RETIREMENT_RELATED_ACCOUNTS_THRIFT" hidden="1">"c25416"</definedName>
    <definedName name="IQ_OTHER_NOTES_BONDS_PERSONAL_TRUST_AGENCY_INV_MANAGEMENT_ACCOUNTS_THRIFT" hidden="1">"c25400"</definedName>
    <definedName name="IQ_OTHER_OFF_BS_ITEMS_FFIEC" hidden="1">"c13126"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EXPENSES_ADJUSTED_OPERATING_INCOME_THRIFT" hidden="1">"c25687"</definedName>
    <definedName name="IQ_OTHER_OPERATING_EXPENSES_AVG_ASSETS_THRIFT" hidden="1">"c25664"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"c24739"</definedName>
    <definedName name="IQ_OTHER_PASS_THROUGH_THRIFT" hidden="1">"c24831"</definedName>
    <definedName name="IQ_OTHER_PC_WRITTEN" hidden="1">"c1006"</definedName>
    <definedName name="IQ_OTHER_PML_SECURED_FIRST_LIEN_1_4_DWELLING_UNITS_DUE_30_89_THRIFT" hidden="1">"c25242"</definedName>
    <definedName name="IQ_OTHER_PML_SECURED_FIRST_LIEN_1_4_DWELLING_UNITS_DUE_90_THRIFT" hidden="1">"c25263"</definedName>
    <definedName name="IQ_OTHER_PML_SECURED_FIRST_LIEN_1_4_DWELLING_UNITS_NON_ACCRUAL_THRIFT" hidden="1">"c25284"</definedName>
    <definedName name="IQ_OTHER_PML_SECURED_JUNIOR_LIEN_1_4_DWELLING_UNITS_DUE_30_89_THRIFT" hidden="1">"c25243"</definedName>
    <definedName name="IQ_OTHER_PML_SECURED_JUNIOR_LIEN_1_4_DWELLING_UNITS_DUE_90_THRIFT" hidden="1">"c25264"</definedName>
    <definedName name="IQ_OTHER_PML_SECURED_JUNIOR_LIEN_1_4_DWELLING_UNITS_NON_ACCRUAL_THRIFT" hidden="1">"c25285"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FOREIGN_LOSS_SHARING_FFIEC" hidden="1">"c27212"</definedName>
    <definedName name="IQ_OTHER_RE_LOSS_SHARING_FFIEC" hidden="1">"c27213"</definedName>
    <definedName name="IQ_OTHER_REAL_ESTATE" hidden="1">"c1007"</definedName>
    <definedName name="IQ_OTHER_RECEIV" hidden="1">"c1008"</definedName>
    <definedName name="IQ_OTHER_RECEIV_INS" hidden="1">"c1009"</definedName>
    <definedName name="IQ_OTHER_RENTAL" hidden="1">"c26971"</definedName>
    <definedName name="IQ_OTHER_REPOSSESSED_ASSETS_ADJUSTED_NCOS_TOTAL_THRIFT" hidden="1">"c25224"</definedName>
    <definedName name="IQ_OTHER_REPOSSESSED_ASSETS_GVA_CHARGE_OFFS_THRIFT" hidden="1">"c25139"</definedName>
    <definedName name="IQ_OTHER_REPOSSESSED_ASSETS_SVA_PROVISIONS_TRANSFERS_FROM_GVA_TOTAL_THRIFT" hidden="1">"c25193"</definedName>
    <definedName name="IQ_OTHER_RES_MBS_ISSUED_FNMA_GNMA_TRADING_DOM_FFIEC" hidden="1">"c27351"</definedName>
    <definedName name="IQ_OTHER_RES_MBS_ISSUED_FNMA_GNMA_TRADING_FFIEC" hidden="1">"c27347"</definedName>
    <definedName name="IQ_OTHER_RES_MBS_TRADING_DOM_FFIEC" hidden="1">"c27352"</definedName>
    <definedName name="IQ_OTHER_RES_MBS_TRADING_FFIEC" hidden="1">"c27348"</definedName>
    <definedName name="IQ_OTHER_RESIDUAL_INTERESTS_THRIFT" hidden="1">"c24940"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ISKS" hidden="1">"c26993"</definedName>
    <definedName name="IQ_OTHER_ROOMS" hidden="1">"c8788"</definedName>
    <definedName name="IQ_OTHER_SAVINGS_DEPOSITS_NON_TRANS_ACCTS_FFIEC" hidden="1">"c15331"</definedName>
    <definedName name="IQ_OTHER_SEC_QUARTERLY_AVG_FFIEC" hidden="1">"c27062"</definedName>
    <definedName name="IQ_OTHER_SECURITIES_QUARTERLY_AVG_FFIEC" hidden="1">"c15472"</definedName>
    <definedName name="IQ_OTHER_SERVICE_CHARGES_COMM_FEE_DOM_FFIEC" hidden="1">"c25822"</definedName>
    <definedName name="IQ_OTHER_SHORT_TERM_OBLIGATIONS_ALL_OTHER_ACCOUNTS_THRIFT" hidden="1">"c25431"</definedName>
    <definedName name="IQ_OTHER_SHORT_TERM_OBLIGATIONS_EMPLOYEE_BENEFIT_RETIREMENT_RELATED_ACCOUNTS_THRIFT" hidden="1">"c25415"</definedName>
    <definedName name="IQ_OTHER_SHORT_TERM_OBLIGATIONS_PERSONAL_TRUST_AGENCY_INV_MANAGEMENT_ACCOUNTS_THRIFT" hidden="1">"c25399"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EMP_IMPAIR_LOSS_HTM_AFS_FFIEC" hidden="1">"c25845"</definedName>
    <definedName name="IQ_OTHER_TIME_DEPOSITS_THRIFT" hidden="1">"c25569"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UNDRAWN" hidden="1">"c2522"</definedName>
    <definedName name="IQ_OTHER_UNITS" hidden="1">"c8772"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ALANCE_CONTRACTUAL_PURCHASED_CREDIT_IMPAIRED_LOANS_THRIFT" hidden="1">"c25237"</definedName>
    <definedName name="IQ_OUTSTANDING_BS_DATE" hidden="1">"c2128"</definedName>
    <definedName name="IQ_OUTSTANDING_CHECKS_DRAWN_AGAINST_FHLBS_FEDERAL_RESERVE_BANKS_THRIFT" hidden="1">"c25571"</definedName>
    <definedName name="IQ_OUTSTANDING_COMMITMENTS_LOANS_CLOSED_LOANS_IN_PROCESS_MORTGAGE_CONSTRUCTION_LOANS_THRIFT" hidden="1">"c25591"</definedName>
    <definedName name="IQ_OUTSTANDING_COMMITMENTS_LOANS_CLOSED_LOANS_IN_PROCESS_NON_MORTGAGE_LOANS_THRIFT" hidden="1">"c25593"</definedName>
    <definedName name="IQ_OUTSTANDING_COMMITMENTS_LOANS_CLOSED_LOANS_IN_PROCESS_OTHER_MORTGAGE_LOANS_THRIFT" hidden="1">"c25592"</definedName>
    <definedName name="IQ_OUTSTANDING_COMMITMENTS_ORIGINATE_MORTGAGE_LOANS_SECURED_1_4_DWELLING_UNITS_THRIFT" hidden="1">"c25595"</definedName>
    <definedName name="IQ_OUTSTANDING_COMMITMENTS_ORIGINATE_MORTGAGE_LOANS_SECURED_ALL_OTHER_RE_THRIFT" hidden="1">"c25597"</definedName>
    <definedName name="IQ_OUTSTANDING_COMMITMENTS_ORIGINATE_MORTGAGE_LOANS_SECURED_MULTIFAMILY_5_MORE_DWELLING_UNITS_THRIFT" hidden="1">"c25596"</definedName>
    <definedName name="IQ_OUTSTANDING_COMMITMENTS_ORIGINATE_MORTGAGE_LOANS_SECURED_RE_THRIFT" hidden="1">"c25594"</definedName>
    <definedName name="IQ_OUTSTANDING_COMMITMENTS_ORIGINATE_NON_MORTGAGE_LOANS_THRIFT" hidden="1">"c25598"</definedName>
    <definedName name="IQ_OUTSTANDING_COMMITMENTS_PURCHASE_INV_SEC_THRIFT" hidden="1">"c25603"</definedName>
    <definedName name="IQ_OUTSTANDING_COMMITMENTS_PURCHASE_LOANS_THRIFT" hidden="1">"c25599"</definedName>
    <definedName name="IQ_OUTSTANDING_COMMITMENTS_PURCHASE_MORTGAGE_BACKED_SEC_THRIFT" hidden="1">"c25601"</definedName>
    <definedName name="IQ_OUTSTANDING_COMMITMENTS_SELL_INV_SEC_THRIFT" hidden="1">"c25604"</definedName>
    <definedName name="IQ_OUTSTANDING_COMMITMENTS_SELL_LOANS_THRIFT" hidden="1">"c25600"</definedName>
    <definedName name="IQ_OUTSTANDING_COMMITMENTS_SELL_MORTGAGE_BACKED_SEC_THRIFT" hidden="1">"c25602"</definedName>
    <definedName name="IQ_OUTSTANDING_COMMITMENTS_UNDISBURSED_BALANCE_LOANS_CLOSED_THRIFT" hidden="1">"c25590"</definedName>
    <definedName name="IQ_OUTSTANDING_FILING_DATE" hidden="1">"c1023"</definedName>
    <definedName name="IQ_OVERHEAD_EXP_ADJUSTED_OPERATING_INCOME_THRIFT" hidden="1">"c25684"</definedName>
    <definedName name="IQ_OVERHEAD_EXP_AVG_ASSETS_FFIEC" hidden="1">"c13361"</definedName>
    <definedName name="IQ_OVERHEAD_EXP_AVG_ASSETS_THRIFT" hidden="1">"c25652"</definedName>
    <definedName name="IQ_OVERHEAD_EXP_REV_FFIEC" hidden="1">"c13494"</definedName>
    <definedName name="IQ_OVERHEAD_EXP_REVENUES_THRIFT" hidden="1">"c25683"</definedName>
    <definedName name="IQ_OVERHEAD_LESS_NON_INT_INCOME_ADJUSTED_OPERATING_INCOME_THRIFT" hidden="1">"c25692"</definedName>
    <definedName name="IQ_OVERHEAD_LESS_NON_INT_INCOME_AVG_ASSETS_THRIFT" hidden="1">"c25665"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S_THROUGH_MBS_THRIFT" hidden="1">"c24829"</definedName>
    <definedName name="IQ_PASSBOOK_ACCOUNTS_INC_NONDEMAND_ESCROWS_THRIFT" hidden="1">"c25000"</definedName>
    <definedName name="IQ_PAST_DUE_ALLOW_GROSS_LOANS_FFIEC" hidden="1">"c13416"</definedName>
    <definedName name="IQ_PAST_DUE_LOANS_GROSS_LOANS_THRIFT" hidden="1">"c25737"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ASSETS_TEST_THRIFT" hidden="1">"c25587"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FIEC" hidden="1">"c13645"</definedName>
    <definedName name="IQ_PERIODDATE_IS" hidden="1">"c1034"</definedName>
    <definedName name="IQ_PERIODDATE_THRIFT" hidden="1">"c25897"</definedName>
    <definedName name="IQ_PERIODLENGTH_AP" hidden="1">"c11746"</definedName>
    <definedName name="IQ_PERIODLENGTH_CF" hidden="1">"c1502"</definedName>
    <definedName name="IQ_PERIODLENGTH_IS" hidden="1">"c1503"</definedName>
    <definedName name="IQ_PERMANENT_1_4_DWELLING_UNITS_ALL_OTHER_SECURED_FIRST_LIENS_THRIFT" hidden="1">"c24844"</definedName>
    <definedName name="IQ_PERMANENT_1_4_DWELLING_UNITS_ALL_OTHER_SECURED_JUNIOR_LIENS_THRIFT" hidden="1">"c24845"</definedName>
    <definedName name="IQ_PERMANENT_1_4_DWELLING_UNITS_REVOLVING_OPEN_END_LOANS_THRIFT" hidden="1">"c24843"</definedName>
    <definedName name="IQ_PERMANENT_LAND_THRIFT" hidden="1">"c24848"</definedName>
    <definedName name="IQ_PERMANENT_LOANS_SECURED_1_4_DWELLING_UNITS_FORECLOSED_DURING_QUARTER_THRIFT" hidden="1">"c25232"</definedName>
    <definedName name="IQ_PERMANENT_LOANS_SECURED_LAND_FORECLOSED_DURING_QUARTER_THRIFT" hidden="1">"c25235"</definedName>
    <definedName name="IQ_PERMANENT_LOANS_SECURED_MULTIFAMILY_5_MORE_DWELLING_UNITS_FORECLOSED_DURING_QUARTER_THRIFT" hidden="1">"c25233"</definedName>
    <definedName name="IQ_PERMANENT_LOANS_SECURED_NONRES_EXCEPT_LAND_FORECLOSED_DURING_QUARTER_THRIFT" hidden="1">"c25234"</definedName>
    <definedName name="IQ_PERMANENT_MORTGAGE_LOANS_THRIFT" hidden="1">"c24842"</definedName>
    <definedName name="IQ_PERMANENT_MULTIFAMILY_5_MORE_DWELLING_UNITS_THRIFT" hidden="1">"c24846"</definedName>
    <definedName name="IQ_PERMANENT_NONRES_PROPERTY_EXCEPT_LAND_THRIFT" hidden="1">"c24847"</definedName>
    <definedName name="IQ_PERPETUAL_PREF_STOCK_THRIFT" hidden="1">"c24914"</definedName>
    <definedName name="IQ_PERSON_INCOME" hidden="1">"c20954"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CURRENT_TAXES" hidden="1">"c20956"</definedName>
    <definedName name="IQ_PERSONAL_DISPOSABLE_INCOME" hidden="1">"c20957"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FC" hidden="1">"c7823"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OP" hidden="1">"c7163"</definedName>
    <definedName name="IQ_PERSONAL_INCOME_POP_FC" hidden="1">"c8043"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TRANSFER_RECEIPTS" hidden="1">"c20981"</definedName>
    <definedName name="IQ_PERSONAL_INCOME_TRANSFER_RECEIPTS_OTHER" hidden="1">"c20982"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COME_YOY" hidden="1">"c7383"</definedName>
    <definedName name="IQ_PERSONAL_INCOME_YOY_FC" hidden="1">"c8263"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AL_TRUST_AGENCY_ACCOUNTS_GROSS_LOSSES_MANAGED_ACCOUNTS_THRIFT" hidden="1">"c25461"</definedName>
    <definedName name="IQ_PERSONAL_TRUST_AGENCY_ACCOUNTS_GROSS_LOSSES_NONMANAGED_ACCOUNTS_THRIFT" hidden="1">"c25466"</definedName>
    <definedName name="IQ_PERSONAL_TRUST_AGENCY_ACCOUNTS_INC_THRIFT" hidden="1">"c24801"</definedName>
    <definedName name="IQ_PERSONAL_TRUST_AGENCY_ACCOUNTS_MANAGED_ASSETS_THRIFT" hidden="1">"c25347"</definedName>
    <definedName name="IQ_PERSONAL_TRUST_AGENCY_ACCOUNTS_NONMANAGED_ASSETS_THRIFT" hidden="1">"c25368"</definedName>
    <definedName name="IQ_PERSONAL_TRUST_AGENCY_ACCOUNTS_NUMBER_MANAGED_ACCOUNTS_THRIFT" hidden="1">"c25358"</definedName>
    <definedName name="IQ_PERSONAL_TRUST_AGENCY_ACCOUNTS_NUMBER_NONMANAGED_ACCOUNTS_THRIFT" hidden="1">"c25380"</definedName>
    <definedName name="IQ_PERSONAL_TRUST_AGENCY_ACCOUNTS_RECOVERIES_THRIFT" hidden="1">"c25471"</definedName>
    <definedName name="IQ_PERSONNEL_EXP_ADJUSTED_OPERATING_INCOME_THRIFT" hidden="1">"c25685"</definedName>
    <definedName name="IQ_PERSONNEL_EXP_AVG_ASSETS_FFIEC" hidden="1">"c13371"</definedName>
    <definedName name="IQ_PERSONNEL_EXP_AVG_ASSETS_THRIFT" hidden="1">"c25662"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LOANS_THRIFT" hidden="1">"c24936"</definedName>
    <definedName name="IQ_PLEDGED_SEC_INVEST_SECURITIES_FFIEC" hidden="1">"c13467"</definedName>
    <definedName name="IQ_PLEDGED_SECURITIES_FFIEC" hidden="1">"c24743"</definedName>
    <definedName name="IQ_PLEDGED_TRADING_ASSETS_THRIFT" hidden="1">"c24937"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L_SECURED_LAND_DUE_30_89_THRIFT" hidden="1">"c25246"</definedName>
    <definedName name="IQ_PML_SECURED_LAND_DUE_90_THRIFT" hidden="1">"c25267"</definedName>
    <definedName name="IQ_PML_SECURED_LAND_NON_ACCRUAL_THRIFT" hidden="1">"c25288"</definedName>
    <definedName name="IQ_PML_SECURED_MULTIFAMILY_5_MORE_DWELLING_UNITS_DUE_30_89_THRIFT" hidden="1">"c25244"</definedName>
    <definedName name="IQ_PML_SECURED_MULTIFAMILY_5_MORE_DWELLING_UNITS_DUE_90_THRIFT" hidden="1">"c25265"</definedName>
    <definedName name="IQ_PML_SECURED_MULTIFAMILY_5_MORE_DWELLING_UNITS_NON_ACCRUAL_THRIFT" hidden="1">"c25286"</definedName>
    <definedName name="IQ_PML_SECURED_NONRES_PROPERTY_EXCEPT_LAND_DUE_30_89_THRIFT" hidden="1">"c25245"</definedName>
    <definedName name="IQ_PML_SECURED_NONRES_PROPERTY_EXCEPT_LAND_DUE_90_THRIFT" hidden="1">"c25266"</definedName>
    <definedName name="IQ_PML_SECURED_NONRES_PROPERTY_EXCEPT_LAND_NON_ACCRUAL_THRIFT" hidden="1">"c25287"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PULATION" hidden="1">"c20994"</definedName>
    <definedName name="IQ_POPULATION_FC" hidden="1">"c20995"</definedName>
    <definedName name="IQ_PORTFOLIO_INVESTMENT_NET" hidden="1">"c20996"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"c16170"</definedName>
    <definedName name="IQ_POSTPAID_SUBS" hidden="1">"c16167"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DEPOSITS_THRIFT" hidden="1">"c24996"</definedName>
    <definedName name="IQ_PREFERRED_LIST" hidden="1">"c13506"</definedName>
    <definedName name="IQ_PREFERRED_STOCK_DIVIDENDS_DECLARED_SAVINGS_ASSOCIATION_THRIFT" hidden="1">"c25010"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"c16169"</definedName>
    <definedName name="IQ_PREPAID_EXP" hidden="1">"c1068"</definedName>
    <definedName name="IQ_PREPAID_EXPEN" hidden="1">"c1418"</definedName>
    <definedName name="IQ_PREPAID_SUBS" hidden="1">"c16166"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DATE" hidden="1">"c1069"</definedName>
    <definedName name="IQ_PRICING_DATE" hidden="1">"c1613"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OR_PERIOD_ADJUSTMENTS_SAVINGS_ASSOCIATION_THRIFT" hidden="1">"c25017"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AVG_LOANS_THRIFT" hidden="1">"c25639"</definedName>
    <definedName name="IQ_PROVISION_LL_FFIEC" hidden="1">"c13019"</definedName>
    <definedName name="IQ_PROVISION_LL_INT_BEARING_ASSETS_THRIFT" hidden="1">"c24783"</definedName>
    <definedName name="IQ_PROVISION_LL_NET_LOSSES_THRIFT" hidden="1">"c25640"</definedName>
    <definedName name="IQ_PROVISION_LL_NON_INT_BEARING_ASSETS_THRIFT" hidden="1">"c24784"</definedName>
    <definedName name="IQ_PROVISION_LOAN_LL_AVG_ASSETS_THRIFT" hidden="1">"c25785"</definedName>
    <definedName name="IQ_PROVISION_LOAN_LOSS_AVG_ASSETS_FFIEC" hidden="1">"c18879"</definedName>
    <definedName name="IQ_PROVISION_LOAN_LOSSES_AVG_ASSETS_THRIFT" hidden="1">"c25653"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ES_OTHER_MORTGAGE_BACKED_SEC_THRIFT" hidden="1">"c25314"</definedName>
    <definedName name="IQ_PURCHASES_PASS_THROUGH_MORTGAGE_BACKED_SEC_THRIFT" hidden="1">"c25311"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MULTIFAMILY_RES_MORTGAGE_LOANS_ELIGIBLE_50_PCT_RISK_WEIGHT_THRIFT" hidden="1">"c25065"</definedName>
    <definedName name="IQ_QUALIFYING_SINGLE_FAMILY_RES_MORTGAGE_LOANS_ELIGIBLE_50_PCT_RISK_WEIGHT_THRIFT" hidden="1">"c25064"</definedName>
    <definedName name="IQ_QUALIFYING_SUB_DEBT_REDEEM_PREF_T2_FFIEC" hidden="1">"c13144"</definedName>
    <definedName name="IQ_QUALIFYING_SUB_DEBT_REDEEMABLE_PREFERRED_T2_THRIFT" hidden="1">"c25041"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DWELLING_UNITS_REPOSSESSED_ASSETS_ADJUSTED_NCOS_TOTAL_THRIFT" hidden="1">"c25220"</definedName>
    <definedName name="IQ_RE_1_4_DWELLING_UNITS_REPOSSESSED_ASSETS_GVA_CHARGE_OFFS_THRIFT" hidden="1">"c25135"</definedName>
    <definedName name="IQ_RE_1_4_DWELLING_UNITS_REPOSSESSED_ASSETS_SVA_PROVISIONS_TRANSFERS_FROM_GVA_TOTAL_THRIFT" hidden="1">"c25189"</definedName>
    <definedName name="IQ_RE_1_4_RISK_BASED_FFIEC" hidden="1">"c13418"</definedName>
    <definedName name="IQ_RE_ACQ_SATISFACTION_DEBTS_FFIEC" hidden="1">"c12832"</definedName>
    <definedName name="IQ_RE_ALL_OTHER_ACCOUNTS_THRIFT" hidden="1">"c25436"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CONSTRUCTION_REPOSSESSED_ASSETS_ADJUSTED_NCOS_TOTAL_THRIFT" hidden="1">"c25219"</definedName>
    <definedName name="IQ_RE_CONSTRUCTION_REPOSSESSED_ASSETS_GVA_CHARGE_OFFS_THRIFT" hidden="1">"c25134"</definedName>
    <definedName name="IQ_RE_CONSTRUCTION_REPOSSESSED_ASSETS_SVA_PROVISIONS_TRANSFERS_FROM_GVA_TOTAL_THRIFT" hidden="1">"c25188"</definedName>
    <definedName name="IQ_RE_DEPR_AMORT" hidden="1">"c8750"</definedName>
    <definedName name="IQ_RE_DEPRECIATION" hidden="1">"c16045"</definedName>
    <definedName name="IQ_RE_EMPLOYEE_BENEFIT_RETIREMENT_RELATED_ACCOUNTS_THRIFT" hidden="1">"c25420"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IGN_FFIEC" hidden="1">"c13479"</definedName>
    <definedName name="IQ_RE_GAIN_LOSS_SALE_ASSETS" hidden="1">"c8751"</definedName>
    <definedName name="IQ_RE_HELD_INV_ADJUSTED_NCOS_THRIFT" hidden="1">"c25225"</definedName>
    <definedName name="IQ_RE_HELD_INV_GVA_CHARGE_OFFS_THRIFT" hidden="1">"c25140"</definedName>
    <definedName name="IQ_RE_HELD_INV_SVA_PROVISIONS_TRANSFERS_FROM_GVA_THRIFT" hidden="1">"c25194"</definedName>
    <definedName name="IQ_RE_HELD_INV_THRIFT" hidden="1">"c24878"</definedName>
    <definedName name="IQ_RE_LAND_REPOSSESSED_ASSETS_ADJUSTED_NCOS_TOTAL_THRIFT" hidden="1">"c25223"</definedName>
    <definedName name="IQ_RE_LAND_REPOSSESSED_ASSETS_GVA_CHARGE_OFFS_THRIFT" hidden="1">"c25138"</definedName>
    <definedName name="IQ_RE_LAND_REPOSSESSED_ASSETS_SVA_PROVISIONS_TRANSFERS_FROM_GVA_TOTAL_THRIFT" hidden="1">"c25192"</definedName>
    <definedName name="IQ_RE_LOANS_1_4_GROSS_LOANS_FFIEC" hidden="1">"c13397"</definedName>
    <definedName name="IQ_RE_LOANS_DOM_QUARTERLY_AVG_FFIEC" hidden="1">"c15476"</definedName>
    <definedName name="IQ_RE_LOANS_DUE_30_89_FFIEC" hidden="1">"c25826"</definedName>
    <definedName name="IQ_RE_LOANS_DUE_90_FFIEC" hidden="1">"c25827"</definedName>
    <definedName name="IQ_RE_LOANS_GROSS_LOANS_FFIEC" hidden="1">"c13396"</definedName>
    <definedName name="IQ_RE_LOANS_NON_ACCRUAL_FFIEC" hidden="1">"c25828"</definedName>
    <definedName name="IQ_RE_LOANS_SECURED_1_4_FAMILY_GROSS_LOANS_THRIFT" hidden="1">"c25722"</definedName>
    <definedName name="IQ_RE_LOANS_SECURED_1_4_FAMILY_RISK_BASED_CAPITAL_THRIFT" hidden="1">"c25707"</definedName>
    <definedName name="IQ_RE_LOANS_SECURED_LAND_GROSS_LOANS_THRIFT" hidden="1">"c25731"</definedName>
    <definedName name="IQ_RE_LOANS_SECURED_LAND_RISK_BASED_CAPITAL_THRIFT" hidden="1">"c25716"</definedName>
    <definedName name="IQ_RE_MAINT_CAPEX" hidden="1">"c8755"</definedName>
    <definedName name="IQ_RE_MINORITY_INTEREST" hidden="1">"c8752"</definedName>
    <definedName name="IQ_RE_MORTGAGES_ALL_OTHER_ACCOUNTS_THRIFT" hidden="1">"c25435"</definedName>
    <definedName name="IQ_RE_MORTGAGES_EMPLOYEE_BENEFIT_RETIREMENT_RELATED_ACCOUNTS_THRIFT" hidden="1">"c25419"</definedName>
    <definedName name="IQ_RE_MORTGAGES_PERSONAL_TRUST_AGENCY_INV_MANAGEMENT_ACCOUNTS_THRIFT" hidden="1">"c25403"</definedName>
    <definedName name="IQ_RE_MULTIFAMILY_5_MORE_DWELLING_UNITS_REPOSSESSED_ASSETS_ADJUSTED_NCOS_TOTAL_THRIFT" hidden="1">"c25221"</definedName>
    <definedName name="IQ_RE_MULTIFAMILY_5_MORE_DWELLING_UNITS_REPOSSESSED_ASSETS_GVA_CHARGE_OFFS_THRIFT" hidden="1">"c25136"</definedName>
    <definedName name="IQ_RE_MULTIFAMILY_5_MORE_DWELLING_UNITS_REPOSSESSED_ASSETS_SVA_PROVISIONS_TRANSFERS_FROM_GVA_TOTAL_THRIFT" hidden="1">"c25190"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NONRES_EXCEPT_LAND_REPOSSESSED_ASSETS_ADJUSTED_NCOS_TOTAL_THRIFT" hidden="1">"c25222"</definedName>
    <definedName name="IQ_RE_NONRES_EXCEPT_LAND_REPOSSESSED_ASSETS_GVA_CHARGE_OFFS_THRIFT" hidden="1">"c25137"</definedName>
    <definedName name="IQ_RE_NONRES_EXCEPT_LAND_REPOSSESSED_ASSETS_SVA_PROVISIONS_TRANSFERS_FROM_GVA_TOTAL_THRIFT" hidden="1">"c25191"</definedName>
    <definedName name="IQ_RE_OTHER_ITEMS" hidden="1">"c8753"</definedName>
    <definedName name="IQ_RE_PERSONAL_TRUST_AGENCY_INV_MANAGEMENT_ACCOUNTS_THRIFT" hidden="1">"c25404"</definedName>
    <definedName name="IQ_RE_RENTAL_EXPENSE" hidden="1">"c16036"</definedName>
    <definedName name="IQ_RE_RISK_BASED_FFIEC" hidden="1">"c13417"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BOOKED_GNMA_LOANS_REPURCHASED_ELIGIBLE_REPURCHASE_DUE_30_89_THRIFT" hidden="1">"c25260"</definedName>
    <definedName name="IQ_REBOOKED_GNMA_LOANS_REPURCHASED_ELIGIBLE_REPURCHASE_DUE_90_THRIFT" hidden="1">"c25281"</definedName>
    <definedName name="IQ_REBOOKED_GNMA_LOANS_REPURCHASED_ELIGIBLE_REPURCHASE_NON_ACCRUAL_THRIFT" hidden="1">"c25302"</definedName>
    <definedName name="IQ_REBOOKED_GNMA_REPUR_GUARANTEED_US_EXCL_LOSS_SHARING_DUE_30_89_FFIEC" hidden="1">"c27070"</definedName>
    <definedName name="IQ_REBOOKED_GNMA_REPUR_GUARANTEED_US_EXCL_LOSS_SHARING_DUE_90_FFIEC" hidden="1">"c27110"</definedName>
    <definedName name="IQ_REBOOKED_GNMA_REPUR_GUARANTEED_US_EXCL_LOSS_SHARING_NON_ACCRUAL_FFIEC" hidden="1">"c27150"</definedName>
    <definedName name="IQ_RECENT_FUNDS" hidden="1">"c18908"</definedName>
    <definedName name="IQ_RECENT_FUNDS_ID" hidden="1">"c18909"</definedName>
    <definedName name="IQ_RECIPROCAL_BROKERED_DEPOSITS_THRIFT" hidden="1">"c24997"</definedName>
    <definedName name="IQ_RECORDED_INV_PURCHASED_CREDIT_IMPAIRED_LOANS_THRIFT" hidden="1">"c25238"</definedName>
    <definedName name="IQ_RECOVERIES_AVG_LOANS_FFIEC" hidden="1">"c13476"</definedName>
    <definedName name="IQ_RECOVERIES_GVA_THRIFT" hidden="1">"c25094"</definedName>
    <definedName name="IQ_RECOVERIES_TVA_THRIFT" hidden="1">"c25108"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OSSESS_1_4_DWELLING_UNITS_RE_THRIFT" hidden="1">"c24871"</definedName>
    <definedName name="IQ_REPOSSESS_ASSETS_THRIFT" hidden="1">"c24869"</definedName>
    <definedName name="IQ_REPOSSESS_CONSTRUCTION_RE_THRIFT" hidden="1">"c24870"</definedName>
    <definedName name="IQ_REPOSSESS_GVA_THRIFT" hidden="1">"c24877"</definedName>
    <definedName name="IQ_REPOSSESS_LAND_THRIFT" hidden="1">"c24874"</definedName>
    <definedName name="IQ_REPOSSESS_MULTIFAMILY_5_MORE_DWELLING_UNITS_RE_THRIFT" hidden="1">"c24872"</definedName>
    <definedName name="IQ_REPOSSESS_NONRES_EXCEPT_LAND_RE_THRIFT" hidden="1">"c24873"</definedName>
    <definedName name="IQ_REPOSSESS_OTHER_ASSETS_THRIFT" hidden="1">"c24876"</definedName>
    <definedName name="IQ_REPOSSESS_US_GOVT_GUARANTEED_INSURED_RE_OWNED_THRIFT" hidden="1">"c24875"</definedName>
    <definedName name="IQ_REPOSSESSED_ASSETS_TOTAL_ADJUSTED_NCOS_TOTAL_THRIFT" hidden="1">"c25218"</definedName>
    <definedName name="IQ_REPOSSESSED_ASSETS_TOTAL_GVA_CHARGE_OFFS_THRIFT" hidden="1">"c25133"</definedName>
    <definedName name="IQ_REPOSSESSED_ASSETS_TOTAL_SVA_PROVISIONS_TRANSFERS_FROM_GVA_TOTAL_THRIFT" hidden="1">"c25187"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_MBS_PASS_THROUGH_ISSUED_FNMA_GNMA_TRADING_DOM_FFIEC" hidden="1">"c27350"</definedName>
    <definedName name="IQ_RES_MBS_TRADING_DOM_FFIEC" hidden="1">"c27349"</definedName>
    <definedName name="IQ_RES_MBS_TRADING_FFIEC" hidden="1">"c27345"</definedName>
    <definedName name="IQ_RES_PASS_THROUGH_FNMA_GNMA_TRADING_FFIEC" hidden="1">"c27346"</definedName>
    <definedName name="IQ_RESEARCH_DEV" hidden="1">"c1419"</definedName>
    <definedName name="IQ_RESIDENTIAL_LOANS" hidden="1">"c1102"</definedName>
    <definedName name="IQ_RESIDENTIAL_MORT_LOANS" hidden="1">"c1102"</definedName>
    <definedName name="IQ_RESIDUAL_INTERESTS_INT_ONLY_STRIPS_THRIFT" hidden="1">"c24939"</definedName>
    <definedName name="IQ_RESIDUAL_INTERESTS_THRIFT" hidden="1">"c24938"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" hidden="1">"c26985"</definedName>
    <definedName name="IQ_RETAIL_FRANCHISE_STORES_BEG" hidden="1">"c2893"</definedName>
    <definedName name="IQ_RETAIL_GROSS_MARGIN" hidden="1">"c9899"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BUILDING_MATERIAL" hidden="1">"c21087"</definedName>
    <definedName name="IQ_RETAIL_SALES_CATALOG" hidden="1">"c16128"</definedName>
    <definedName name="IQ_RETAIL_SALES_CLOTHING" hidden="1">"c21088"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PORTING_GOODS" hidden="1">"c21097"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LES_YOY_PCT" hidden="1">"c21100"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EQUITY_FFIEC" hidden="1">"c13348"</definedName>
    <definedName name="IQ_RETAINED_EARNINGS_EQUITY_THRIFT" hidden="1">"c25633"</definedName>
    <definedName name="IQ_RETAINED_EARNINGS_FFIEC" hidden="1">"c12878"</definedName>
    <definedName name="IQ_RETAINED_EARNINGS_THRIFT" hidden="1">"c24919"</definedName>
    <definedName name="IQ_RETIREMENT_DEFINED_BENEFIT_INC_THRIFT" hidden="1">"c24803"</definedName>
    <definedName name="IQ_RETIREMENT_DEFINED_CONT_INC_THRIFT" hidden="1">"c24802"</definedName>
    <definedName name="IQ_RETIREMENT_DEPOSITS_LESS_THAN_250000_THRIFT" hidden="1">"c24990"</definedName>
    <definedName name="IQ_RETIREMENT_DEPOSITS_WITH_BALANCES_GREATER_THAN_250000_THRIFT" hidden="1">"c24991"</definedName>
    <definedName name="IQ_RETIREMENT_OTHER_RETIREMENT_ACCOUNTS_INC_THRIFT" hidden="1">"c24804"</definedName>
    <definedName name="IQ_RETIREMENT_RELATED_EMPLOYEE_BENEFIT_ACCOUNTS_GROSS_LOSSES_MANAGED_ACCOUNTS_THRIFT" hidden="1">"c25462"</definedName>
    <definedName name="IQ_RETIREMENT_RELATED_EMPLOYEE_BENEFIT_ACCOUNTS_GROSS_LOSSES_NONMANAGED_ACCOUNTS_THRIFT" hidden="1">"c25467"</definedName>
    <definedName name="IQ_RETIREMENT_RELATED_EMPLOYEE_BENEFIT_ACCOUNTS_RECOVERIES_THRIFT" hidden="1">"c25472"</definedName>
    <definedName name="IQ_RETIREMENT_RELATED_TRUST_AGENCY_ACCOUNTS_EMPLOYEE_BENEFIT_DEFINED_BENEFIT_MANAGED_ASSETS_THRIFT" hidden="1">"c25349"</definedName>
    <definedName name="IQ_RETIREMENT_RELATED_TRUST_AGENCY_ACCOUNTS_EMPLOYEE_BENEFIT_DEFINED_BENEFIT_NONMANAGED_ASSETS_THRIFT" hidden="1">"c25370"</definedName>
    <definedName name="IQ_RETIREMENT_RELATED_TRUST_AGENCY_ACCOUNTS_EMPLOYEE_BENEFIT_DEFINED_BENEFIT_NUMBER_MANAGED_ACCOUNTS_THRIFT" hidden="1">"c25360"</definedName>
    <definedName name="IQ_RETIREMENT_RELATED_TRUST_AGENCY_ACCOUNTS_EMPLOYEE_BENEFIT_DEFINED_BENEFIT_NUMBER_NONMANAGED_ACCOUNTS_THRIFT" hidden="1">"c25382"</definedName>
    <definedName name="IQ_RETIREMENT_RELATED_TRUST_AGENCY_ACCOUNTS_EMPLOYEE_BENEFIT_DEFINED_CONTRIBUTION_MANAGED_ASSETS_THRIFT" hidden="1">"c25348"</definedName>
    <definedName name="IQ_RETIREMENT_RELATED_TRUST_AGENCY_ACCOUNTS_EMPLOYEE_BENEFIT_DEFINED_CONTRIBUTION_NONMANAGED_ASSETS_THRIFT" hidden="1">"c25369"</definedName>
    <definedName name="IQ_RETIREMENT_RELATED_TRUST_AGENCY_ACCOUNTS_EMPLOYEE_BENEFIT_DEFINED_CONTRIBUTION_NUMBER_MANAGED_ACCOUNTS_THRIFT" hidden="1">"c25359"</definedName>
    <definedName name="IQ_RETIREMENT_RELATED_TRUST_AGENCY_ACCOUNTS_EMPLOYEE_BENEFIT_DEFINED_CONTRIBUTION_NUMBER_NONMANAGED_ACCOUNTS_THRIFT" hidden="1">"c25381"</definedName>
    <definedName name="IQ_RETIREMENT_RELATED_TRUST_AGENCY_ACCOUNTS_EMPLOYEE_BENEFIT_OTHER_MANAGED_ASSETS_THRIFT" hidden="1">"c25350"</definedName>
    <definedName name="IQ_RETIREMENT_RELATED_TRUST_AGENCY_ACCOUNTS_EMPLOYEE_BENEFIT_OTHER_NONMANAGED_ASSETS_THRIFT" hidden="1">"c25371"</definedName>
    <definedName name="IQ_RETIREMENT_RELATED_TRUST_AGENCY_ACCOUNTS_EMPLOYEE_BENEFIT_OTHER_NUMBER_MANAGED_ACCOUNTS_THRIFT" hidden="1">"c25361"</definedName>
    <definedName name="IQ_RETIREMENT_RELATED_TRUST_AGENCY_ACCOUNTS_EMPLOYEE_BENEFIT_OTHER_NUMBER_NONMANAGED_ACCOUNTS_THRIFT" hidden="1">"c25383"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BEFORE_LL_THRIFT" hidden="1">"c24782"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39202.4485416667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GROSS_LOANS_THRIFT" hidden="1">"c25723"</definedName>
    <definedName name="IQ_REVOLVING_LOANS_RISK_BASED_CAPITAL_THRIFT" hidden="1">"c25708"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OPEN_END_PML_SECURED_1_4_DWELLING_UNITS_DUE_30_89_THRIFT" hidden="1">"c25241"</definedName>
    <definedName name="IQ_REVOLVING_OPEN_END_PML_SECURED_1_4_DWELLING_UNITS_DUE_90_THRIFT" hidden="1">"c25262"</definedName>
    <definedName name="IQ_REVOLVING_OPEN_END_PML_SECURED_1_4_DWELLING_UNITS_NON_ACCRUAL_THRIFT" hidden="1">"c25283"</definedName>
    <definedName name="IQ_REVOLVING_OPEN_LOANS_SEC_1_4_DOM_LOSS_SHARING_FFIEC" hidden="1">"c27191"</definedName>
    <definedName name="IQ_REVOLVING_OPEN_LOANS_SEC_1_4_EXTD_LOC_DOM_LOSS_SHARING_DUE_30_89_FFIEC" hidden="1">"c27074"</definedName>
    <definedName name="IQ_REVOLVING_OPEN_LOANS_SEC_1_4_EXTD_LOC_DOM_LOSS_SHARING_DUE_90_FFIEC" hidden="1">"c27114"</definedName>
    <definedName name="IQ_REVOLVING_OPEN_LOANS_SEC_1_4_EXTD_LOC_DOM_LOSS_SHARING_NON_ACCRUAL_FFIEC" hidden="1">"c27154"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BEFORE_EXCESS_ALLOWANCE_LL_LOSSES_THRIFT" hidden="1">"c25077"</definedName>
    <definedName name="IQ_RISK_WEIGHTED_ASSETS_LOW_LEVEL_RECOURSE_RESIDUAL_INTERESTS_THRIFT" hidden="1">"c25075"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EMPLOYEE_BENEFITS_THRIFT" hidden="1">"c24786"</definedName>
    <definedName name="IQ_SALARIES_OTHER_BENEFITS" hidden="1">"c16176"</definedName>
    <definedName name="IQ_SALARY" hidden="1">"c1130"</definedName>
    <definedName name="IQ_SALE_COMMON_GROSS_FFIEC" hidden="1">"c12963"</definedName>
    <definedName name="IQ_SALE_CONVERSION_ACQUISITION_NET_COMMON_FFIEC" hidden="1">"c15351"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CEEDS_RENTAL_ASSETS" hidden="1">"c26974"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COMM_NON_MORTGAGE_LOANS_THRIFT" hidden="1">"c25340"</definedName>
    <definedName name="IQ_SALES_CONSUMER_NON_MORTGAGE_LOANS_THRIFT" hidden="1">"c25342"</definedName>
    <definedName name="IQ_SALES_MARKETING" hidden="1">"c2240"</definedName>
    <definedName name="IQ_SALES_OTHER_MORTGAGE_BACKED_SEC_THRIFT" hidden="1">"c25315"</definedName>
    <definedName name="IQ_SALES_PASS_THROUGH_MORTGAGE_BACKED_SEC_THRIFT" hidden="1">"c25312"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ASSOCIATION_EQUITY_CAPITAL_BEGINNING_BALANCE_FROM_PRIOR_QTR_THRIFT" hidden="1">"c25008"</definedName>
    <definedName name="IQ_SAVINGS_ASSOCIATION_EQUITY_CAPITAL_ENDING_BALANCE_THRIFT" hidden="1">"c25019"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1_4_DOM_LOANS_RSTRC_DUE_30_89_FFIEC" hidden="1">"c27093"</definedName>
    <definedName name="IQ_SEC_1_4_DOM_LOANS_RSTRC_DUE_90_FFIEC" hidden="1">"c27133"</definedName>
    <definedName name="IQ_SEC_1_4_DOM_LOANS_RSTRC_DUE_NON_ACCRUAL_FFIEC" hidden="1">"c27173"</definedName>
    <definedName name="IQ_SEC_BACKED_NON_MORTGAGE_LOANS_THRIFT" hidden="1">"c24825"</definedName>
    <definedName name="IQ_SEC_BACKED_US_GOVT_ELIGIBLE_0_PCT_RISK_WEIGHT_THRIFT" hidden="1">"c25052"</definedName>
    <definedName name="IQ_SEC_BORROWED_OFF_BS_FFIEC" hidden="1">"c13127"</definedName>
    <definedName name="IQ_SEC_FARMLAND_DOM_CHARGE_OFFS_FFIEC" hidden="1">"c13167"</definedName>
    <definedName name="IQ_SEC_FARMLAND_DOM_LOSS_SHARING_DUE_30_89_FFIEC" hidden="1">"c27073"</definedName>
    <definedName name="IQ_SEC_FARMLAND_DOM_LOSS_SHARING_DUE_90_FFIEC" hidden="1">"c27113"</definedName>
    <definedName name="IQ_SEC_FARMLAND_DOM_LOSS_SHARING_FFIEC" hidden="1">"c27190"</definedName>
    <definedName name="IQ_SEC_FARMLAND_DOM_LOSS_SHARING_NON_ACCRUAL_FFIEC" hidden="1">"c27153"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LOANS_LOSS_SHARING_DUE_90_FFIEC" hidden="1">"c27117"</definedName>
    <definedName name="IQ_SEC_MULTIFAM_DOM_LOANS_RSTRC_DUE_30_89_FFIEC" hidden="1">"c27094"</definedName>
    <definedName name="IQ_SEC_MULTIFAM_DOM_LOANS_RSTRC_DUE_90_FFIEC" hidden="1">"c27134"</definedName>
    <definedName name="IQ_SEC_MULTIFAM_DOM_LOANS_RSTRC_NON_ACCRUAL_FFIEC" hidden="1">"c27174"</definedName>
    <definedName name="IQ_SEC_MULTIFAM_DOM_LOANS_RSTRC_TERMS_FFIEC" hidden="1">"c27025"</definedName>
    <definedName name="IQ_SEC_MULTIFAM_DOM_LOSS_SHARING_DUE_30_89_FFIEC" hidden="1">"c27077"</definedName>
    <definedName name="IQ_SEC_MULTIFAM_DOM_LOSS_SHARING_FFIEC" hidden="1">"c27194"</definedName>
    <definedName name="IQ_SEC_MULTIFAM_DOM_LOSS_SHARING_NON_ACCRUAL_FFIEC" hidden="1">"c27157"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OM_LOSS_SHARING_DUE_30_89_FFIEC" hidden="1">"c27079"</definedName>
    <definedName name="IQ_SEC_OTHER_NONFARM_NONRES_DOM_LOSS_SHARING_DUE_90_FFIEC" hidden="1">"c27119"</definedName>
    <definedName name="IQ_SEC_OTHER_NONFARM_NONRES_DOM_LOSS_SHARING_FFIEC" hidden="1">"c27196"</definedName>
    <definedName name="IQ_SEC_OTHER_NONFARM_NONRES_DOM_RSTRC_TERMS_FFIEC" hidden="1">"c27027"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THER_NONFARM_NONRES_RSTRC_DUE_30_89_FFIEC" hidden="1">"c27096"</definedName>
    <definedName name="IQ_SEC_OTHER_NONFARM_NONRES_RSTRC_DUE_90_FFIEC" hidden="1">"c27136"</definedName>
    <definedName name="IQ_SEC_OTHER_NONFARM_NONRES_RSTRC_NON_ACCRUAL_FFIEC" hidden="1">"c27176"</definedName>
    <definedName name="IQ_SEC_OWNER_NONFARM_NONRES_CHARGE_OFFS_FFIEC" hidden="1">"c13172"</definedName>
    <definedName name="IQ_SEC_OWNER_NONFARM_NONRES_DOM_RSTRC_TERMS_FFIEC" hidden="1">"c27026"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OWNER_NONFARM_NONRES_RSTRC_DUE_30_89_FFIEC" hidden="1">"c27095"</definedName>
    <definedName name="IQ_SEC_OWNER_NONFARM_NONRES_RSTRC_DUE_90_FFIEC" hidden="1">"c27135"</definedName>
    <definedName name="IQ_SEC_OWNER_NONFARM_NONRES_RSTRC_NON_ACCRUAL_FFIEC" hidden="1">"c27159"</definedName>
    <definedName name="IQ_SEC_OWNER_NONFARM_NONRES_RSTRUC_NON_ACCRUAL_FFIEC" hidden="1">"c27175"</definedName>
    <definedName name="IQ_SEC_OWNER_OCCUPIED_NONFARM_NONRES_DOM_LOSS_SHARING_DUE_30_89_FFIEC" hidden="1">"c27078"</definedName>
    <definedName name="IQ_SEC_OWNER_OCCUPIED_NONFARM_NONRES_DOM_LOSS_SHARING_DUE_90_FFIEC" hidden="1">"c27118"</definedName>
    <definedName name="IQ_SEC_OWNER_OCCUPIED_NONFARM_NONRES_DOM_LOSS_SHARING_FFIEC" hidden="1">"c27195"</definedName>
    <definedName name="IQ_SEC_OWNER_OCCUPIED_NONFARM_NONRES_DOM_LOSS_SHARING_NON_ACCRUAL_FFIEC" hidden="1">"c27158"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RISK_WEIGHTED_100_PCT_MORE_UNDER_RATINGS_THRIFT" hidden="1">"c25071"</definedName>
    <definedName name="IQ_SEC_SOLD_REPURCHASE_FFIEC" hidden="1">"c12857"</definedName>
    <definedName name="IQ_SEC_SOLD_UNDER_AGREEMENTS_REPURCHASE_THRIFT" hidden="1">"c25574"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COMMERCIAL_LOANS_THRIFT" hidden="1">"c24854"</definedName>
    <definedName name="IQ_SECURED_DEBT" hidden="1">"c2546"</definedName>
    <definedName name="IQ_SECURED_DEBT_PCT" hidden="1">"c2547"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ED_FUNDS_PURCHASED_TOTAL_ASSETS_THRIFT" hidden="1">"c25703"</definedName>
    <definedName name="IQ_SECURED_FEDERAL_FUNDS_PURCHASED_THRIFT" hidden="1">"c25573"</definedName>
    <definedName name="IQ_SECURED_MULTI_RES_LL_REC_DOM_FFIEC" hidden="1">"c12905"</definedName>
    <definedName name="IQ_SECURITIES_AFS_AMORT_COST_FFIEC" hidden="1">"c20488"</definedName>
    <definedName name="IQ_SECURITIES_AFS_FAIR_VAL_FFIEC" hidden="1">"c20453"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IZED_DEBT" hidden="1">"c17897"</definedName>
    <definedName name="IQ_SECURITIZED_DEBT_PCT" hidden="1">"c18011"</definedName>
    <definedName name="IQ_SECURITY_ACTIVE_STATUS" hidden="1">"c15160"</definedName>
    <definedName name="IQ_SECURITY_BORROW" hidden="1">"c1152"</definedName>
    <definedName name="IQ_SECURITY_FEATURES" hidden="1">"c17681"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PARATE_LIFE_INSURANCE_ASSET_FFIEC" hidden="1">"c27009"</definedName>
    <definedName name="IQ_SERV_CHARGE_DEPOSITS" hidden="1">"c1157"</definedName>
    <definedName name="IQ_SERVICE_CHARGES_COMM_FEE_DOM_FFIEC" hidden="1">"c25821"</definedName>
    <definedName name="IQ_SERVICE_CHARGES_DEPOSIT_ACCOUNTS_DOM_FFIEC" hidden="1">"c13003"</definedName>
    <definedName name="IQ_SERVICE_CHARGES_OPERATING_INC_FFIEC" hidden="1">"c13384"</definedName>
    <definedName name="IQ_SERVICE_FEE" hidden="1">"c8951"</definedName>
    <definedName name="IQ_SERVICING_ASSETS_MORTGAGE_LOANS_THRIFT" hidden="1">"c24888"</definedName>
    <definedName name="IQ_SERVICING_ASSETS_NON_MORTGAGE_LOANS_THRIFT" hidden="1">"c24889"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_SHORT_TERM_NONCORE_FUNDING_THRIFT" hidden="1">"c25625"</definedName>
    <definedName name="IQ_SHORT_TERM_INV_TOTAL_ASSETS_THRIFT" hidden="1">"c25695"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STARS_DESCRIPTION" hidden="1">"c17408"</definedName>
    <definedName name="IQ_SP_STARS_VALUE" hidden="1">"c17407"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ETTERS_CREDIT_THRIFT" hidden="1">"c25614"</definedName>
    <definedName name="IQ_STANDBY_LOC_FHLB_BANK_BEHALF_OFF_BS_FFIEC" hidden="1">"c15412"</definedName>
    <definedName name="IQ_STATE" hidden="1">"c1200"</definedName>
    <definedName name="IQ_STATE_COUNTY_MUNICIPAL_OBLIGATIONS_ALL_OTHER_ACCOUNTS_THRIFT" hidden="1">"c25426"</definedName>
    <definedName name="IQ_STATE_COUNTY_MUNICIPAL_OBLIGATIONS_EMPLOYEE_BENEFIT_RETIREMENT_RELATED_ACCOUNTS_THRIFT" hidden="1">"c25410"</definedName>
    <definedName name="IQ_STATE_COUNTY_MUNICIPAL_OBLIGATIONS_PERSONAL_TRUST_AGENCY_INV_MANAGEMENT_ACCOUNTS_THRIFT" hidden="1">"c25394"</definedName>
    <definedName name="IQ_STATE_LOCAL_OTHER_INC_TAXES_THRIFT" hidden="1">"c24817"</definedName>
    <definedName name="IQ_STATE_LOCAL_REVENUE_BONDS_ELIGIBLE_50_PCT_RISK_WEIGHT_THRIFT" hidden="1">"c25067"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_MUNI_OBLIGATIONS_THRIFT" hidden="1">"c24824"</definedName>
    <definedName name="IQ_STATE_OF_INC" hidden="1">"c18104"</definedName>
    <definedName name="IQ_STATES_POLI_SUBD_US_NON_TRANS_ACCTS_FFIEC" hidden="1">"c15324"</definedName>
    <definedName name="IQ_STATES_POLI_SUBD_US_TRANS_ACCTS_FFIEC" hidden="1">"c15316"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ISSUED_SAVINGS_ASSOCIATION_THRIFT" hidden="1">"c25012"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OCK_RETIRED_SAVINGS_ASSOCIATION_THRIFT" hidden="1">"c25013"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ENTURES_THRIFT" hidden="1">"c24902"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ORDINATED_DEBENTURES_AMOUNTS_NETTED_THRIFT" hidden="1">"c25540"</definedName>
    <definedName name="IQ_SUBORDINATED_DEBENTURES_LEVEL_1_THRIFT" hidden="1">"c25536"</definedName>
    <definedName name="IQ_SUBORDINATED_DEBENTURES_LEVEL_2_THRIFT" hidden="1">"c25537"</definedName>
    <definedName name="IQ_SUBORDINATED_DEBENTURES_LEVEL_3_THRIFT" hidden="1">"c25538"</definedName>
    <definedName name="IQ_SUBORDINATED_DEBENTURES_TOTAL_AFTER_NETTING_THRIFT" hidden="1">"c25541"</definedName>
    <definedName name="IQ_SUBORDINATED_DEBENTURES_TOTAL_BEFORE_NETTING_THRIFT" hidden="1">"c25539"</definedName>
    <definedName name="IQ_SUBORDINATED_DEBENTURES_WITH_REMAINING_MATURITY_ONE_YEAR_LESS_THRIFT" hidden="1">"c25577"</definedName>
    <definedName name="IQ_SUBORDINATED_DEBENTURES_WITH_REMAINING_MATURITY_OVER_ONE_YEAR_THRIFT" hidden="1">"c25578"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FIEC" hidden="1">"c12877"</definedName>
    <definedName name="IQ_SVA" hidden="1">"c1214"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ASSETS_THRIFT" hidden="1">"c25088"</definedName>
    <definedName name="IQ_TANGIBLE_COMMON_EQUITY_FFIEC" hidden="1">"c13914"</definedName>
    <definedName name="IQ_TANGIBLE_COMMON_EQUITY_THRIFT" hidden="1">"c25086"</definedName>
    <definedName name="IQ_TANGIBLE_EQUITY_ASSETS_FFIEC" hidden="1">"c13346"</definedName>
    <definedName name="IQ_TANGIBLE_EQUITY_FFIEC" hidden="1">"c13915"</definedName>
    <definedName name="IQ_TANGIBLE_EQUITY_RATIO_THRIFT" hidden="1">"c25084"</definedName>
    <definedName name="IQ_TANGIBLE_EQUITY_THRIFT" hidden="1">"c25087"</definedName>
    <definedName name="IQ_TANGIBLE_TIER_1_LEVERAGE_FFIEC" hidden="1">"c13345"</definedName>
    <definedName name="IQ_TANGIBLE_TIER_1_LEVERAGE_RATIO_THRIFT" hidden="1">"c25631"</definedName>
    <definedName name="IQ_TARGET_PRICE_NUM" hidden="1">"c1653"</definedName>
    <definedName name="IQ_TARGET_PRICE_STDDEV" hidden="1">"c1654"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1_CAPITAL_BEFORE_CHARGES_T1_FFIEC" hidden="1">"c13139"</definedName>
    <definedName name="IQ_TIER_1_CAPITAL_FFIEC" hidden="1">"c13143"</definedName>
    <definedName name="IQ_TIER_1_CAPITAL_RATIO_THRIFT" hidden="1">"c25081"</definedName>
    <definedName name="IQ_TIER_1_CAPITAL_REQUIREMENT_ADJUSTED_ASSETS_THRIFT" hidden="1">"c25039"</definedName>
    <definedName name="IQ_TIER_1_CAPITAL_T1_THRIFT" hidden="1">"c25029"</definedName>
    <definedName name="IQ_TIER_1_LEVERAGE_RATIO_FFIEC" hidden="1">"c13160"</definedName>
    <definedName name="IQ_TIER_1_RISK_BASED_CAPITAL_RATIO_FFIEC" hidden="1">"c13161"</definedName>
    <definedName name="IQ_TIER_1_RISK_BASED_CAPITAL_RATIO_THRIFT" hidden="1">"c25083"</definedName>
    <definedName name="IQ_TIER_2_CAPITAL_FFIEC" hidden="1">"c13149"</definedName>
    <definedName name="IQ_TIER_2_CAPITAL_T2_THRIFT" hidden="1">"c25045"</definedName>
    <definedName name="IQ_TIER_3_CAPITAL_ALLOCATED_MARKET_RISK_FFIEC" hidden="1">"c13151"</definedName>
    <definedName name="IQ_TIER_ONE_CAPITAL" hidden="1">"c2667"</definedName>
    <definedName name="IQ_TIER_ONE_RATIO" hidden="1">"c1229"</definedName>
    <definedName name="IQ_TIER_THREE_CAPITAL" hidden="1">"c26994"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100000_MORE_TOTAL_ASSETS_THRIFT" hidden="1">"c25701"</definedName>
    <definedName name="IQ_TIME_DEPOSITS_100000_THROUGH_250000_THRIFT" hidden="1">"c25002"</definedName>
    <definedName name="IQ_TIME_DEPOSITS_GREATER_100000_TOTAL_DEPOSITS_THRIFT" hidden="1">"c25779"</definedName>
    <definedName name="IQ_TIME_DEPOSITS_GREATER_THAN_250000_THRIFT" hidden="1">"c25003"</definedName>
    <definedName name="IQ_TIME_DEPOSITS_LESS_100K_OTHER_INSTITUTIONS_FFIEC" hidden="1">"c12953"</definedName>
    <definedName name="IQ_TIME_DEPOSITS_LESS_100K_TOT_DEPOSITS_FFIEC" hidden="1">"c13907"</definedName>
    <definedName name="IQ_TIME_DEPOSITS_MORE_100K_OTHER_INSTITUTIONS_FFIEC" hidden="1">"c12954"</definedName>
    <definedName name="IQ_TIME_DEPOSITS_MORE_100K_TOT_DEPOSITS_FFIEC" hidden="1">"c13906"</definedName>
    <definedName name="IQ_TIME_DEPOSITS_THRIFT" hidden="1">"c25001"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1_4_FAMILY_LOANS_TOTAL_LOANS_THRIFT" hidden="1">"c25741"</definedName>
    <definedName name="IQ_TOTAL_ALLOWABLE_EXCLUSIONS_THRIFT" hidden="1">"c25567"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_CAPTIVE_INSURANCE_SUBSIDIARIES_FFIEC" hidden="1">"c27216"</definedName>
    <definedName name="IQ_TOTAL_ASSET_CAPTIVE_REINSUR_SUBSIDIARIES_FFIEC" hidden="1">"c27217"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USTED_ASSETS_THRIFT" hidden="1">"c25030"</definedName>
    <definedName name="IQ_TOTAL_ASSETS_BNK_SUBTOTAL_AP" hidden="1">"c13644"</definedName>
    <definedName name="IQ_TOTAL_ASSETS_FAIR_VALUE_TOT_FFIEC" hidden="1">"c15405"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MANAGED_PROP_MUTUAL_FUNDS_ANNUITIES_THRIFT" hidden="1">"c24941"</definedName>
    <definedName name="IQ_TOTAL_ASSETS_MEASURED_FV_RECURRING_BASIS_AMOUNTS_NETTED_THRIFT" hidden="1">"c25522"</definedName>
    <definedName name="IQ_TOTAL_ASSETS_MEASURED_FV_RECURRING_BASIS_LEVEL_1_THRIFT" hidden="1">"c25518"</definedName>
    <definedName name="IQ_TOTAL_ASSETS_MEASURED_FV_RECURRING_BASIS_LEVEL_2_THRIFT" hidden="1">"c25519"</definedName>
    <definedName name="IQ_TOTAL_ASSETS_MEASURED_FV_RECURRING_BASIS_LEVEL_3_THRIFT" hidden="1">"c25520"</definedName>
    <definedName name="IQ_TOTAL_ASSETS_MEASURED_FV_RECURRING_BASIS_TOTAL_AFTER_NETTING_THRIFT" hidden="1">"c25523"</definedName>
    <definedName name="IQ_TOTAL_ASSETS_MEASURED_FV_RECURRING_BASIS_TOTAL_BEFORE_NETTING_THRIFT" hidden="1">"c25521"</definedName>
    <definedName name="IQ_TOTAL_ASSETS_PC_FFIEC" hidden="1">"c13099"</definedName>
    <definedName name="IQ_TOTAL_ASSETS_SUBTOTAL_AP" hidden="1">"c8985"</definedName>
    <definedName name="IQ_TOTAL_ASSETS_THRIFT" hidden="1">"c24894"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ORROWINGS_THRIFT" hidden="1">"c24899"</definedName>
    <definedName name="IQ_TOTAL_BROKER_ORIGINATED_DEPOSITS_FULLY_INSURED_THRIFT" hidden="1">"c24978"</definedName>
    <definedName name="IQ_TOTAL_BROKER_ORIGINATED_DEPOSITS_OTHER_THRIFT" hidden="1">"c24981"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EPOSITS_INV_SEC_THRIFT" hidden="1">"c24828"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"c16171"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HRIFT" hidden="1">"c25085"</definedName>
    <definedName name="IQ_TOTAL_COMMON_EQUITY_TOTAL_ASSETS_FFIEC" hidden="1">"c13864"</definedName>
    <definedName name="IQ_TOTAL_COMMON_EQUITY_TOTAL_ASSETS_THRIFT" hidden="1">"c25739"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AILY_AVERAGE_ALLOWABLE_EXCLUSIONS_THRIFT" hidden="1">"c25580"</definedName>
    <definedName name="IQ_TOTAL_DAILY_AVERAGE_FOREIGN_DEPOSITS_THRIFT" hidden="1">"c25581"</definedName>
    <definedName name="IQ_TOTAL_DAILY_AVERAGE_GROSS_DEPOSIT_LIABILITIES_BEFORE_EXCLUSIONS_THRIFT" hidden="1">"c25579"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EPOSITS_DOM_FFIEC" hidden="1">"c15313"</definedName>
    <definedName name="IQ_TOTAL_DEPOSITS_FFIEC" hidden="1">"c13623"</definedName>
    <definedName name="IQ_TOTAL_DEPOSITS_SUPPLE" hidden="1">"c15253"</definedName>
    <definedName name="IQ_TOTAL_DEPOSITS_THRIFT" hidden="1">"c24984"</definedName>
    <definedName name="IQ_TOTAL_DIV_PAID_CF" hidden="1">"c1266"</definedName>
    <definedName name="IQ_TOTAL_DIVIDEND_INCOME_THRIFT" hidden="1">"c24756"</definedName>
    <definedName name="IQ_TOTAL_EARNING_ASSETS_QUARTERLY_AVG_FFIEC" hidden="1">"c25823"</definedName>
    <definedName name="IQ_TOTAL_ELIGIBLE_0_PCT_RISK_WEIGHT_THRIFT" hidden="1">"c25050"</definedName>
    <definedName name="IQ_TOTAL_ELIGIBLE_100_PCT_RISK_WEIGHT_THRIFT" hidden="1">"c25070"</definedName>
    <definedName name="IQ_TOTAL_ELIGIBLE_20_PCT_RISK_WEIGHT_THRIFT" hidden="1">"c25056"</definedName>
    <definedName name="IQ_TOTAL_ELIGIBLE_50_PCT_RISK_WEIGHT_THRIFT" hidden="1">"c25063"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INC_MINORITY_INT_THRIFT" hidden="1">"c24927"</definedName>
    <definedName name="IQ_TOTAL_EQUITY_CAPITAL_T1_FFIEC" hidden="1">"c13130"</definedName>
    <definedName name="IQ_TOTAL_EQUITY_CAPITAL_T1_THRIFT" hidden="1">"c25021"</definedName>
    <definedName name="IQ_TOTAL_EQUITY_CAPITAL_THRIFT" hidden="1">"c24925"</definedName>
    <definedName name="IQ_TOTAL_EQUITY_FFIEC" hidden="1">"c12881"</definedName>
    <definedName name="IQ_TOTAL_EQUITY_INCL_MINORITY_INTEREST_FFIEC" hidden="1">"c15278"</definedName>
    <definedName name="IQ_TOTAL_EQUITY_INV_NOT_CARRIED_FV_THRIFT" hidden="1">"c24879"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EQUITY_TOTAL_ASSETS_THRIFT" hidden="1">"c25738"</definedName>
    <definedName name="IQ_TOTAL_FIDUCIARY_ACCOUNTS_MANAGED_ASSETS_THRIFT" hidden="1">"c25346"</definedName>
    <definedName name="IQ_TOTAL_FIDUCIARY_ACCOUNTS_NONMANAGED_ASSETS_THRIFT" hidden="1">"c25367"</definedName>
    <definedName name="IQ_TOTAL_FIDUCIARY_ACCOUNTS_NUMBER_MANAGED_ACCOUNTS_THRIFT" hidden="1">"c25357"</definedName>
    <definedName name="IQ_TOTAL_FIDUCIARY_ACCOUNTS_NUMBER_NONMANAGED_ACCOUNTS_THRIFT" hidden="1">"c25379"</definedName>
    <definedName name="IQ_TOTAL_FOREIGN_DEPOSITS_FFIEC" hidden="1">"c15348"</definedName>
    <definedName name="IQ_TOTAL_FOREIGN_DEPOSITS_INCLUDED_IN_TOTAL_ALLOWABLE_EXCLUSIONS_THRIFT" hidden="1">"c25568"</definedName>
    <definedName name="IQ_TOTAL_FOREIGN_LOANS_QUARTERLY_AVG_FFIEC" hidden="1">"c15482"</definedName>
    <definedName name="IQ_TOTAL_GROSS_DEPOSIT_LIABILITIES_BEFORE_EXCLUSIONS_THRIFT" hidden="1">"c25566"</definedName>
    <definedName name="IQ_TOTAL_GROSS_FIDUCIARY_RELATED_SERVICES_INC_THRIFT" hidden="1">"c24811"</definedName>
    <definedName name="IQ_TOTAL_GROSS_LOSSES_MANAGED_ACCOUNTS_THRIFT" hidden="1">"c25465"</definedName>
    <definedName name="IQ_TOTAL_GROSS_LOSSES_NONMANAGED_ACCOUNTS_THRIFT" hidden="1">"c25470"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_THRIFT" hidden="1">"c24764"</definedName>
    <definedName name="IQ_TOTAL_INT_EXPENSE_FFIEC" hidden="1">"c13000"</definedName>
    <definedName name="IQ_TOTAL_INT_INCOME_FFIEC" hidden="1">"c12989"</definedName>
    <definedName name="IQ_TOTAL_INT_INCOME_THRIFT" hidden="1">"c24753"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EASES_TOTAL_LOANS_THRIFT" hidden="1">"c25751"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EQUITY_THRIFT" hidden="1">"c24928"</definedName>
    <definedName name="IQ_TOTAL_LIABILITIES_FAIR_VALUE_TOT_FFIEC" hidden="1">"c15411"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MEASURED_FV_RECURRING_BASIS_AMOUNTS_NETTED_THRIFT" hidden="1">"c25564"</definedName>
    <definedName name="IQ_TOTAL_LIABILITIES_MEASURED_FV_RECURRING_BASIS_LEVEL_1_THRIFT" hidden="1">"c25560"</definedName>
    <definedName name="IQ_TOTAL_LIABILITIES_MEASURED_FV_RECURRING_BASIS_LEVEL_2_THRIFT" hidden="1">"c25561"</definedName>
    <definedName name="IQ_TOTAL_LIABILITIES_MEASURED_FV_RECURRING_BASIS_LEVEL_3_THRIFT" hidden="1">"c25562"</definedName>
    <definedName name="IQ_TOTAL_LIABILITIES_MEASURED_FV_RECURRING_BASIS_TOTAL_AFTER_NETTING_THRIFT" hidden="1">"c25565"</definedName>
    <definedName name="IQ_TOTAL_LIABILITIES_MEASURED_FV_RECURRING_BASIS_TOTAL_BEFORE_NETTING_THRIFT" hidden="1">"c25563"</definedName>
    <definedName name="IQ_TOTAL_LIABILITIES_THRIFT" hidden="1">"c24913"</definedName>
    <definedName name="IQ_TOTAL_LL_DOMESTIC_QUARTERLY_AVG_FFIEC" hidden="1">"c25825"</definedName>
    <definedName name="IQ_TOTAL_LL_FOREIGN_QUARTERLY_AVG_FFIEC" hidden="1">"c25824"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IN_PROCESS_FORECLOSURE_THRIFT" hidden="1">"c25310"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MANAGED_ASSETS_ALL_OTHER_ACCOUNTS_THRIFT" hidden="1">"c25422"</definedName>
    <definedName name="IQ_TOTAL_MANAGED_ASSETS_EMPLOYEE_BENEFIT_RETIREMENT_RELATED_ACCOUNTS_THRIFT" hidden="1">"c25406"</definedName>
    <definedName name="IQ_TOTAL_MANAGED_ASSETS_PERSONAL_TRUST_AGENCY_INV_MANAGEMENT_ACCOUNTS_THRIFT" hidden="1">"c25390"</definedName>
    <definedName name="IQ_TOTAL_MBS_THRIFT" hidden="1">"c24837"</definedName>
    <definedName name="IQ_TOTAL_MORTGAGE_LOANS_THRIFT" hidden="1">"c24852"</definedName>
    <definedName name="IQ_TOTAL_MORTGAGE_NON_MORTGAGE_LOANS_DUE_30_89_THRIFT" hidden="1">"c25255"</definedName>
    <definedName name="IQ_TOTAL_MORTGAGE_NON_MORTGAGE_LOANS_DUE_90_THRIFT" hidden="1">"c25276"</definedName>
    <definedName name="IQ_TOTAL_MORTGAGE_NON_MORTGAGE_LOANS_NON_ACCRUAL_THRIFT" hidden="1">"c25297"</definedName>
    <definedName name="IQ_TOTAL_NON_MORTGAGE_LOANS_THRIFT" hidden="1">"c24868"</definedName>
    <definedName name="IQ_TOTAL_NON_RE_LOANS_TOTAL_LOANS_THRIFT" hidden="1">"c25752"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ASSETS_THRIFT" hidden="1">"c24883"</definedName>
    <definedName name="IQ_TOTAL_OTHER_OPER" hidden="1">"c1289"</definedName>
    <definedName name="IQ_TOTAL_OTHER_TEMP_IMPAIR_LOSS_FFIEC" hidden="1">"c25846"</definedName>
    <definedName name="IQ_TOTAL_OTHER_UNUSED_FFIEC" hidden="1">"c25858"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AMT_ASSETS_COVERED_RECOURSE_OBLIGATIONS_DIRECT_CREDIT_SUBSTITUTES_THRIFT" hidden="1">"c25615"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THRIFT" hidden="1">"c25475"</definedName>
    <definedName name="IQ_TOTAL_RENTAL_REVENUE" hidden="1">"c16022"</definedName>
    <definedName name="IQ_TOTAL_RESERVES" hidden="1">"c21102"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EVENUE_THRIFT" hidden="1">"c24785"</definedName>
    <definedName name="IQ_TOTAL_RISK_BASED_CAPITAL_FFIEC" hidden="1">"c13153"</definedName>
    <definedName name="IQ_TOTAL_RISK_BASED_CAPITAL_RATIO_FFIEC" hidden="1">"c13162"</definedName>
    <definedName name="IQ_TOTAL_RISK_BASED_CAPITAL_RATIO_THRIFT" hidden="1">"c25082"</definedName>
    <definedName name="IQ_TOTAL_RISK_BASED_CAPITAL_REQUIREMENT_THRIFT" hidden="1">"c25080"</definedName>
    <definedName name="IQ_TOTAL_RISK_BASED_CAPITAL_THRIFT" hidden="1">"c25049"</definedName>
    <definedName name="IQ_TOTAL_RISK_WEIGHTED_ASSETS_FFIEC" hidden="1">"c13858"</definedName>
    <definedName name="IQ_TOTAL_RISK_WEIGHTED_ASSETS_THRIFT" hidden="1">"c25079"</definedName>
    <definedName name="IQ_TOTAL_ROOMS" hidden="1">"c8789"</definedName>
    <definedName name="IQ_TOTAL_SPECIAL" hidden="1">"c1618"</definedName>
    <definedName name="IQ_TOTAL_SQ_FT" hidden="1">"c8781"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"c16168"</definedName>
    <definedName name="IQ_TOTAL_TIME_DEPOSITS_TOTAL_DEPOSITS_THRIFT" hidden="1">"c25780"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UAL" hidden="1">"c1508"</definedName>
    <definedName name="IQ_TOTAL_UNUSUAL_BNK" hidden="1">"c5516"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_FWD" hidden="1">"c17878"</definedName>
    <definedName name="IQ_TR_IMPLIED_EV_EBITDA" hidden="1">"c2303"</definedName>
    <definedName name="IQ_TR_IMPLIED_EV_EBITDA_FINAL" hidden="1">"c16251"</definedName>
    <definedName name="IQ_TR_IMPLIED_EV_EBITDA_FWD" hidden="1">"c17877"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MPLIED_EV_REV_FWD" hidden="1">"c17876"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MAIN_MONETARY_VALUE" hidden="1">"c18099"</definedName>
    <definedName name="IQ_TR_REMAIN_NUMBER_SHARES" hidden="1">"c18101"</definedName>
    <definedName name="IQ_TR_REMAIN_PCT_SHARES" hidden="1">"c18100"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HELF_CLOSED_DATE" hidden="1">"c18031"</definedName>
    <definedName name="IQ_TR_SHELF_EXP_EXPIRATION_DATE" hidden="1">"c18102"</definedName>
    <definedName name="IQ_TR_SHELF_EXPIRED_DATE" hidden="1">"c18103"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BALANCE_USD" hidden="1">"c21103"</definedName>
    <definedName name="IQ_TRADE_PRINCIPAL" hidden="1">"c1309"</definedName>
    <definedName name="IQ_TRADING_ASSETS" hidden="1">"c1310"</definedName>
    <definedName name="IQ_TRADING_ASSETS_FAIR_VALUE_TOT_FFIEC" hidden="1">"c13210"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_AMOUNTS_NETTED_THRIFT" hidden="1">"c25486"</definedName>
    <definedName name="IQ_TRADING_SEC_LEVEL_1_THRIFT" hidden="1">"c25482"</definedName>
    <definedName name="IQ_TRADING_SEC_LEVEL_2_THRIFT" hidden="1">"c25483"</definedName>
    <definedName name="IQ_TRADING_SEC_LEVEL_3_THRIFT" hidden="1">"c25484"</definedName>
    <definedName name="IQ_TRADING_SEC_TOTAL_AFTER_NETTING_THRIFT" hidden="1">"c25487"</definedName>
    <definedName name="IQ_TRADING_SEC_TOTAL_BEFORE_NETTING_THRIFT" hidden="1">"c25485"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INC_DEMAND_DEPOSITS_THRIFT" hidden="1">"c24998"</definedName>
    <definedName name="IQ_TRANSACTION_ACCOUNTS_TOTAL_DEPOSITS_THRIFT" hidden="1">"c25777"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ANSFER_AGENT_REGISTRAR_PAYING_AGENT_OTHER_CORPORATE_AGENCY_NUMBER_ISSUES_THRIFT" hidden="1">"c25444"</definedName>
    <definedName name="IQ_TRANSFERS_GVA_THRIFT" hidden="1">"c25093"</definedName>
    <definedName name="IQ_TRANSFERS_SVA_THRIFT" hidden="1">"c25101"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FIEC" hidden="1">"c15352"</definedName>
    <definedName name="IQ_TROUBLED_DEBT_RESTRUCTURED_DUE_30_89_THRIFT" hidden="1">"c25256"</definedName>
    <definedName name="IQ_TROUBLED_DEBT_RESTRUCTURED_DUE_90_THRIFT" hidden="1">"c25277"</definedName>
    <definedName name="IQ_TROUBLED_DEBT_RESTRUCTURED_NON_ACCRUAL_THRIFT" hidden="1">"c25298"</definedName>
    <definedName name="IQ_TROUBLED_DEBT_RESTRUCTURED_THRIFT" hidden="1">"c25230"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MORTIZED_YIELD_ADJUSTMENTS_THRIFT" hidden="1">"c24898"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RAWN_CP" hidden="1">"c2518"</definedName>
    <definedName name="IQ_UNDRAWN_CREDIT" hidden="1">"c3032"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_RATE" hidden="1">"c21104"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NSURED_DEPOSITS_THRIFT" hidden="1">"c24995"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REALIZED_GAIN" hidden="1">"c1619"</definedName>
    <definedName name="IQ_UNREALIZED_GAINS_AFS_EQUITY_SEC_T2_THRIFT" hidden="1">"c25040"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ERCIAL_LOANS_THRIFT" hidden="1">"c24855"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SECURED_FEDERAL_FUNDS_PURCHASED_THRIFT" hidden="1">"c25572"</definedName>
    <definedName name="IQ_UNSECURED_OTHER_BORROWINGS_WITH_REMAINING_MATURITY_ONE_YEAR_LESS_THRIFT" hidden="1">"c25575"</definedName>
    <definedName name="IQ_UNSECURED_OTHER_BORROWINGS_WITH_REMAINING_MATURITY_OVER_ONE_YEAR_THRIFT" hidden="1">"c25576"</definedName>
    <definedName name="IQ_UNUSED_LINES_CREDIT_COMM_LINES_THRIFT" hidden="1">"c25607"</definedName>
    <definedName name="IQ_UNUSED_LINES_CREDIT_REVOLVING_OPEN_END_LOANS_1_4_DWELLING_UNITS_THRIFT" hidden="1">"c25606"</definedName>
    <definedName name="IQ_UNUSED_LINES_CREDIT_THRIFT" hidden="1">"c25605"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AGENCY_SPONSORED_ENTERPRISE_SEC_THRIFT" hidden="1">"c24822"</definedName>
    <definedName name="IQ_US_BANKS_OTHER_INST_FOREIGN_DEP_FFIEC" hidden="1">"c15343"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T_AGENCY_SPONSORED_ENTERPRISE_SEC_INV_SEC_THRIFT" hidden="1">"c25671"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GUARANTEED_PORTION_LL_EXCL_REBOOKED_GNMA_EXCL_LOSS_SHARING_DUE_30_89_FFIEC" hidden="1">"c27069"</definedName>
    <definedName name="IQ_US_GUARANTEED_PORTION_LL_EXCL_REBOOKED_GNMA_EXCL_LOSS_SHARING_DUE_90_FFIEC" hidden="1">"c27109"</definedName>
    <definedName name="IQ_US_GUARANTEED_PORTION_LL_EXCL_REBOOKED_GNMA_EXCL_LOSS_SHARING_NON_ACCRUAL_FFIEC" hidden="1">"c27149"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_TREASURY_US_GOVT_AGENCY_OBLIGATIONS_ALL_OTHER_ACCOUNTS_THRIFT" hidden="1">"c25425"</definedName>
    <definedName name="IQ_US_TREASURY_US_GOVT_AGENCY_OBLIGATIONS_EMPLOYEE_BENEFIT_RETIREMENT_RELATED_ACCOUNTS_THRIFT" hidden="1">"c25409"</definedName>
    <definedName name="IQ_US_TREASURY_US_GOVT_AGENCY_OBLIGATIONS_PERSONAL_TRUST_AGENCY_INV_MANAGEMENT_ACCOUNTS_THRIFT" hidden="1">"c25393"</definedName>
    <definedName name="IQ_UST_SEC_GOVT_AGENCY_CORP_QUARTERLY_AVG_FFIEC" hidden="1">"c15469"</definedName>
    <definedName name="IQ_UST_SEC_GOVT_AGENCY_EXCL_MBS_QUARTERLY_AVG_FFIEC" hidden="1">"c27060"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ARIABLE_RATE_PREFERREDS_INT_SENSITIVITY_FFIEC" hidden="1">"c13096"</definedName>
    <definedName name="IQ_VC_REV_OPERATING_INC_FFIEC" hidden="1">"c13388"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_EXP_DATE" hidden="1">"c27334"</definedName>
    <definedName name="IQ_WAR_TOTAL_AGG_INT_VALUE_EXER" hidden="1">"c18465"</definedName>
    <definedName name="IQ_WAR_TOTAL_AGG_INT_VALUE_OUT" hidden="1">"c18461"</definedName>
    <definedName name="IQ_WAR_TOTAL_NUM_EXER" hidden="1">"c18463"</definedName>
    <definedName name="IQ_WAR_TOTAL_NUM_OUT" hidden="1">"c18459"</definedName>
    <definedName name="IQ_WAR_TOTAL_PLAN_NAME" hidden="1">"c18469"</definedName>
    <definedName name="IQ_WAR_TOTAL_PRICE_HIGH" hidden="1">"c18456"</definedName>
    <definedName name="IQ_WAR_TOTAL_PRICE_LOW" hidden="1">"c18455"</definedName>
    <definedName name="IQ_WAR_TOTAL_PRICE_RANGE" hidden="1">"c18457"</definedName>
    <definedName name="IQ_WAR_TOTAL_WTD_LIFE_EXER" hidden="1">"c18464"</definedName>
    <definedName name="IQ_WAR_TOTAL_WTD_LIFE_OUT" hidden="1">"c18460"</definedName>
    <definedName name="IQ_WAR_TOTAL_WTD_PRICE_EXER" hidden="1">"c18462"</definedName>
    <definedName name="IQ_WAR_TOTAL_WTD_PRICE_OUT" hidden="1">"c18458"</definedName>
    <definedName name="IQ_WAR_TRANCHE_AGG_INT_VALUE_EXER" hidden="1">"c18454"</definedName>
    <definedName name="IQ_WAR_TRANCHE_AGG_INT_VALUE_OUT" hidden="1">"c18450"</definedName>
    <definedName name="IQ_WAR_TRANCHE_CLASS_NAME" hidden="1">"c18443"</definedName>
    <definedName name="IQ_WAR_TRANCHE_NUM_EXER" hidden="1">"c18452"</definedName>
    <definedName name="IQ_WAR_TRANCHE_NUM_OUT" hidden="1">"c18448"</definedName>
    <definedName name="IQ_WAR_TRANCHE_PLAN_NAME" hidden="1">"c18442"</definedName>
    <definedName name="IQ_WAR_TRANCHE_PLAN_RANK" hidden="1">"c18468"</definedName>
    <definedName name="IQ_WAR_TRANCHE_PRICE_HIGH" hidden="1">"c18445"</definedName>
    <definedName name="IQ_WAR_TRANCHE_PRICE_LOW" hidden="1">"c18444"</definedName>
    <definedName name="IQ_WAR_TRANCHE_PRICE_RANGE" hidden="1">"c18446"</definedName>
    <definedName name="IQ_WAR_TRANCHE_WTD_LIFE_EXER" hidden="1">"c18453"</definedName>
    <definedName name="IQ_WAR_TRANCHE_WTD_LIFE_OUT" hidden="1">"c18449"</definedName>
    <definedName name="IQ_WAR_TRANCHE_WTD_PRICE_EXER" hidden="1">"c18451"</definedName>
    <definedName name="IQ_WAR_TRANCHE_WTD_PRICE_OUT" hidden="1">"c18447"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LCOHOL" hidden="1">"c21149"</definedName>
    <definedName name="IQ_WHOLESALE_SALES_APPAREL" hidden="1">"c21150"</definedName>
    <definedName name="IQ_WHOLESALE_SALES_APR" hidden="1">"c7688"</definedName>
    <definedName name="IQ_WHOLESALE_SALES_APR_FC" hidden="1">"c8568"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C" hidden="1">"c7908"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POP" hidden="1">"c7248"</definedName>
    <definedName name="IQ_WHOLESALE_SALES_POP_FC" hidden="1">"c8128"</definedName>
    <definedName name="IQ_WHOLESALE_SALES_TOTAL" hidden="1">"c21170"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QShowHideColumns" hidden="1">"iQShowAnnual"</definedName>
    <definedName name="JanActual">#REF!</definedName>
    <definedName name="JanBudget">#REF!</definedName>
    <definedName name="jim" hidden="1">{"'Directory'!$A$72:$E$91"}</definedName>
    <definedName name="JulyActual">#REF!</definedName>
    <definedName name="JulyBudget">#REF!</definedName>
    <definedName name="JuneActual">#REF!</definedName>
    <definedName name="JuneBudget">#REF!</definedName>
    <definedName name="LastCell">#REF!</definedName>
    <definedName name="LastUpdated">#REF!</definedName>
    <definedName name="LBO" hidden="1">{#N/A,#N/A,FALSE,"Projections";#N/A,#N/A,FALSE,"Multiples Valuation";#N/A,#N/A,FALSE,"LBO";#N/A,#N/A,FALSE,"Multiples_Sensitivity";#N/A,#N/A,FALSE,"Summary"}</definedName>
    <definedName name="LIABS">#REF!</definedName>
    <definedName name="LIABS_CURR">#REF!</definedName>
    <definedName name="LIABS_CURR_OTH">#REF!</definedName>
    <definedName name="LIABS_OTH">#REF!</definedName>
    <definedName name="LIABS_SHLDRS_EQ">#REF!</definedName>
    <definedName name="lkj">[0]!lkj</definedName>
    <definedName name="LONG_TERM_DEBT">#REF!</definedName>
    <definedName name="M_PlaceofPath" hidden="1">"\\SNYCEQT0100\HOME\LZURLO\DATA\TELMEX\Models\tmx_vdf.xls"</definedName>
    <definedName name="MACHINES">#REF!</definedName>
    <definedName name="MACHINES1">#REF!</definedName>
    <definedName name="MACHINES2">#REF!</definedName>
    <definedName name="MarBudget">#REF!</definedName>
    <definedName name="MarchActual">#REF!</definedName>
    <definedName name="MarchBudget">#REF!</definedName>
    <definedName name="Marketable_securities">#REF!</definedName>
    <definedName name="MayActual">#REF!</definedName>
    <definedName name="MayBudget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IN_INT_ACCUM">#REF!</definedName>
    <definedName name="MIN_INT_EXP">#REF!</definedName>
    <definedName name="MISC_FUNDS_CF">#REF!</definedName>
    <definedName name="mn">[0]!mn</definedName>
    <definedName name="Modified_Projections">#REF!</definedName>
    <definedName name="MONTHEBITDA">#REF!</definedName>
    <definedName name="MONTHNETINCOME">#REF!</definedName>
    <definedName name="NET_INC">#REF!</definedName>
    <definedName name="NET_INC_AFT_XORD">#REF!</definedName>
    <definedName name="NET_INC_CF">#REF!</definedName>
    <definedName name="new" hidden="1">{#N/A,#N/A,FALSE,"Projections";#N/A,#N/A,FALSE,"Multiples Valuation";#N/A,#N/A,FALSE,"LBO";#N/A,#N/A,FALSE,"Multiples_Sensitivity";#N/A,#N/A,FALSE,"Summary"}</definedName>
    <definedName name="newbel" hidden="1">{"'Directory'!$A$72:$E$91"}</definedName>
    <definedName name="newbls" hidden="1">{"'Directory'!$A$72:$E$91"}</definedName>
    <definedName name="newt" hidden="1">{"'Directory'!$A$72:$E$91"}</definedName>
    <definedName name="newwcom" hidden="1">{"'Directory'!$A$72:$E$91"}</definedName>
    <definedName name="no" hidden="1">{"PR1","pr1",TRUE,"Sch PR-1"}</definedName>
    <definedName name="NoClear">#REF!</definedName>
    <definedName name="NON_CASH">#REF!</definedName>
    <definedName name="NOTES_RECEIV_LT">#REF!</definedName>
    <definedName name="NovActual">#REF!</definedName>
    <definedName name="NovBudget">#REF!</definedName>
    <definedName name="NUM_SH1">#REF!</definedName>
    <definedName name="OctActual">#REF!</definedName>
    <definedName name="OctBudget">#REF!</definedName>
    <definedName name="ok" hidden="1">{#N/A,#N/A,FALSE,"AD_Purch";#N/A,#N/A,FALSE,"Projections";#N/A,#N/A,FALSE,"DCF";#N/A,#N/A,FALSE,"Mkt Val"}</definedName>
    <definedName name="OldData">#REF!</definedName>
    <definedName name="OP_FCF">#REF!</definedName>
    <definedName name="OPER_CF">#REF!</definedName>
    <definedName name="OPER_EXP_OTH">#REF!</definedName>
    <definedName name="OPER_INC_OTH">#REF!</definedName>
    <definedName name="OPER_PS_NET_CF">#REF!</definedName>
    <definedName name="OTHER_ASSETS">#REF!</definedName>
    <definedName name="p.kh" hidden="1">{#N/A,#N/A,FALSE,"Heat";#N/A,#N/A,FALSE,"DCF";#N/A,#N/A,FALSE,"LBO";#N/A,#N/A,FALSE,"A";#N/A,#N/A,FALSE,"C";#N/A,#N/A,FALSE,"impd";#N/A,#N/A,FALSE,"Accr-Dilu"}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id_in_Capital">#REF!</definedName>
    <definedName name="PAY_ACCT">#REF!</definedName>
    <definedName name="PAY_TAX">#REF!</definedName>
    <definedName name="PDCFNorm00">#REF!</definedName>
    <definedName name="PDCFNorm01">#REF!</definedName>
    <definedName name="PDCFNorm02">#REF!</definedName>
    <definedName name="PDCFNorm03">#REF!</definedName>
    <definedName name="PDCFRep00">#REF!</definedName>
    <definedName name="PDCFRep01">#REF!</definedName>
    <definedName name="PDCFRep02">#REF!</definedName>
    <definedName name="PDCFRep03">#REF!</definedName>
    <definedName name="PENorm00">#REF!</definedName>
    <definedName name="PENorm01">#REF!</definedName>
    <definedName name="PENorm02">#REF!</definedName>
    <definedName name="PENorm03">#REF!</definedName>
    <definedName name="PENS_BNFIT_RETIR_POST">#REF!</definedName>
    <definedName name="percent_change">#REF!</definedName>
    <definedName name="PERep00">#REF!</definedName>
    <definedName name="PERep01">#REF!</definedName>
    <definedName name="PERep02">#REF!</definedName>
    <definedName name="PERep03">#REF!</definedName>
    <definedName name="PFD_STK">#REF!</definedName>
    <definedName name="Picture3">{"Mcp08.PrintRep",""}</definedName>
    <definedName name="plan" hidden="1">{#N/A,#N/A,FALSE,"BalSheet 0899";#N/A,#N/A,FALSE,"ytdpl899";#N/A,#N/A,FALSE,"Aug PL";#N/A,#N/A,FALSE,"Minority Int";#N/A,#N/A,FALSE,"Equity Roll Forward";#N/A,#N/A,FALSE,"Book Equity Test"}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moCons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oik">[0]!poik</definedName>
    <definedName name="POOLING">[0]!POOLING</definedName>
    <definedName name="pop" localSheetId="0">#REF!</definedName>
    <definedName name="pop">#REF!</definedName>
    <definedName name="popg">#REF!</definedName>
    <definedName name="PortfolioName">#REF!</definedName>
    <definedName name="PortfolioStart">#REF!</definedName>
    <definedName name="PPE_NET">#REF!</definedName>
    <definedName name="Preferred_stock">#REF!</definedName>
    <definedName name="Prepaid_expenses_and_other_current_assets">#REF!</definedName>
    <definedName name="price">#REF!</definedName>
    <definedName name="print">#REF!,#REF!</definedName>
    <definedName name="Print_Area_MI">#REF!</definedName>
    <definedName name="print_Breakdown">#REF!</definedName>
    <definedName name="print_DCF">#REF!</definedName>
    <definedName name="PROPERTY_AND_EQUIPMENT___net">#REF!</definedName>
    <definedName name="PROV_RISK">#REF!</definedName>
    <definedName name="PrtExp">#REF!</definedName>
    <definedName name="PTX_INC">#REF!</definedName>
    <definedName name="PURCHASE">[0]!PURCHASE</definedName>
    <definedName name="PY">#REF!</definedName>
    <definedName name="py_net_income">#REF!</definedName>
    <definedName name="py_ret_earn_beg">#REF!</definedName>
    <definedName name="py_retained_earnings">#REF!</definedName>
    <definedName name="py_share_equity">#REF!</definedName>
    <definedName name="q" hidden="1">{#N/A,#N/A,FALSE,"Projections";#N/A,#N/A,FALSE,"Multiples Valuation";#N/A,#N/A,FALSE,"LBO";#N/A,#N/A,FALSE,"Multiples_Sensitivity";#N/A,#N/A,FALSE,"Summary"}</definedName>
    <definedName name="Q1_86">#REF!</definedName>
    <definedName name="Q1_87">#REF!</definedName>
    <definedName name="Q1_88">#REF!</definedName>
    <definedName name="Q1_89">#REF!</definedName>
    <definedName name="Q1_90">#REF!</definedName>
    <definedName name="Q1_91">#REF!</definedName>
    <definedName name="Q1_92">#REF!</definedName>
    <definedName name="Q1_93">#REF!</definedName>
    <definedName name="Q1_94">#REF!</definedName>
    <definedName name="q1_99">#REF!</definedName>
    <definedName name="q197_rev">#REF!</definedName>
    <definedName name="q198_ni">#REF!</definedName>
    <definedName name="q198_rev">#REF!</definedName>
    <definedName name="q198_shares">#REF!</definedName>
    <definedName name="q199_ni">#REF!</definedName>
    <definedName name="q199_rev">#REF!</definedName>
    <definedName name="q199_shares">#REF!</definedName>
    <definedName name="Q2_86">#REF!</definedName>
    <definedName name="Q2_87">#REF!</definedName>
    <definedName name="Q2_88">#REF!</definedName>
    <definedName name="Q2_89">#REF!</definedName>
    <definedName name="Q2_90">#REF!</definedName>
    <definedName name="Q2_91">#REF!</definedName>
    <definedName name="Q2_92">#REF!</definedName>
    <definedName name="Q2_93">#REF!</definedName>
    <definedName name="Q2_94">#REF!</definedName>
    <definedName name="q2_99">#REF!</definedName>
    <definedName name="q297_rev">#REF!</definedName>
    <definedName name="q298_ni">#REF!</definedName>
    <definedName name="q298_rev">#REF!</definedName>
    <definedName name="q298_shares">#REF!</definedName>
    <definedName name="q299_ni">#REF!</definedName>
    <definedName name="q299_rev">#REF!</definedName>
    <definedName name="q299_shares">#REF!</definedName>
    <definedName name="Q3_86">#REF!</definedName>
    <definedName name="Q3_87">#REF!</definedName>
    <definedName name="Q3_88">#REF!</definedName>
    <definedName name="Q3_89">#REF!</definedName>
    <definedName name="Q3_90">#REF!</definedName>
    <definedName name="Q3_91">#REF!</definedName>
    <definedName name="Q3_92">#REF!</definedName>
    <definedName name="Q3_93">#REF!</definedName>
    <definedName name="Q3_94">#REF!</definedName>
    <definedName name="q3_99">#REF!</definedName>
    <definedName name="q397_rev">#REF!</definedName>
    <definedName name="q398_ni">#REF!</definedName>
    <definedName name="q398_rev">#REF!</definedName>
    <definedName name="q398_shares">#REF!</definedName>
    <definedName name="q399_ni">#REF!</definedName>
    <definedName name="q399_rev">#REF!</definedName>
    <definedName name="q399_shares">#REF!</definedName>
    <definedName name="Q4_86">#REF!</definedName>
    <definedName name="Q4_87">#REF!</definedName>
    <definedName name="Q4_88">#REF!</definedName>
    <definedName name="Q4_89">#REF!</definedName>
    <definedName name="Q4_90">#REF!</definedName>
    <definedName name="Q4_91">#REF!</definedName>
    <definedName name="Q4_92">#REF!</definedName>
    <definedName name="Q4_93">#REF!</definedName>
    <definedName name="Q4_94">#REF!</definedName>
    <definedName name="q4_99">#REF!</definedName>
    <definedName name="q497_rev">#REF!</definedName>
    <definedName name="q498_ni">#REF!</definedName>
    <definedName name="q498_rev">#REF!</definedName>
    <definedName name="q498_shares">#REF!</definedName>
    <definedName name="q499_ni">#REF!</definedName>
    <definedName name="q499_rev">#REF!</definedName>
    <definedName name="q499_shares">#REF!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ctdate">#REF!</definedName>
    <definedName name="qactualeps">#REF!</definedName>
    <definedName name="qcurrentdate">#REF!</definedName>
    <definedName name="qestdate">#REF!</definedName>
    <definedName name="qfiscal0">#REF!</definedName>
    <definedName name="qfiscal1">#REF!</definedName>
    <definedName name="qfiscal2">#REF!</definedName>
    <definedName name="qfiscal3">#REF!</definedName>
    <definedName name="qhidate">#REF!</definedName>
    <definedName name="qhighest1">#REF!</definedName>
    <definedName name="qhighest2">#REF!</definedName>
    <definedName name="qhighest3">#REF!</definedName>
    <definedName name="qhighgr">#REF!</definedName>
    <definedName name="qhiprice">#REF!</definedName>
    <definedName name="qlowdate">#REF!</definedName>
    <definedName name="qlowest1">#REF!</definedName>
    <definedName name="qlowest2">#REF!</definedName>
    <definedName name="qlowest3">#REF!</definedName>
    <definedName name="qlowgr">#REF!</definedName>
    <definedName name="qlowprice">#REF!</definedName>
    <definedName name="qmean1">#REF!</definedName>
    <definedName name="qmean2">#REF!</definedName>
    <definedName name="qmean3">#REF!</definedName>
    <definedName name="qmeangr">#REF!</definedName>
    <definedName name="qmed1">#REF!</definedName>
    <definedName name="qmed2">#REF!</definedName>
    <definedName name="qmed3">#REF!</definedName>
    <definedName name="qmedgr">#REF!</definedName>
    <definedName name="qnumest1">#REF!</definedName>
    <definedName name="qnumest2">#REF!</definedName>
    <definedName name="qnumest3">#REF!</definedName>
    <definedName name="qnumgr">#REF!</definedName>
    <definedName name="qpl">#REF!</definedName>
    <definedName name="qpl_pg1">#REF!</definedName>
    <definedName name="qpl_pg2">#REF!</definedName>
    <definedName name="qprice">#REF!</definedName>
    <definedName name="qwe" hidden="1">{#N/A,#N/A,FALSE,"Projections";#N/A,#N/A,FALSE,"Multiples Valuation";#N/A,#N/A,FALSE,"LBO";#N/A,#N/A,FALSE,"Multiples_Sensitivity";#N/A,#N/A,FALSE,"Summary"}</definedName>
    <definedName name="ractdate">#REF!</definedName>
    <definedName name="ractualeps">#REF!</definedName>
    <definedName name="ratio">#REF!</definedName>
    <definedName name="ratio2">#REF!</definedName>
    <definedName name="rcurrentdate">#REF!</definedName>
    <definedName name="RD_EXP">#REF!</definedName>
    <definedName name="RECEIV_TOT">#REF!</definedName>
    <definedName name="RECO1">#REF!</definedName>
    <definedName name="restdate">#REF!</definedName>
    <definedName name="ResultSize">#REF!</definedName>
    <definedName name="ResultTypes">#REF!</definedName>
    <definedName name="RETAINED_EARNINGS__END_OF_YEAR">#REF!</definedName>
    <definedName name="RETAINED_EARNINGS__END_OF_YEAR_PRIOR">#REF!</definedName>
    <definedName name="RETAINED_EARNINGS__END_OF_YEAR_PRIOR_YEAR">#REF!</definedName>
    <definedName name="RETAINED_EARNINGS_END_OF_YEAR_PRIOR">#REF!</definedName>
    <definedName name="rfiscal0">#REF!</definedName>
    <definedName name="rfiscal1">#REF!</definedName>
    <definedName name="rfiscal2">#REF!</definedName>
    <definedName name="rfiscal3">#REF!</definedName>
    <definedName name="rhidate">#REF!</definedName>
    <definedName name="rhighest1">#REF!</definedName>
    <definedName name="rhighest2">#REF!</definedName>
    <definedName name="rhighest3">#REF!</definedName>
    <definedName name="rhighgr">#REF!</definedName>
    <definedName name="rhiprice">#REF!</definedName>
    <definedName name="RIC_CODE1">#REF!</definedName>
    <definedName name="right_border">#REF!</definedName>
    <definedName name="rlowdate">#REF!</definedName>
    <definedName name="rlowest1">#REF!</definedName>
    <definedName name="rlowest2">#REF!</definedName>
    <definedName name="rlowest3">#REF!</definedName>
    <definedName name="rlowgr">#REF!</definedName>
    <definedName name="rlowprice">#REF!</definedName>
    <definedName name="rmean1">#REF!</definedName>
    <definedName name="rmean2">#REF!</definedName>
    <definedName name="rmean3">#REF!</definedName>
    <definedName name="rmeangr">#REF!</definedName>
    <definedName name="rmed1">#REF!</definedName>
    <definedName name="rmed2">#REF!</definedName>
    <definedName name="rmed3">#REF!</definedName>
    <definedName name="rmedgr">#REF!</definedName>
    <definedName name="rnumest1">#REF!</definedName>
    <definedName name="rnumest2">#REF!</definedName>
    <definedName name="rnumest3">#REF!</definedName>
    <definedName name="rnumgr">#REF!</definedName>
    <definedName name="rprice">#REF!</definedName>
    <definedName name="RSRV">#REF!</definedName>
    <definedName name="RSRV_APPR_OTH">#REF!</definedName>
    <definedName name="RSRV_NONEQ">#REF!</definedName>
    <definedName name="RSRV_REVAL">#REF!</definedName>
    <definedName name="RSRV_UNAPPR">#REF!</definedName>
    <definedName name="s" hidden="1">{"PR1","pr1",TRUE,"Sch PR-1"}</definedName>
    <definedName name="sactdate">#REF!</definedName>
    <definedName name="sactualeps">#REF!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l">#REF!</definedName>
    <definedName name="SALE_ASSETS_BUS_CF">#REF!</definedName>
    <definedName name="SALE_ASSETS_INV">#REF!</definedName>
    <definedName name="SALES">#REF!</definedName>
    <definedName name="SALES_DIV1">#REF!</definedName>
    <definedName name="SALES_DIV2">#REF!</definedName>
    <definedName name="SALES_DIV3">#REF!</definedName>
    <definedName name="SALES_GEO1">#REF!</definedName>
    <definedName name="SALES_GEO2">#REF!</definedName>
    <definedName name="scc">[0]!scc</definedName>
    <definedName name="scurrentdate">#REF!</definedName>
    <definedName name="sd">Sheet1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sds" hidden="1">{"PR1","pr1",TRUE,"Sch PR-1"}</definedName>
    <definedName name="sencount" hidden="1">1</definedName>
    <definedName name="SeptActual">#REF!</definedName>
    <definedName name="SeptBudget">#REF!</definedName>
    <definedName name="sestdate">#REF!</definedName>
    <definedName name="sfd">[0]!sfd</definedName>
    <definedName name="sfiscal0">#REF!</definedName>
    <definedName name="sfiscal1">#REF!</definedName>
    <definedName name="sfiscal2">#REF!</definedName>
    <definedName name="sfiscal3">#REF!</definedName>
    <definedName name="SGA">#REF!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5">[0]!sheet5</definedName>
    <definedName name="Sheet6" hidden="1">{#N/A,#N/A,FALSE,"Projections";#N/A,#N/A,FALSE,"Multiples Valuation";#N/A,#N/A,FALSE,"LBO";#N/A,#N/A,FALSE,"Multiples_Sensitivity";#N/A,#N/A,FALSE,"Summary"}</definedName>
    <definedName name="SHHOLDER1">#REF!</definedName>
    <definedName name="SHHOLDER2">#REF!</definedName>
    <definedName name="SHHOLDER3">#REF!</definedName>
    <definedName name="shidate">#REF!</definedName>
    <definedName name="shighest1">#REF!</definedName>
    <definedName name="shighest2">#REF!</definedName>
    <definedName name="shighest3">#REF!</definedName>
    <definedName name="shighgr">#REF!</definedName>
    <definedName name="shiprice">#REF!</definedName>
    <definedName name="SHLDRS_EQ">#REF!</definedName>
    <definedName name="SHOVELS1">#REF!</definedName>
    <definedName name="SHOVELS2">#REF!</definedName>
    <definedName name="SHOVELS3">#REF!</definedName>
    <definedName name="SHOVELS4">#REF!</definedName>
    <definedName name="SHOVELS5">#REF!</definedName>
    <definedName name="SHOVELS6">#REF!</definedName>
    <definedName name="slowdate">#REF!</definedName>
    <definedName name="slowest1">#REF!</definedName>
    <definedName name="slowest2">#REF!</definedName>
    <definedName name="slowest3">#REF!</definedName>
    <definedName name="slowgr">#REF!</definedName>
    <definedName name="slowprice">#REF!</definedName>
    <definedName name="smean1">#REF!</definedName>
    <definedName name="smean2">#REF!</definedName>
    <definedName name="smean3">#REF!</definedName>
    <definedName name="smeangr">#REF!</definedName>
    <definedName name="smed1">#REF!</definedName>
    <definedName name="smed2">#REF!</definedName>
    <definedName name="smed3">#REF!</definedName>
    <definedName name="smedgr">#REF!</definedName>
    <definedName name="snumest1">#REF!</definedName>
    <definedName name="snumest2">#REF!</definedName>
    <definedName name="snumest3">#REF!</definedName>
    <definedName name="snumgr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10" hidden="1">#REF!</definedName>
    <definedName name="solver_lhs11" hidden="1">#REF!</definedName>
    <definedName name="solver_lhs2" hidden="1">#REF!</definedName>
    <definedName name="solver_lhs3" hidden="1">#REF!</definedName>
    <definedName name="solver_lhs4" hidden="1">#REF!</definedName>
    <definedName name="solver_lhs5" hidden="1">#REF!</definedName>
    <definedName name="solver_lhs6" hidden="1">#REF!</definedName>
    <definedName name="solver_lhs7" hidden="1">#REF!</definedName>
    <definedName name="solver_lhs8" hidden="1">#REF!</definedName>
    <definedName name="solver_lhs9" hidden="1">#REF!</definedName>
    <definedName name="solver_lin" hidden="1">2</definedName>
    <definedName name="solver_neg" hidden="1">2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el10" hidden="1">1</definedName>
    <definedName name="solver_rel11" hidden="1">3</definedName>
    <definedName name="solver_rel2" hidden="1">2</definedName>
    <definedName name="solver_rel3" hidden="1">2</definedName>
    <definedName name="solver_rel4" hidden="1">2</definedName>
    <definedName name="solver_rel5" hidden="1">1</definedName>
    <definedName name="solver_rel6" hidden="1">3</definedName>
    <definedName name="solver_rel7" hidden="1">2</definedName>
    <definedName name="solver_rel8" hidden="1">1</definedName>
    <definedName name="solver_rel9" hidden="1">3</definedName>
    <definedName name="solver_rhs1" hidden="1">#REF!</definedName>
    <definedName name="solver_rhs10" hidden="1">#REF!</definedName>
    <definedName name="solver_rhs11" hidden="1">#REF!</definedName>
    <definedName name="solver_rhs2" hidden="1">#REF!</definedName>
    <definedName name="solver_rhs3" hidden="1">#REF!</definedName>
    <definedName name="solver_rhs4" hidden="1">#REF!</definedName>
    <definedName name="solver_rhs5" hidden="1">#REF!</definedName>
    <definedName name="solver_rhs6" hidden="1">#REF!</definedName>
    <definedName name="solver_rhs7" hidden="1">#REF!</definedName>
    <definedName name="solver_rhs8" hidden="1">#REF!</definedName>
    <definedName name="solver_rhs9" hidden="1">#REF!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1053</definedName>
    <definedName name="SPOT1">#REF!</definedName>
    <definedName name="sprice">#REF!</definedName>
    <definedName name="sssssss" hidden="1">{"PR1","pr1",TRUE,"Sch PR-1"}</definedName>
    <definedName name="START">#REF!</definedName>
    <definedName name="StartDate">#REF!</definedName>
    <definedName name="StartDateText">#REF!</definedName>
    <definedName name="StepCustom">#REF!</definedName>
    <definedName name="StepSize">#REF!</definedName>
    <definedName name="STK_CHG_CF">#REF!</definedName>
    <definedName name="STOCK">[0]!STOCK</definedName>
    <definedName name="STRUCTURE">#REF!</definedName>
    <definedName name="Summary">#REF!</definedName>
    <definedName name="summary2" hidden="1">{#N/A,#N/A,FALSE,"FACTSHEETS";#N/A,#N/A,FALSE,"pump";#N/A,#N/A,FALSE,"filter"}</definedName>
    <definedName name="TABCF">#REF!</definedName>
    <definedName name="TABDEPT">#REF!</definedName>
    <definedName name="tactdate">#REF!</definedName>
    <definedName name="tactualeps">#REF!</definedName>
    <definedName name="TARGET_PRICE1">#REF!</definedName>
    <definedName name="TCFIN">#REF!</definedName>
    <definedName name="tcurrentdate">#REF!</definedName>
    <definedName name="TestAdd">"Test RefersTo1"</definedName>
    <definedName name="testdate">#REF!</definedName>
    <definedName name="TextRefCopy1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#REF!</definedName>
    <definedName name="TextRefCopy157">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>#REF!</definedName>
    <definedName name="TextRefCopy180">#REF!</definedName>
    <definedName name="TextRefCopy181">#REF!</definedName>
    <definedName name="TextRefCopy182">#REF!</definedName>
    <definedName name="TextRefCopy183">#REF!</definedName>
    <definedName name="TextRefCopy184">#REF!</definedName>
    <definedName name="TextRefCopy185">#REF!</definedName>
    <definedName name="TextRefCopy186">#REF!</definedName>
    <definedName name="TextRefCopy187">#REF!</definedName>
    <definedName name="TextRefCopy188">#REF!</definedName>
    <definedName name="TextRefCopy189">#REF!</definedName>
    <definedName name="TextRefCopy19">#REF!</definedName>
    <definedName name="TextRefCopy190">#REF!</definedName>
    <definedName name="TextRefCopy191">#REF!</definedName>
    <definedName name="TextRefCopy192">#REF!</definedName>
    <definedName name="TextRefCopy193">#REF!</definedName>
    <definedName name="TextRefCopy194">#REF!</definedName>
    <definedName name="TextRefCopy195">#REF!</definedName>
    <definedName name="TextRefCopy196">#REF!</definedName>
    <definedName name="TextRefCopy197">#REF!</definedName>
    <definedName name="TextRefCopy198">#REF!</definedName>
    <definedName name="TextRefCopy199">#REF!</definedName>
    <definedName name="TextRefCopy2">#REF!</definedName>
    <definedName name="TextRefCopy20">#REF!</definedName>
    <definedName name="TextRefCopy200">#REF!</definedName>
    <definedName name="TextRefCopy201">#REF!</definedName>
    <definedName name="TextRefCopy202">#REF!</definedName>
    <definedName name="TextRefCopy203">#REF!</definedName>
    <definedName name="TextRefCopy204">#REF!</definedName>
    <definedName name="TextRefCopy205">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>#REF!</definedName>
    <definedName name="TextRefCopy210">#REF!</definedName>
    <definedName name="TextRefCopy211">#REF!</definedName>
    <definedName name="TextRefCopy212">#REF!</definedName>
    <definedName name="TextRefCopy213">#REF!</definedName>
    <definedName name="TextRefCopy214">#REF!</definedName>
    <definedName name="TextRefCopy215">#REF!</definedName>
    <definedName name="TextRefCopy216">#REF!</definedName>
    <definedName name="TextRefCopy217">#REF!</definedName>
    <definedName name="TextRefCopy218">#REF!</definedName>
    <definedName name="TextRefCopy22">#REF!</definedName>
    <definedName name="TextRefCopy220">#REF!</definedName>
    <definedName name="TextRefCopy222">#REF!</definedName>
    <definedName name="TextRefCopy224">#REF!</definedName>
    <definedName name="TextRefCopy226">#REF!</definedName>
    <definedName name="TextRefCopy228">#REF!</definedName>
    <definedName name="TextRefCopy229">#REF!</definedName>
    <definedName name="TextRefCopy23">#REF!</definedName>
    <definedName name="TextRefCopy230">#REF!</definedName>
    <definedName name="TextRefCopy231">#REF!</definedName>
    <definedName name="TextRefCopy232">#REF!</definedName>
    <definedName name="TextRefCopy233">#REF!</definedName>
    <definedName name="TextRefCopy234">#REF!</definedName>
    <definedName name="TextRefCopy236">#REF!</definedName>
    <definedName name="TextRefCopy237">#REF!</definedName>
    <definedName name="TextRefCopy24">#REF!</definedName>
    <definedName name="TextRefCopy240">#REF!</definedName>
    <definedName name="TextRefCopy241">#REF!</definedName>
    <definedName name="TextRefCopy244">#REF!</definedName>
    <definedName name="TextRefCopy247">#REF!</definedName>
    <definedName name="TextRefCopy248">#REF!</definedName>
    <definedName name="TextRefCopy249">#REF!</definedName>
    <definedName name="TextRefCopy25">#REF!</definedName>
    <definedName name="TextRefCopy250">#REF!</definedName>
    <definedName name="TextRefCopy251">#REF!</definedName>
    <definedName name="TextRefCopy252">#REF!</definedName>
    <definedName name="TextRefCopy253">#REF!</definedName>
    <definedName name="TextRefCopy254">#REF!</definedName>
    <definedName name="TextRefCopy255">#REF!</definedName>
    <definedName name="TextRefCopy256">#REF!</definedName>
    <definedName name="TextRefCopy257">#REF!</definedName>
    <definedName name="TextRefCopy258">#REF!</definedName>
    <definedName name="TextRefCopy259">#REF!</definedName>
    <definedName name="TextRefCopy26">#REF!</definedName>
    <definedName name="TextRefCopy260">#REF!</definedName>
    <definedName name="TextRefCopy261">#REF!</definedName>
    <definedName name="TextRefCopy262">#REF!</definedName>
    <definedName name="TextRefCopy263">#REF!</definedName>
    <definedName name="TextRefCopy264">#REF!</definedName>
    <definedName name="TextRefCopy265">#REF!</definedName>
    <definedName name="TextRefCopy266">#REF!</definedName>
    <definedName name="TextRefCopy267">#REF!</definedName>
    <definedName name="TextRefCopy268">#REF!</definedName>
    <definedName name="TextRefCopy269">#REF!</definedName>
    <definedName name="TextRefCopy27">#REF!</definedName>
    <definedName name="TextRefCopy270">#REF!</definedName>
    <definedName name="TextRefCopy271">#REF!</definedName>
    <definedName name="TextRefCopy272">#REF!</definedName>
    <definedName name="TextRefCopy273">#REF!</definedName>
    <definedName name="TextRefCopy274">#REF!</definedName>
    <definedName name="TextRefCopy275">#REF!</definedName>
    <definedName name="TextRefCopy276">#REF!</definedName>
    <definedName name="TextRefCopy277">#REF!</definedName>
    <definedName name="TextRefCopy278">#REF!</definedName>
    <definedName name="TextRefCopy279">#REF!</definedName>
    <definedName name="TextRefCopy28">#REF!</definedName>
    <definedName name="TextRefCopy280">#REF!</definedName>
    <definedName name="TextRefCopy281">#REF!</definedName>
    <definedName name="TextRefCopy282">#REF!</definedName>
    <definedName name="TextRefCopy283">#REF!</definedName>
    <definedName name="TextRefCopy284">#REF!</definedName>
    <definedName name="TextRefCopy285">#REF!</definedName>
    <definedName name="TextRefCopy286">#REF!</definedName>
    <definedName name="TextRefCopy287">#REF!</definedName>
    <definedName name="TextRefCopy288">#REF!</definedName>
    <definedName name="TextRefCopy289">#REF!</definedName>
    <definedName name="TextRefCopy29">#REF!</definedName>
    <definedName name="TextRefCopy290">#REF!</definedName>
    <definedName name="TextRefCopy291">#REF!</definedName>
    <definedName name="TextRefCopy292">#REF!</definedName>
    <definedName name="TextRefCopy293">#REF!</definedName>
    <definedName name="TextRefCopy294">#REF!</definedName>
    <definedName name="TextRefCopy295">#REF!</definedName>
    <definedName name="TextRefCopy296">#REF!</definedName>
    <definedName name="TextRefCopy297">#REF!</definedName>
    <definedName name="TextRefCopy298">#REF!</definedName>
    <definedName name="TextRefCopy299">#REF!</definedName>
    <definedName name="TextRefCopy3">#REF!</definedName>
    <definedName name="TextRefCopy30">#REF!</definedName>
    <definedName name="TextRefCopy300">#REF!</definedName>
    <definedName name="TextRefCopy301">#REF!</definedName>
    <definedName name="TextRefCopy302">#REF!</definedName>
    <definedName name="TextRefCopy303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303</definedName>
    <definedName name="tfiscal0">#REF!</definedName>
    <definedName name="tfiscal1">#REF!</definedName>
    <definedName name="tfiscal2">#REF!</definedName>
    <definedName name="tfiscal3">#REF!</definedName>
    <definedName name="thidate">#REF!</definedName>
    <definedName name="thighest1">#REF!</definedName>
    <definedName name="thighest2">#REF!</definedName>
    <definedName name="thighest3">#REF!</definedName>
    <definedName name="thighgr">#REF!</definedName>
    <definedName name="thiprice">#REF!</definedName>
    <definedName name="TickerCell">#REF!</definedName>
    <definedName name="Tigr_Exhibit24648114_f433_4e3e_b123_a5eb8eeb42a5" hidden="1">#REF!</definedName>
    <definedName name="tlowdate">#REF!</definedName>
    <definedName name="tlowest1">#REF!</definedName>
    <definedName name="tlowest2">#REF!</definedName>
    <definedName name="tlowest3">#REF!</definedName>
    <definedName name="tlowgr">#REF!</definedName>
    <definedName name="tlowprice">#REF!</definedName>
    <definedName name="tmean1">#REF!</definedName>
    <definedName name="tmean2">#REF!</definedName>
    <definedName name="tmean3">#REF!</definedName>
    <definedName name="tmeangr">#REF!</definedName>
    <definedName name="tmed1">#REF!</definedName>
    <definedName name="tmed2">#REF!</definedName>
    <definedName name="tmed3">#REF!</definedName>
    <definedName name="tmedgr">#REF!</definedName>
    <definedName name="tnumest1">#REF!</definedName>
    <definedName name="tnumest2">#REF!</definedName>
    <definedName name="tnumest3">#REF!</definedName>
    <definedName name="tnumgr">#REF!</definedName>
    <definedName name="totdebt">#REF!</definedName>
    <definedName name="tprice">#REF!</definedName>
    <definedName name="TREAS_STK">#REF!</definedName>
    <definedName name="Treasury_Stock">#REF!</definedName>
    <definedName name="uactdate">#REF!</definedName>
    <definedName name="uactualeps">#REF!</definedName>
    <definedName name="ucurrentdate">#REF!</definedName>
    <definedName name="uestdate">#REF!</definedName>
    <definedName name="ufiscal0">#REF!</definedName>
    <definedName name="ufiscal1">#REF!</definedName>
    <definedName name="ufiscal2">#REF!</definedName>
    <definedName name="ufiscal3">#REF!</definedName>
    <definedName name="uhidate">#REF!</definedName>
    <definedName name="uhighest1">#REF!</definedName>
    <definedName name="uhighest2">#REF!</definedName>
    <definedName name="uhighest3">#REF!</definedName>
    <definedName name="uhighgr">#REF!</definedName>
    <definedName name="uhiprice">#REF!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lowdate">#REF!</definedName>
    <definedName name="ulowest1">#REF!</definedName>
    <definedName name="ulowest2">#REF!</definedName>
    <definedName name="ulowest3">#REF!</definedName>
    <definedName name="ulowgr">#REF!</definedName>
    <definedName name="ulowprice">#REF!</definedName>
    <definedName name="umean1">#REF!</definedName>
    <definedName name="umean2">#REF!</definedName>
    <definedName name="umean3">#REF!</definedName>
    <definedName name="umeangr">#REF!</definedName>
    <definedName name="umed1">#REF!</definedName>
    <definedName name="umed2">#REF!</definedName>
    <definedName name="umed3">#REF!</definedName>
    <definedName name="umedgr">#REF!</definedName>
    <definedName name="UniqueID">#REF!</definedName>
    <definedName name="UnitsLabel">#REF!</definedName>
    <definedName name="Unrealized_investment_gain_loss">#REF!</definedName>
    <definedName name="unumest1">#REF!</definedName>
    <definedName name="unumest2">#REF!</definedName>
    <definedName name="unumest3">#REF!</definedName>
    <definedName name="unumgr">#REF!</definedName>
    <definedName name="upper_left1">#REF!</definedName>
    <definedName name="upper_left2">#REF!</definedName>
    <definedName name="uprice">#REF!</definedName>
    <definedName name="uriacqdis00">#REF!</definedName>
    <definedName name="uriacqdis01">#REF!</definedName>
    <definedName name="uriacqdis02">#REF!</definedName>
    <definedName name="uriacqdis03">#REF!</definedName>
    <definedName name="uriacqdis04">#REF!</definedName>
    <definedName name="uriacqdis88">#REF!</definedName>
    <definedName name="uriacqdis89">#REF!</definedName>
    <definedName name="uriacqdis90">#REF!</definedName>
    <definedName name="uriacqdis91">#REF!</definedName>
    <definedName name="uriacqdis92">#REF!</definedName>
    <definedName name="uriacqdis93">#REF!</definedName>
    <definedName name="uriacqdis94">#REF!</definedName>
    <definedName name="uriacqdis95">#REF!</definedName>
    <definedName name="uriacqdis96">#REF!</definedName>
    <definedName name="uriacqdis97">#REF!</definedName>
    <definedName name="uriacqdis98">#REF!</definedName>
    <definedName name="uriacqdis99">#REF!</definedName>
    <definedName name="uriacqdisp00">#REF!</definedName>
    <definedName name="uriacqdisp01">#REF!</definedName>
    <definedName name="uriacqdisp02">#REF!</definedName>
    <definedName name="uriacqdisp03">#REF!</definedName>
    <definedName name="uriacqdisp04">#REF!</definedName>
    <definedName name="uriacqdisp88">#REF!</definedName>
    <definedName name="uriacqdisp89">#REF!</definedName>
    <definedName name="uriacqdisp90">#REF!</definedName>
    <definedName name="uriacqdisp91">#REF!</definedName>
    <definedName name="uriacqdisp92">#REF!</definedName>
    <definedName name="uriacqdisp93">#REF!</definedName>
    <definedName name="uriacqdisp94">#REF!</definedName>
    <definedName name="uriacqdisp95">#REF!</definedName>
    <definedName name="uriacqdisp96">#REF!</definedName>
    <definedName name="uriacqdisp97">#REF!</definedName>
    <definedName name="uriacqdisp98">#REF!</definedName>
    <definedName name="uriacqdisp99">#REF!</definedName>
    <definedName name="uriaero00">#REF!</definedName>
    <definedName name="uriaero01">#REF!</definedName>
    <definedName name="uriaero02">#REF!</definedName>
    <definedName name="uriaero03">#REF!</definedName>
    <definedName name="uriaero04">#REF!</definedName>
    <definedName name="uriaero88">#REF!</definedName>
    <definedName name="uriaero89">#REF!</definedName>
    <definedName name="uriaero90">#REF!</definedName>
    <definedName name="uriaero91">#REF!</definedName>
    <definedName name="uriaero92">#REF!</definedName>
    <definedName name="uriaero93">#REF!</definedName>
    <definedName name="uriaero94">#REF!</definedName>
    <definedName name="uriaero95">#REF!</definedName>
    <definedName name="uriaero96">#REF!</definedName>
    <definedName name="uriaero97">#REF!</definedName>
    <definedName name="uriaero98">#REF!</definedName>
    <definedName name="uriaero99">#REF!</definedName>
    <definedName name="uriafter00">#REF!</definedName>
    <definedName name="uriafter01">#REF!</definedName>
    <definedName name="uriafter99">#REF!</definedName>
    <definedName name="uriam0">#REF!</definedName>
    <definedName name="uriam00">#REF!</definedName>
    <definedName name="uriam01">#REF!</definedName>
    <definedName name="uriam02">#REF!</definedName>
    <definedName name="uriam03">#REF!</definedName>
    <definedName name="uriam04">#REF!</definedName>
    <definedName name="uriam100">#REF!</definedName>
    <definedName name="uriam101">#REF!</definedName>
    <definedName name="uriam102">#REF!</definedName>
    <definedName name="uriam103">#REF!</definedName>
    <definedName name="uriam104">#REF!</definedName>
    <definedName name="uriam188">#REF!</definedName>
    <definedName name="uriam189">#REF!</definedName>
    <definedName name="uriam190">#REF!</definedName>
    <definedName name="uriam191">#REF!</definedName>
    <definedName name="uriam192">#REF!</definedName>
    <definedName name="uriam193">#REF!</definedName>
    <definedName name="uriam194">#REF!</definedName>
    <definedName name="uriam195">#REF!</definedName>
    <definedName name="uriam196">#REF!</definedName>
    <definedName name="uriam197">#REF!</definedName>
    <definedName name="uriam201">#REF!</definedName>
    <definedName name="uriam202">#REF!</definedName>
    <definedName name="uriam203">#REF!</definedName>
    <definedName name="uriam204">#REF!</definedName>
    <definedName name="uriam288">#REF!</definedName>
    <definedName name="uriam289">#REF!</definedName>
    <definedName name="uriam290">#REF!</definedName>
    <definedName name="uriam291">#REF!</definedName>
    <definedName name="uriam292">#REF!</definedName>
    <definedName name="uriam293">#REF!</definedName>
    <definedName name="uriam294">#REF!</definedName>
    <definedName name="uriam295">#REF!</definedName>
    <definedName name="uriam296">#REF!</definedName>
    <definedName name="uriam297">#REF!</definedName>
    <definedName name="uriam298">#REF!</definedName>
    <definedName name="uriam299">#REF!</definedName>
    <definedName name="uriam8">#REF!</definedName>
    <definedName name="uriam88">#REF!</definedName>
    <definedName name="uriam89">#REF!</definedName>
    <definedName name="uriam9">#REF!</definedName>
    <definedName name="uriam90">#REF!</definedName>
    <definedName name="uriam91">#REF!</definedName>
    <definedName name="uriam92">#REF!</definedName>
    <definedName name="uriam93">#REF!</definedName>
    <definedName name="uriam94">#REF!</definedName>
    <definedName name="uriam95">#REF!</definedName>
    <definedName name="uriam96">#REF!</definedName>
    <definedName name="uriam97">#REF!</definedName>
    <definedName name="uriam98">#REF!</definedName>
    <definedName name="uriam99">#REF!</definedName>
    <definedName name="uriasia00">#REF!</definedName>
    <definedName name="uriasia01">#REF!</definedName>
    <definedName name="uriasia02">#REF!</definedName>
    <definedName name="uriasia03">#REF!</definedName>
    <definedName name="uriasia04">#REF!</definedName>
    <definedName name="uriasia88">#REF!</definedName>
    <definedName name="uriasia89">#REF!</definedName>
    <definedName name="uriasia90">#REF!</definedName>
    <definedName name="uriasia91">#REF!</definedName>
    <definedName name="uriasia92">#REF!</definedName>
    <definedName name="uriasia93">#REF!</definedName>
    <definedName name="uriasia94">#REF!</definedName>
    <definedName name="uriasia95">#REF!</definedName>
    <definedName name="uriasia96">#REF!</definedName>
    <definedName name="uriasia97">#REF!</definedName>
    <definedName name="uriasia98">#REF!</definedName>
    <definedName name="uriasia99">#REF!</definedName>
    <definedName name="uriassca00">#REF!</definedName>
    <definedName name="uriassca01">#REF!</definedName>
    <definedName name="uriassca02">#REF!</definedName>
    <definedName name="uriassca03">#REF!</definedName>
    <definedName name="uriassca04">#REF!</definedName>
    <definedName name="uriassca88">#REF!</definedName>
    <definedName name="uriassca89">#REF!</definedName>
    <definedName name="uriassca90">#REF!</definedName>
    <definedName name="uriassca91">#REF!</definedName>
    <definedName name="uriassca92">#REF!</definedName>
    <definedName name="uriassca93">#REF!</definedName>
    <definedName name="uriassca94">#REF!</definedName>
    <definedName name="uriassca95">#REF!</definedName>
    <definedName name="uriassca96">#REF!</definedName>
    <definedName name="uriassca97">#REF!</definedName>
    <definedName name="uriassca98">#REF!</definedName>
    <definedName name="uriassca99">#REF!</definedName>
    <definedName name="uriassetdisp00">#REF!</definedName>
    <definedName name="uriassetdisp01">#REF!</definedName>
    <definedName name="uriassetdisp02">#REF!</definedName>
    <definedName name="uriassetdisp03">#REF!</definedName>
    <definedName name="uriassetdisp04">#REF!</definedName>
    <definedName name="uriassetdisp88">#REF!</definedName>
    <definedName name="uriassetdisp89">#REF!</definedName>
    <definedName name="uriassetdisp90">#REF!</definedName>
    <definedName name="uriassetdisp91">#REF!</definedName>
    <definedName name="uriassetdisp92">#REF!</definedName>
    <definedName name="uriassetdisp93">#REF!</definedName>
    <definedName name="uriassetdisp94">#REF!</definedName>
    <definedName name="uriassetdisp95">#REF!</definedName>
    <definedName name="uriassetdisp96">#REF!</definedName>
    <definedName name="uriassetdisp97">#REF!</definedName>
    <definedName name="uriassetdisp98">#REF!</definedName>
    <definedName name="uriassetdisp99">#REF!</definedName>
    <definedName name="uriassocsales00">#REF!</definedName>
    <definedName name="uriassocsales01">#REF!</definedName>
    <definedName name="uriassocsales02">#REF!</definedName>
    <definedName name="uriassocsales03">#REF!</definedName>
    <definedName name="uriassocsales04">#REF!</definedName>
    <definedName name="uriassocsales88">#REF!</definedName>
    <definedName name="uriassocsales89">#REF!</definedName>
    <definedName name="uriassocsales90">#REF!</definedName>
    <definedName name="uriassocsales91">#REF!</definedName>
    <definedName name="uriassocsales92">#REF!</definedName>
    <definedName name="uriassocsales93">#REF!</definedName>
    <definedName name="uriassocsales94">#REF!</definedName>
    <definedName name="uriassocsales95">#REF!</definedName>
    <definedName name="uriassocsales96">#REF!</definedName>
    <definedName name="uriassocsales97">#REF!</definedName>
    <definedName name="uriassocsales98">#REF!</definedName>
    <definedName name="uriassocsales99">#REF!</definedName>
    <definedName name="uriauto00">#REF!</definedName>
    <definedName name="uriauto01">#REF!</definedName>
    <definedName name="uriauto02">#REF!</definedName>
    <definedName name="uriauto03">#REF!</definedName>
    <definedName name="uriauto04">#REF!</definedName>
    <definedName name="uriauto88">#REF!</definedName>
    <definedName name="uriauto89">#REF!</definedName>
    <definedName name="uriauto90">#REF!</definedName>
    <definedName name="uriauto91">#REF!</definedName>
    <definedName name="uriauto92">#REF!</definedName>
    <definedName name="uriauto93">#REF!</definedName>
    <definedName name="uriauto94">#REF!</definedName>
    <definedName name="uriauto95">#REF!</definedName>
    <definedName name="uriauto96">#REF!</definedName>
    <definedName name="uriauto97">#REF!</definedName>
    <definedName name="uriauto98">#REF!</definedName>
    <definedName name="uriauto99">#REF!</definedName>
    <definedName name="uriavshares00">#REF!</definedName>
    <definedName name="uriavshares01">#REF!</definedName>
    <definedName name="uriavshares02">#REF!</definedName>
    <definedName name="uriavshares03">#REF!</definedName>
    <definedName name="uriavshares04">#REF!</definedName>
    <definedName name="uriavshares88">#REF!</definedName>
    <definedName name="uriavshares89">#REF!</definedName>
    <definedName name="uriavshares90">#REF!</definedName>
    <definedName name="uriavshares91">#REF!</definedName>
    <definedName name="uriavshares92">#REF!</definedName>
    <definedName name="uriavshares93">#REF!</definedName>
    <definedName name="uriavshares94">#REF!</definedName>
    <definedName name="uriavshares95">#REF!</definedName>
    <definedName name="uriavshares96">#REF!</definedName>
    <definedName name="uriavshares97">#REF!</definedName>
    <definedName name="uriavshares98">#REF!</definedName>
    <definedName name="uriavshares99">#REF!</definedName>
    <definedName name="uribsgwill00">#REF!</definedName>
    <definedName name="uribsgwill01">#REF!</definedName>
    <definedName name="uribsgwill02">#REF!</definedName>
    <definedName name="uribsgwill03">#REF!</definedName>
    <definedName name="uribsgwill04">#REF!</definedName>
    <definedName name="uribsgwill88">#REF!</definedName>
    <definedName name="uribsgwill89">#REF!</definedName>
    <definedName name="uribsgwill90">#REF!</definedName>
    <definedName name="uribsgwill91">#REF!</definedName>
    <definedName name="uribsgwill92">#REF!</definedName>
    <definedName name="uribsgwill93">#REF!</definedName>
    <definedName name="uribsgwill94">#REF!</definedName>
    <definedName name="uribsgwill95">#REF!</definedName>
    <definedName name="uribsgwill96">#REF!</definedName>
    <definedName name="uribsgwill97">#REF!</definedName>
    <definedName name="uribsgwill98">#REF!</definedName>
    <definedName name="uribsgwill99">#REF!</definedName>
    <definedName name="urica00">#REF!</definedName>
    <definedName name="urica01">#REF!</definedName>
    <definedName name="urica02">#REF!</definedName>
    <definedName name="urica03">#REF!</definedName>
    <definedName name="urica04">#REF!</definedName>
    <definedName name="urica88">#REF!</definedName>
    <definedName name="urica89">#REF!</definedName>
    <definedName name="urica90">#REF!</definedName>
    <definedName name="urica91">#REF!</definedName>
    <definedName name="urica92">#REF!</definedName>
    <definedName name="urica93">#REF!</definedName>
    <definedName name="urica94">#REF!</definedName>
    <definedName name="urica95">#REF!</definedName>
    <definedName name="urica96">#REF!</definedName>
    <definedName name="urica97">#REF!</definedName>
    <definedName name="urica98">#REF!</definedName>
    <definedName name="urica99">#REF!</definedName>
    <definedName name="uricapex00">#REF!</definedName>
    <definedName name="uricapex01">#REF!</definedName>
    <definedName name="uricapex02">#REF!</definedName>
    <definedName name="uricapex03">#REF!</definedName>
    <definedName name="uricapex04">#REF!</definedName>
    <definedName name="uricapex88">#REF!</definedName>
    <definedName name="uricapex89">#REF!</definedName>
    <definedName name="uricapex90">#REF!</definedName>
    <definedName name="uricapex91">#REF!</definedName>
    <definedName name="uricapex92">#REF!</definedName>
    <definedName name="uricapex93">#REF!</definedName>
    <definedName name="uricapex94">#REF!</definedName>
    <definedName name="uricapex95">#REF!</definedName>
    <definedName name="uricapex96">#REF!</definedName>
    <definedName name="uricapex97">#REF!</definedName>
    <definedName name="uricapex98">#REF!</definedName>
    <definedName name="uricapex99">#REF!</definedName>
    <definedName name="uriCapexdep00">#REF!</definedName>
    <definedName name="uriCapexdep01">#REF!</definedName>
    <definedName name="uriCapexdep02">#REF!</definedName>
    <definedName name="uriCapexdep03">#REF!</definedName>
    <definedName name="uriCapexdep04">#REF!</definedName>
    <definedName name="uriCapexdep99">#REF!</definedName>
    <definedName name="uriCapexsales00">#REF!</definedName>
    <definedName name="uriCapexsales01">#REF!</definedName>
    <definedName name="uriCapexsales02">#REF!</definedName>
    <definedName name="uriCapexsales03">#REF!</definedName>
    <definedName name="uriCapexsales04">#REF!</definedName>
    <definedName name="uriCapexsales99">#REF!</definedName>
    <definedName name="uricash00">#REF!</definedName>
    <definedName name="uricash01">#REF!</definedName>
    <definedName name="uricash02">#REF!</definedName>
    <definedName name="uricash03">#REF!</definedName>
    <definedName name="uricash04">#REF!</definedName>
    <definedName name="uricash88">#REF!</definedName>
    <definedName name="uricash89">#REF!</definedName>
    <definedName name="uricash90">#REF!</definedName>
    <definedName name="uricash91">#REF!</definedName>
    <definedName name="uricash92">#REF!</definedName>
    <definedName name="uricash93">#REF!</definedName>
    <definedName name="uricash94">#REF!</definedName>
    <definedName name="uricash95">#REF!</definedName>
    <definedName name="uricash96">#REF!</definedName>
    <definedName name="uricash97">#REF!</definedName>
    <definedName name="uricash98">#REF!</definedName>
    <definedName name="uricash99">#REF!</definedName>
    <definedName name="uricashdiv00">#REF!</definedName>
    <definedName name="uricashdiv01">#REF!</definedName>
    <definedName name="uricashdiv02">#REF!</definedName>
    <definedName name="uricashdiv03">#REF!</definedName>
    <definedName name="uricashdiv04">#REF!</definedName>
    <definedName name="uricashdiv88">#REF!</definedName>
    <definedName name="uricashdiv89">#REF!</definedName>
    <definedName name="uricashdiv90">#REF!</definedName>
    <definedName name="uricashdiv91">#REF!</definedName>
    <definedName name="uricashdiv92">#REF!</definedName>
    <definedName name="uricashdiv93">#REF!</definedName>
    <definedName name="uricashdiv94">#REF!</definedName>
    <definedName name="uricashdiv95">#REF!</definedName>
    <definedName name="uricashdiv96">#REF!</definedName>
    <definedName name="uricashdiv97">#REF!</definedName>
    <definedName name="uricashdiv98">#REF!</definedName>
    <definedName name="uricashdiv99">#REF!</definedName>
    <definedName name="uricashint00">#REF!</definedName>
    <definedName name="uricashint01">#REF!</definedName>
    <definedName name="uricashint02">#REF!</definedName>
    <definedName name="uricashint03">#REF!</definedName>
    <definedName name="uricashint04">#REF!</definedName>
    <definedName name="uricashint88">#REF!</definedName>
    <definedName name="uricashint89">#REF!</definedName>
    <definedName name="uricashint90">#REF!</definedName>
    <definedName name="uricashint91">#REF!</definedName>
    <definedName name="uricashint92">#REF!</definedName>
    <definedName name="uricashint93">#REF!</definedName>
    <definedName name="uricashint94">#REF!</definedName>
    <definedName name="uricashint95">#REF!</definedName>
    <definedName name="uricashint96">#REF!</definedName>
    <definedName name="uricashint97">#REF!</definedName>
    <definedName name="uricashint98">#REF!</definedName>
    <definedName name="uricashint99">#REF!</definedName>
    <definedName name="uricashother00">#REF!</definedName>
    <definedName name="uricashother01">#REF!</definedName>
    <definedName name="uricashother02">#REF!</definedName>
    <definedName name="uricashother03">#REF!</definedName>
    <definedName name="uricashother04">#REF!</definedName>
    <definedName name="uricashother88">#REF!</definedName>
    <definedName name="uricashother89">#REF!</definedName>
    <definedName name="uricashother90">#REF!</definedName>
    <definedName name="uricashother91">#REF!</definedName>
    <definedName name="uricashother92">#REF!</definedName>
    <definedName name="uricashother93">#REF!</definedName>
    <definedName name="uricashother94">#REF!</definedName>
    <definedName name="uricashother95">#REF!</definedName>
    <definedName name="uricashother96">#REF!</definedName>
    <definedName name="uricashother97">#REF!</definedName>
    <definedName name="uricashother98">#REF!</definedName>
    <definedName name="uricashother99">#REF!</definedName>
    <definedName name="uricashothfin00">#REF!</definedName>
    <definedName name="uricashothfin01">#REF!</definedName>
    <definedName name="uricashothfin02">#REF!</definedName>
    <definedName name="uricashothfin03">#REF!</definedName>
    <definedName name="uricashothfin04">#REF!</definedName>
    <definedName name="uricashothfin88">#REF!</definedName>
    <definedName name="uricashothfin89">#REF!</definedName>
    <definedName name="uricashothfin90">#REF!</definedName>
    <definedName name="uricashothfin91">#REF!</definedName>
    <definedName name="uricashothfin92">#REF!</definedName>
    <definedName name="uricashothfin93">#REF!</definedName>
    <definedName name="uricashothfin94">#REF!</definedName>
    <definedName name="uricashothfin95">#REF!</definedName>
    <definedName name="uricashothfin96">#REF!</definedName>
    <definedName name="uricashothfin97">#REF!</definedName>
    <definedName name="uricashothfin98">#REF!</definedName>
    <definedName name="uricashothfin99">#REF!</definedName>
    <definedName name="uricashtax00">#REF!</definedName>
    <definedName name="uricashtax01">#REF!</definedName>
    <definedName name="uricashtax02">#REF!</definedName>
    <definedName name="uricashtax03">#REF!</definedName>
    <definedName name="uricashtax04">#REF!</definedName>
    <definedName name="uricashtax88">#REF!</definedName>
    <definedName name="uricashtax89">#REF!</definedName>
    <definedName name="uricashtax90">#REF!</definedName>
    <definedName name="uricashtax91">#REF!</definedName>
    <definedName name="uricashtax92">#REF!</definedName>
    <definedName name="uricashtax93">#REF!</definedName>
    <definedName name="uricashtax94">#REF!</definedName>
    <definedName name="uricashtax95">#REF!</definedName>
    <definedName name="uricashtax96">#REF!</definedName>
    <definedName name="uricashtax97">#REF!</definedName>
    <definedName name="uricashtax98">#REF!</definedName>
    <definedName name="uricashtax99">#REF!</definedName>
    <definedName name="urice00">#REF!</definedName>
    <definedName name="urice01">#REF!</definedName>
    <definedName name="urice02">#REF!</definedName>
    <definedName name="urice03">#REF!</definedName>
    <definedName name="urice04">#REF!</definedName>
    <definedName name="urice05">#REF!</definedName>
    <definedName name="urice88">#REF!</definedName>
    <definedName name="urice89">#REF!</definedName>
    <definedName name="urice90">#REF!</definedName>
    <definedName name="urice91">#REF!</definedName>
    <definedName name="urice92">#REF!</definedName>
    <definedName name="urice93">#REF!</definedName>
    <definedName name="urice94">#REF!</definedName>
    <definedName name="urice95">#REF!</definedName>
    <definedName name="urice96">#REF!</definedName>
    <definedName name="urice97">#REF!</definedName>
    <definedName name="urice98">#REF!</definedName>
    <definedName name="urice99">#REF!</definedName>
    <definedName name="uridefence00">#REF!</definedName>
    <definedName name="uridefence01">#REF!</definedName>
    <definedName name="uridefence02">#REF!</definedName>
    <definedName name="uridefence03">#REF!</definedName>
    <definedName name="uridefence04">#REF!</definedName>
    <definedName name="uridefence88">#REF!</definedName>
    <definedName name="uridefence89">#REF!</definedName>
    <definedName name="uridefence90">#REF!</definedName>
    <definedName name="uridefence91">#REF!</definedName>
    <definedName name="uridefence92">#REF!</definedName>
    <definedName name="uridefence93">#REF!</definedName>
    <definedName name="uridefence94">#REF!</definedName>
    <definedName name="uridefence95">#REF!</definedName>
    <definedName name="uridefence96">#REF!</definedName>
    <definedName name="uridefence97">#REF!</definedName>
    <definedName name="uridefence98">#REF!</definedName>
    <definedName name="uridefence99">#REF!</definedName>
    <definedName name="urideftax00">#REF!</definedName>
    <definedName name="urideftax01">#REF!</definedName>
    <definedName name="urideftax02">#REF!</definedName>
    <definedName name="urideftax03">#REF!</definedName>
    <definedName name="urideftax04">#REF!</definedName>
    <definedName name="urideftax88">#REF!</definedName>
    <definedName name="urideftax89">#REF!</definedName>
    <definedName name="urideftax90">#REF!</definedName>
    <definedName name="urideftax91">#REF!</definedName>
    <definedName name="urideftax92">#REF!</definedName>
    <definedName name="urideftax93">#REF!</definedName>
    <definedName name="urideftax94">#REF!</definedName>
    <definedName name="urideftax95">#REF!</definedName>
    <definedName name="urideftax96">#REF!</definedName>
    <definedName name="urideftax97">#REF!</definedName>
    <definedName name="urideftax98">#REF!</definedName>
    <definedName name="urideftax99">#REF!</definedName>
    <definedName name="uridepn00">#REF!</definedName>
    <definedName name="uridepn01">#REF!</definedName>
    <definedName name="uridepn02">#REF!</definedName>
    <definedName name="uridepn03">#REF!</definedName>
    <definedName name="uridepn04">#REF!</definedName>
    <definedName name="uridepn88">#REF!</definedName>
    <definedName name="uridepn89">#REF!</definedName>
    <definedName name="uridepn90">#REF!</definedName>
    <definedName name="uridepn91">#REF!</definedName>
    <definedName name="uridepn92">#REF!</definedName>
    <definedName name="uridepn93">#REF!</definedName>
    <definedName name="uridepn94">#REF!</definedName>
    <definedName name="uridepn95">#REF!</definedName>
    <definedName name="uridepn96">#REF!</definedName>
    <definedName name="uridepn97">#REF!</definedName>
    <definedName name="uridepn98">#REF!</definedName>
    <definedName name="uridepn99">#REF!</definedName>
    <definedName name="uridist00">#REF!</definedName>
    <definedName name="uridist01">#REF!</definedName>
    <definedName name="uridist99">#REF!</definedName>
    <definedName name="uridiv00">#REF!</definedName>
    <definedName name="uridiv01">#REF!</definedName>
    <definedName name="uridiv02">#REF!</definedName>
    <definedName name="uridiv03">#REF!</definedName>
    <definedName name="uridiv04">#REF!</definedName>
    <definedName name="uridiv88">#REF!</definedName>
    <definedName name="uridiv89">#REF!</definedName>
    <definedName name="uridiv90">#REF!</definedName>
    <definedName name="uridiv91">#REF!</definedName>
    <definedName name="uridiv92">#REF!</definedName>
    <definedName name="uridiv93">#REF!</definedName>
    <definedName name="uridiv94">#REF!</definedName>
    <definedName name="uridiv95">#REF!</definedName>
    <definedName name="uridiv96">#REF!</definedName>
    <definedName name="uridiv97">#REF!</definedName>
    <definedName name="uridiv98">#REF!</definedName>
    <definedName name="uridiv99">#REF!</definedName>
    <definedName name="uridivpft0">#REF!</definedName>
    <definedName name="uridivpft100">#REF!</definedName>
    <definedName name="uridivpft101">#REF!</definedName>
    <definedName name="uridivpft102">#REF!</definedName>
    <definedName name="uridivpft103">#REF!</definedName>
    <definedName name="uridivpft104">#REF!</definedName>
    <definedName name="uridivpft188">#REF!</definedName>
    <definedName name="uridivpft189">#REF!</definedName>
    <definedName name="uridivpft190">#REF!</definedName>
    <definedName name="uridivpft191">#REF!</definedName>
    <definedName name="uridivpft192">#REF!</definedName>
    <definedName name="uridivpft193">#REF!</definedName>
    <definedName name="uridivpft194">#REF!</definedName>
    <definedName name="uridivpft195">#REF!</definedName>
    <definedName name="uridivpft196">#REF!</definedName>
    <definedName name="uridivpft197">#REF!</definedName>
    <definedName name="uridivpft201">#REF!</definedName>
    <definedName name="uridivpft202">#REF!</definedName>
    <definedName name="uridivpft203">#REF!</definedName>
    <definedName name="uridivpft204">#REF!</definedName>
    <definedName name="uridivpft288">#REF!</definedName>
    <definedName name="uridivpft289">#REF!</definedName>
    <definedName name="uridivpft290">#REF!</definedName>
    <definedName name="uridivpft291">#REF!</definedName>
    <definedName name="uridivpft292">#REF!</definedName>
    <definedName name="uridivpft293">#REF!</definedName>
    <definedName name="uridivpft294">#REF!</definedName>
    <definedName name="uridivpft295">#REF!</definedName>
    <definedName name="uridivpft296">#REF!</definedName>
    <definedName name="uridivpft297">#REF!</definedName>
    <definedName name="uridivpft298">#REF!</definedName>
    <definedName name="uridivpft299">#REF!</definedName>
    <definedName name="uridivpft300">#REF!</definedName>
    <definedName name="uridivpft301">#REF!</definedName>
    <definedName name="uridivpft302">#REF!</definedName>
    <definedName name="uridivpft303">#REF!</definedName>
    <definedName name="uridivpft304">#REF!</definedName>
    <definedName name="uridivpft388">#REF!</definedName>
    <definedName name="uridivpft389">#REF!</definedName>
    <definedName name="uridivpft390">#REF!</definedName>
    <definedName name="uridivpft391">#REF!</definedName>
    <definedName name="uridivpft392">#REF!</definedName>
    <definedName name="uridivpft393">#REF!</definedName>
    <definedName name="uridivpft394">#REF!</definedName>
    <definedName name="uridivpft395">#REF!</definedName>
    <definedName name="uridivpft396">#REF!</definedName>
    <definedName name="uridivpft397">#REF!</definedName>
    <definedName name="uridivpft398">#REF!</definedName>
    <definedName name="uridivpft399">#REF!</definedName>
    <definedName name="uridivpft400">#REF!</definedName>
    <definedName name="uridivpft401">#REF!</definedName>
    <definedName name="uridivpft402">#REF!</definedName>
    <definedName name="uridivpft403">#REF!</definedName>
    <definedName name="uridivpft404">#REF!</definedName>
    <definedName name="uridivpft488">#REF!</definedName>
    <definedName name="uridivpft489">#REF!</definedName>
    <definedName name="uridivpft490">#REF!</definedName>
    <definedName name="uridivpft491">#REF!</definedName>
    <definedName name="uridivpft492">#REF!</definedName>
    <definedName name="uridivpft493">#REF!</definedName>
    <definedName name="uridivpft494">#REF!</definedName>
    <definedName name="uridivpft495">#REF!</definedName>
    <definedName name="uridivpft496">#REF!</definedName>
    <definedName name="uridivpft497">#REF!</definedName>
    <definedName name="uridivpft498">#REF!</definedName>
    <definedName name="uridivpft499">#REF!</definedName>
    <definedName name="uridivpft500">#REF!</definedName>
    <definedName name="uridivpft501">#REF!</definedName>
    <definedName name="uridivpft502">#REF!</definedName>
    <definedName name="uridivpft503">#REF!</definedName>
    <definedName name="uridivpft504">#REF!</definedName>
    <definedName name="uridivpft588">#REF!</definedName>
    <definedName name="uridivpft589">#REF!</definedName>
    <definedName name="uridivpft590">#REF!</definedName>
    <definedName name="uridivpft591">#REF!</definedName>
    <definedName name="uridivpft592">#REF!</definedName>
    <definedName name="uridivpft593">#REF!</definedName>
    <definedName name="uridivpft594">#REF!</definedName>
    <definedName name="uridivpft595">#REF!</definedName>
    <definedName name="uridivpft596">#REF!</definedName>
    <definedName name="uridivpft597">#REF!</definedName>
    <definedName name="uridivpft598">#REF!</definedName>
    <definedName name="uridivpft599">#REF!</definedName>
    <definedName name="uridivpft600">#REF!</definedName>
    <definedName name="uridivpft601">#REF!</definedName>
    <definedName name="uridivpft602">#REF!</definedName>
    <definedName name="uridivpft603">#REF!</definedName>
    <definedName name="uridivpft604">#REF!</definedName>
    <definedName name="uridivpft688">#REF!</definedName>
    <definedName name="uridivpft689">#REF!</definedName>
    <definedName name="uridivpft690">#REF!</definedName>
    <definedName name="uridivpft691">#REF!</definedName>
    <definedName name="uridivpft692">#REF!</definedName>
    <definedName name="uridivpft693">#REF!</definedName>
    <definedName name="uridivpft694">#REF!</definedName>
    <definedName name="uridivpft695">#REF!</definedName>
    <definedName name="uridivpft696">#REF!</definedName>
    <definedName name="uridivpft697">#REF!</definedName>
    <definedName name="uridivpft698">#REF!</definedName>
    <definedName name="uridivpft699">#REF!</definedName>
    <definedName name="uridivpft700">#REF!</definedName>
    <definedName name="uridivpft701">#REF!</definedName>
    <definedName name="uridivpft702">#REF!</definedName>
    <definedName name="uridivpft703">#REF!</definedName>
    <definedName name="uridivpft704">#REF!</definedName>
    <definedName name="uridivpft788">#REF!</definedName>
    <definedName name="uridivpft789">#REF!</definedName>
    <definedName name="uridivpft790">#REF!</definedName>
    <definedName name="uridivpft791">#REF!</definedName>
    <definedName name="uridivpft792">#REF!</definedName>
    <definedName name="uridivpft793">#REF!</definedName>
    <definedName name="uridivpft794">#REF!</definedName>
    <definedName name="uridivpft795">#REF!</definedName>
    <definedName name="uridivpft796">#REF!</definedName>
    <definedName name="uridivpft797">#REF!</definedName>
    <definedName name="uridivpft798">#REF!</definedName>
    <definedName name="uridivpft799">#REF!</definedName>
    <definedName name="uridivpft8">#REF!</definedName>
    <definedName name="uridivpft9">#REF!</definedName>
    <definedName name="uridivpfta00">#REF!</definedName>
    <definedName name="uridivpfta01">#REF!</definedName>
    <definedName name="uridivpfta02">#REF!</definedName>
    <definedName name="uridivpfta03">#REF!</definedName>
    <definedName name="uridivpfta04">#REF!</definedName>
    <definedName name="uridivpfta88">#REF!</definedName>
    <definedName name="uridivpfta89">#REF!</definedName>
    <definedName name="uridivpfta90">#REF!</definedName>
    <definedName name="uridivpfta91">#REF!</definedName>
    <definedName name="uridivpfta92">#REF!</definedName>
    <definedName name="uridivpfta93">#REF!</definedName>
    <definedName name="uridivpfta94">#REF!</definedName>
    <definedName name="uridivpfta95">#REF!</definedName>
    <definedName name="uridivpfta96">#REF!</definedName>
    <definedName name="uridivpfta97">#REF!</definedName>
    <definedName name="uridivpfta98">#REF!</definedName>
    <definedName name="uridivpfta99">#REF!</definedName>
    <definedName name="uridivpftb00">#REF!</definedName>
    <definedName name="uridivpftb01">#REF!</definedName>
    <definedName name="uridivpftb02">#REF!</definedName>
    <definedName name="uridivpftb03">#REF!</definedName>
    <definedName name="uridivpftb04">#REF!</definedName>
    <definedName name="uridivpftb88">#REF!</definedName>
    <definedName name="uridivpftb89">#REF!</definedName>
    <definedName name="uridivpftb90">#REF!</definedName>
    <definedName name="uridivpftb91">#REF!</definedName>
    <definedName name="uridivpftb92">#REF!</definedName>
    <definedName name="uridivpftb93">#REF!</definedName>
    <definedName name="uridivpftb94">#REF!</definedName>
    <definedName name="uridivpftb95">#REF!</definedName>
    <definedName name="uridivpftb96">#REF!</definedName>
    <definedName name="uridivpftb97">#REF!</definedName>
    <definedName name="uridivpftb98">#REF!</definedName>
    <definedName name="uridivpftb99">#REF!</definedName>
    <definedName name="uridivsales0">#REF!</definedName>
    <definedName name="uridivsales100">#REF!</definedName>
    <definedName name="uridivsales101">#REF!</definedName>
    <definedName name="uridivsales102">#REF!</definedName>
    <definedName name="uridivsales103">#REF!</definedName>
    <definedName name="uridivsales104">#REF!</definedName>
    <definedName name="uridivsales188">#REF!</definedName>
    <definedName name="uridivsales189">#REF!</definedName>
    <definedName name="uridivsales190">#REF!</definedName>
    <definedName name="uridivsales191">#REF!</definedName>
    <definedName name="uridivsales192">#REF!</definedName>
    <definedName name="uridivsales193">#REF!</definedName>
    <definedName name="uridivsales194">#REF!</definedName>
    <definedName name="uridivsales195">#REF!</definedName>
    <definedName name="uridivsales196">#REF!</definedName>
    <definedName name="uridivsales197">#REF!</definedName>
    <definedName name="uridivsales201">#REF!</definedName>
    <definedName name="uridivsales202">#REF!</definedName>
    <definedName name="uridivsales203">#REF!</definedName>
    <definedName name="uridivsales204">#REF!</definedName>
    <definedName name="uridivsales288">#REF!</definedName>
    <definedName name="uridivsales289">#REF!</definedName>
    <definedName name="uridivsales290">#REF!</definedName>
    <definedName name="uridivsales291">#REF!</definedName>
    <definedName name="uridivsales292">#REF!</definedName>
    <definedName name="uridivsales293">#REF!</definedName>
    <definedName name="uridivsales294">#REF!</definedName>
    <definedName name="uridivsales295">#REF!</definedName>
    <definedName name="uridivsales296">#REF!</definedName>
    <definedName name="uridivsales297">#REF!</definedName>
    <definedName name="uridivsales298">#REF!</definedName>
    <definedName name="uridivsales299">#REF!</definedName>
    <definedName name="uridivsales300">#REF!</definedName>
    <definedName name="uridivsales301">#REF!</definedName>
    <definedName name="uridivsales302">#REF!</definedName>
    <definedName name="uridivsales303">#REF!</definedName>
    <definedName name="uridivsales304">#REF!</definedName>
    <definedName name="uridivsales388">#REF!</definedName>
    <definedName name="uridivsales389">#REF!</definedName>
    <definedName name="uridivsales390">#REF!</definedName>
    <definedName name="uridivsales391">#REF!</definedName>
    <definedName name="uridivsales392">#REF!</definedName>
    <definedName name="uridivsales393">#REF!</definedName>
    <definedName name="uridivsales394">#REF!</definedName>
    <definedName name="uridivsales395">#REF!</definedName>
    <definedName name="uridivsales396">#REF!</definedName>
    <definedName name="uridivsales397">#REF!</definedName>
    <definedName name="uridivsales398">#REF!</definedName>
    <definedName name="uridivsales399">#REF!</definedName>
    <definedName name="uridivsales400">#REF!</definedName>
    <definedName name="uridivsales401">#REF!</definedName>
    <definedName name="uridivsales402">#REF!</definedName>
    <definedName name="uridivsales403">#REF!</definedName>
    <definedName name="uridivsales404">#REF!</definedName>
    <definedName name="uridivsales488">#REF!</definedName>
    <definedName name="uridivsales489">#REF!</definedName>
    <definedName name="uridivsales490">#REF!</definedName>
    <definedName name="uridivsales491">#REF!</definedName>
    <definedName name="uridivsales492">#REF!</definedName>
    <definedName name="uridivsales493">#REF!</definedName>
    <definedName name="uridivsales494">#REF!</definedName>
    <definedName name="uridivsales495">#REF!</definedName>
    <definedName name="uridivsales496">#REF!</definedName>
    <definedName name="uridivsales497">#REF!</definedName>
    <definedName name="uridivsales498">#REF!</definedName>
    <definedName name="uridivsales499">#REF!</definedName>
    <definedName name="uridivsales500">#REF!</definedName>
    <definedName name="uridivsales501">#REF!</definedName>
    <definedName name="uridivsales502">#REF!</definedName>
    <definedName name="uridivsales503">#REF!</definedName>
    <definedName name="uridivsales504">#REF!</definedName>
    <definedName name="uridivsales588">#REF!</definedName>
    <definedName name="uridivsales589">#REF!</definedName>
    <definedName name="uridivsales590">#REF!</definedName>
    <definedName name="uridivsales591">#REF!</definedName>
    <definedName name="uridivsales592">#REF!</definedName>
    <definedName name="uridivsales593">#REF!</definedName>
    <definedName name="uridivsales594">#REF!</definedName>
    <definedName name="uridivsales595">#REF!</definedName>
    <definedName name="uridivsales596">#REF!</definedName>
    <definedName name="uridivsales597">#REF!</definedName>
    <definedName name="uridivsales598">#REF!</definedName>
    <definedName name="uridivsales599">#REF!</definedName>
    <definedName name="uridivsales600">#REF!</definedName>
    <definedName name="uridivsales601">#REF!</definedName>
    <definedName name="uridivsales602">#REF!</definedName>
    <definedName name="uridivsales603">#REF!</definedName>
    <definedName name="uridivsales604">#REF!</definedName>
    <definedName name="uridivsales688">#REF!</definedName>
    <definedName name="uridivsales689">#REF!</definedName>
    <definedName name="uridivsales690">#REF!</definedName>
    <definedName name="uridivsales691">#REF!</definedName>
    <definedName name="uridivsales692">#REF!</definedName>
    <definedName name="uridivsales693">#REF!</definedName>
    <definedName name="uridivsales694">#REF!</definedName>
    <definedName name="uridivsales695">#REF!</definedName>
    <definedName name="uridivsales696">#REF!</definedName>
    <definedName name="uridivsales697">#REF!</definedName>
    <definedName name="uridivsales698">#REF!</definedName>
    <definedName name="uridivsales699">#REF!</definedName>
    <definedName name="uridivsales700">#REF!</definedName>
    <definedName name="uridivsales701">#REF!</definedName>
    <definedName name="uridivsales702">#REF!</definedName>
    <definedName name="uridivsales703">#REF!</definedName>
    <definedName name="uridivsales704">#REF!</definedName>
    <definedName name="uridivsales788">#REF!</definedName>
    <definedName name="uridivsales789">#REF!</definedName>
    <definedName name="uridivsales790">#REF!</definedName>
    <definedName name="uridivsales791">#REF!</definedName>
    <definedName name="uridivsales792">#REF!</definedName>
    <definedName name="uridivsales793">#REF!</definedName>
    <definedName name="uridivsales794">#REF!</definedName>
    <definedName name="uridivsales795">#REF!</definedName>
    <definedName name="uridivsales796">#REF!</definedName>
    <definedName name="uridivsales797">#REF!</definedName>
    <definedName name="uridivsales798">#REF!</definedName>
    <definedName name="uridivsales799">#REF!</definedName>
    <definedName name="uridivsales8">#REF!</definedName>
    <definedName name="uridivsales9">#REF!</definedName>
    <definedName name="uridivsalesa00">#REF!</definedName>
    <definedName name="uridivsalesa01">#REF!</definedName>
    <definedName name="uridivsalesa02">#REF!</definedName>
    <definedName name="uridivsalesa03">#REF!</definedName>
    <definedName name="uridivsalesa04">#REF!</definedName>
    <definedName name="uridivsalesa88">#REF!</definedName>
    <definedName name="uridivsalesa89">#REF!</definedName>
    <definedName name="uridivsalesa90">#REF!</definedName>
    <definedName name="uridivsalesa91">#REF!</definedName>
    <definedName name="uridivsalesa92">#REF!</definedName>
    <definedName name="uridivsalesa93">#REF!</definedName>
    <definedName name="uridivsalesa94">#REF!</definedName>
    <definedName name="uridivsalesa95">#REF!</definedName>
    <definedName name="uridivsalesa96">#REF!</definedName>
    <definedName name="uridivsalesa97">#REF!</definedName>
    <definedName name="uridivsalesa98">#REF!</definedName>
    <definedName name="uridivsalesa99">#REF!</definedName>
    <definedName name="uridivsalesb00">#REF!</definedName>
    <definedName name="uridivsalesb001">#REF!</definedName>
    <definedName name="uridivsalesb01">#REF!</definedName>
    <definedName name="uridivsalesb02">#REF!</definedName>
    <definedName name="uridivsalesb03">#REF!</definedName>
    <definedName name="uridivsalesb04">#REF!</definedName>
    <definedName name="uridivsalesb88">#REF!</definedName>
    <definedName name="uridivsalesb89">#REF!</definedName>
    <definedName name="uridivsalesb90">#REF!</definedName>
    <definedName name="uridivsalesb91">#REF!</definedName>
    <definedName name="uridivsalesb92">#REF!</definedName>
    <definedName name="uridivsalesb93">#REF!</definedName>
    <definedName name="uridivsalesb94">#REF!</definedName>
    <definedName name="uridivsalesb95">#REF!</definedName>
    <definedName name="uridivsalesb96">#REF!</definedName>
    <definedName name="uridivsalesb97">#REF!</definedName>
    <definedName name="uridivsalesb98">#REF!</definedName>
    <definedName name="uridivsalesb99">#REF!</definedName>
    <definedName name="uridom00">#REF!</definedName>
    <definedName name="uridom01">#REF!</definedName>
    <definedName name="uridom02">#REF!</definedName>
    <definedName name="uridom03">#REF!</definedName>
    <definedName name="uridom04">#REF!</definedName>
    <definedName name="uridom88">#REF!</definedName>
    <definedName name="uridom89">#REF!</definedName>
    <definedName name="uridom90">#REF!</definedName>
    <definedName name="uridom91">#REF!</definedName>
    <definedName name="uridom92">#REF!</definedName>
    <definedName name="uridom93">#REF!</definedName>
    <definedName name="uridom94">#REF!</definedName>
    <definedName name="uridom95">#REF!</definedName>
    <definedName name="uridom96">#REF!</definedName>
    <definedName name="uridom97">#REF!</definedName>
    <definedName name="uridom98">#REF!</definedName>
    <definedName name="uridom99">#REF!</definedName>
    <definedName name="uridps00">#REF!</definedName>
    <definedName name="uridps01">#REF!</definedName>
    <definedName name="uridps02">#REF!</definedName>
    <definedName name="uridps03">#REF!</definedName>
    <definedName name="uridps04">#REF!</definedName>
    <definedName name="uridps88">#REF!</definedName>
    <definedName name="uridps89">#REF!</definedName>
    <definedName name="uridps90">#REF!</definedName>
    <definedName name="uridps91">#REF!</definedName>
    <definedName name="uridps92">#REF!</definedName>
    <definedName name="uridps93">#REF!</definedName>
    <definedName name="uridps94">#REF!</definedName>
    <definedName name="uridps95">#REF!</definedName>
    <definedName name="uridps96">#REF!</definedName>
    <definedName name="uridps97">#REF!</definedName>
    <definedName name="uridps98">#REF!</definedName>
    <definedName name="uridps99">#REF!</definedName>
    <definedName name="uridtce00">#REF!</definedName>
    <definedName name="uridtce01">#REF!</definedName>
    <definedName name="uridtce02">#REF!</definedName>
    <definedName name="uridtce03">#REF!</definedName>
    <definedName name="uridtce04">#REF!</definedName>
    <definedName name="uridtce88">#REF!</definedName>
    <definedName name="uridtce89">#REF!</definedName>
    <definedName name="uridtce90">#REF!</definedName>
    <definedName name="uridtce91">#REF!</definedName>
    <definedName name="uridtce92">#REF!</definedName>
    <definedName name="uridtce93">#REF!</definedName>
    <definedName name="uridtce94">#REF!</definedName>
    <definedName name="uridtce95">#REF!</definedName>
    <definedName name="uridtce96">#REF!</definedName>
    <definedName name="uridtce97">#REF!</definedName>
    <definedName name="uridtce98">#REF!</definedName>
    <definedName name="uridtce99">#REF!</definedName>
    <definedName name="uriebit00">#REF!</definedName>
    <definedName name="uriebit01">#REF!</definedName>
    <definedName name="uriebit02">#REF!</definedName>
    <definedName name="uriebit03">#REF!</definedName>
    <definedName name="uriebit04">#REF!</definedName>
    <definedName name="uriebit88">#REF!</definedName>
    <definedName name="uriebit89">#REF!</definedName>
    <definedName name="uriebit90">#REF!</definedName>
    <definedName name="uriebit91">#REF!</definedName>
    <definedName name="uriebit92">#REF!</definedName>
    <definedName name="uriebit93">#REF!</definedName>
    <definedName name="uriebit94">#REF!</definedName>
    <definedName name="uriebit95">#REF!</definedName>
    <definedName name="uriebit96">#REF!</definedName>
    <definedName name="uriebit97">#REF!</definedName>
    <definedName name="uriebit98">#REF!</definedName>
    <definedName name="uriebit99">#REF!</definedName>
    <definedName name="uriemployee00">#REF!</definedName>
    <definedName name="uriemployee01">#REF!</definedName>
    <definedName name="uriemployee02">#REF!</definedName>
    <definedName name="uriemployee03">#REF!</definedName>
    <definedName name="uriemployee04">#REF!</definedName>
    <definedName name="uriemployee88">#REF!</definedName>
    <definedName name="uriemployee89">#REF!</definedName>
    <definedName name="uriemployee90">#REF!</definedName>
    <definedName name="uriemployee91">#REF!</definedName>
    <definedName name="uriemployee92">#REF!</definedName>
    <definedName name="uriemployee93">#REF!</definedName>
    <definedName name="uriemployee94">#REF!</definedName>
    <definedName name="uriemployee95">#REF!</definedName>
    <definedName name="uriemployee96">#REF!</definedName>
    <definedName name="uriemployee97">#REF!</definedName>
    <definedName name="uriemployee98">#REF!</definedName>
    <definedName name="uriemployee99">#REF!</definedName>
    <definedName name="urieps00">#REF!</definedName>
    <definedName name="urieps01">#REF!</definedName>
    <definedName name="urieps02">#REF!</definedName>
    <definedName name="urieps03">#REF!</definedName>
    <definedName name="urieps04">#REF!</definedName>
    <definedName name="urieps88">#REF!</definedName>
    <definedName name="urieps89">#REF!</definedName>
    <definedName name="urieps90">#REF!</definedName>
    <definedName name="urieps91">#REF!</definedName>
    <definedName name="urieps92">#REF!</definedName>
    <definedName name="urieps93">#REF!</definedName>
    <definedName name="urieps94">#REF!</definedName>
    <definedName name="urieps95">#REF!</definedName>
    <definedName name="urieps96">#REF!</definedName>
    <definedName name="urieps97">#REF!</definedName>
    <definedName name="urieps98">#REF!</definedName>
    <definedName name="urieps99">#REF!</definedName>
    <definedName name="uriequity00">#REF!</definedName>
    <definedName name="uriequity01">#REF!</definedName>
    <definedName name="uriequity02">#REF!</definedName>
    <definedName name="uriequity03">#REF!</definedName>
    <definedName name="uriequity04">#REF!</definedName>
    <definedName name="uriequity88">#REF!</definedName>
    <definedName name="uriequity89">#REF!</definedName>
    <definedName name="uriequity90">#REF!</definedName>
    <definedName name="uriequity91">#REF!</definedName>
    <definedName name="uriequity92">#REF!</definedName>
    <definedName name="uriequity93">#REF!</definedName>
    <definedName name="uriequity94">#REF!</definedName>
    <definedName name="uriequity95">#REF!</definedName>
    <definedName name="uriequity96">#REF!</definedName>
    <definedName name="uriequity97">#REF!</definedName>
    <definedName name="uriequity98">#REF!</definedName>
    <definedName name="uriequity99">#REF!</definedName>
    <definedName name="urieur00">#REF!</definedName>
    <definedName name="urieur01">#REF!</definedName>
    <definedName name="urieur02">#REF!</definedName>
    <definedName name="urieur03">#REF!</definedName>
    <definedName name="urieur04">#REF!</definedName>
    <definedName name="urieur88">#REF!</definedName>
    <definedName name="urieur89">#REF!</definedName>
    <definedName name="urieur90">#REF!</definedName>
    <definedName name="urieur91">#REF!</definedName>
    <definedName name="urieur92">#REF!</definedName>
    <definedName name="urieur93">#REF!</definedName>
    <definedName name="urieur94">#REF!</definedName>
    <definedName name="urieur95">#REF!</definedName>
    <definedName name="urieur96">#REF!</definedName>
    <definedName name="urieur97">#REF!</definedName>
    <definedName name="urieur98">#REF!</definedName>
    <definedName name="urieur99">#REF!</definedName>
    <definedName name="uriev00">#REF!</definedName>
    <definedName name="uriev01">#REF!</definedName>
    <definedName name="uriev02">#REF!</definedName>
    <definedName name="uriev03">#REF!</definedName>
    <definedName name="uriev04">#REF!</definedName>
    <definedName name="uriev88">#REF!</definedName>
    <definedName name="uriev89">#REF!</definedName>
    <definedName name="uriev90">#REF!</definedName>
    <definedName name="uriev91">#REF!</definedName>
    <definedName name="uriev92">#REF!</definedName>
    <definedName name="uriev93">#REF!</definedName>
    <definedName name="uriev94">#REF!</definedName>
    <definedName name="uriev95">#REF!</definedName>
    <definedName name="uriev96">#REF!</definedName>
    <definedName name="uriev97">#REF!</definedName>
    <definedName name="uriev98">#REF!</definedName>
    <definedName name="uriev99">#REF!</definedName>
    <definedName name="urievce00">#REF!</definedName>
    <definedName name="urievce01">#REF!</definedName>
    <definedName name="urievce02">#REF!</definedName>
    <definedName name="urievce03">#REF!</definedName>
    <definedName name="urievce04">#REF!</definedName>
    <definedName name="urievce99">#REF!</definedName>
    <definedName name="urievebitda00">#REF!</definedName>
    <definedName name="urievebitda01">#REF!</definedName>
    <definedName name="urievebitda02">#REF!</definedName>
    <definedName name="urievebitda03">#REF!</definedName>
    <definedName name="urievebitda04">#REF!</definedName>
    <definedName name="urievebitda99">#REF!</definedName>
    <definedName name="urievor00">#REF!</definedName>
    <definedName name="urievor01">#REF!</definedName>
    <definedName name="urievor02">#REF!</definedName>
    <definedName name="urievor03">#REF!</definedName>
    <definedName name="urievor04">#REF!</definedName>
    <definedName name="urievor99">#REF!</definedName>
    <definedName name="urievsales00">#REF!</definedName>
    <definedName name="urievsales01">#REF!</definedName>
    <definedName name="urievsales02">#REF!</definedName>
    <definedName name="urievsales03">#REF!</definedName>
    <definedName name="urievsales04">#REF!</definedName>
    <definedName name="urievsales99">#REF!</definedName>
    <definedName name="uriexcep00">#REF!</definedName>
    <definedName name="uriexcep01">#REF!</definedName>
    <definedName name="uriexcep02">#REF!</definedName>
    <definedName name="uriexcep03">#REF!</definedName>
    <definedName name="uriexcep04">#REF!</definedName>
    <definedName name="uriexcep100">#REF!</definedName>
    <definedName name="uriexcep101">#REF!</definedName>
    <definedName name="uriexcep102">#REF!</definedName>
    <definedName name="uriexcep103">#REF!</definedName>
    <definedName name="uriexcep104">#REF!</definedName>
    <definedName name="uriexcep188">#REF!</definedName>
    <definedName name="uriexcep189">#REF!</definedName>
    <definedName name="uriexcep190">#REF!</definedName>
    <definedName name="uriexcep191">#REF!</definedName>
    <definedName name="uriexcep192">#REF!</definedName>
    <definedName name="uriexcep193">#REF!</definedName>
    <definedName name="uriexcep194">#REF!</definedName>
    <definedName name="uriexcep195">#REF!</definedName>
    <definedName name="uriexcep196">#REF!</definedName>
    <definedName name="uriexcep197">#REF!</definedName>
    <definedName name="uriexcep8">#REF!</definedName>
    <definedName name="uriexcep88">#REF!</definedName>
    <definedName name="uriexcep89">#REF!</definedName>
    <definedName name="uriexcep9">#REF!</definedName>
    <definedName name="uriexcep90">#REF!</definedName>
    <definedName name="uriexcep91">#REF!</definedName>
    <definedName name="uriexcep92">#REF!</definedName>
    <definedName name="uriexcep93">#REF!</definedName>
    <definedName name="uriexcep94">#REF!</definedName>
    <definedName name="uriexcep95">#REF!</definedName>
    <definedName name="uriexcep96">#REF!</definedName>
    <definedName name="uriexcep97">#REF!</definedName>
    <definedName name="uriexcep98">#REF!</definedName>
    <definedName name="uriexcep99">#REF!</definedName>
    <definedName name="urifa00">#REF!</definedName>
    <definedName name="urifa01">#REF!</definedName>
    <definedName name="urifa02">#REF!</definedName>
    <definedName name="urifa03">#REF!</definedName>
    <definedName name="urifa04">#REF!</definedName>
    <definedName name="urifa88">#REF!</definedName>
    <definedName name="urifa89">#REF!</definedName>
    <definedName name="urifa90">#REF!</definedName>
    <definedName name="urifa91">#REF!</definedName>
    <definedName name="urifa92">#REF!</definedName>
    <definedName name="urifa93">#REF!</definedName>
    <definedName name="urifa94">#REF!</definedName>
    <definedName name="urifa95">#REF!</definedName>
    <definedName name="urifa96">#REF!</definedName>
    <definedName name="urifa97">#REF!</definedName>
    <definedName name="urifa98">#REF!</definedName>
    <definedName name="urifa99">#REF!</definedName>
    <definedName name="uriFcFsales00">#REF!</definedName>
    <definedName name="uriFcFsales01">#REF!</definedName>
    <definedName name="uriFcFsales02">#REF!</definedName>
    <definedName name="uriFcFsales03">#REF!</definedName>
    <definedName name="uriFcFsales04">#REF!</definedName>
    <definedName name="uriFcFsales99">#REF!</definedName>
    <definedName name="urigdebt00">#REF!</definedName>
    <definedName name="urigdebt01">#REF!</definedName>
    <definedName name="urigdebt02">#REF!</definedName>
    <definedName name="urigdebt03">#REF!</definedName>
    <definedName name="urigdebt04">#REF!</definedName>
    <definedName name="urigdebt88">#REF!</definedName>
    <definedName name="urigdebt89">#REF!</definedName>
    <definedName name="urigdebt90">#REF!</definedName>
    <definedName name="urigdebt91">#REF!</definedName>
    <definedName name="urigdebt92">#REF!</definedName>
    <definedName name="urigdebt93">#REF!</definedName>
    <definedName name="urigdebt94">#REF!</definedName>
    <definedName name="urigdebt95">#REF!</definedName>
    <definedName name="urigdebt96">#REF!</definedName>
    <definedName name="urigdebt97">#REF!</definedName>
    <definedName name="urigdebt98">#REF!</definedName>
    <definedName name="urigdebt99">#REF!</definedName>
    <definedName name="urigenind00">#REF!</definedName>
    <definedName name="urigenind01">#REF!</definedName>
    <definedName name="urigenind02">#REF!</definedName>
    <definedName name="urigenind03">#REF!</definedName>
    <definedName name="urigenind04">#REF!</definedName>
    <definedName name="urigenind88">#REF!</definedName>
    <definedName name="urigenind89">#REF!</definedName>
    <definedName name="urigenind90">#REF!</definedName>
    <definedName name="urigenind91">#REF!</definedName>
    <definedName name="urigenind92">#REF!</definedName>
    <definedName name="urigenind93">#REF!</definedName>
    <definedName name="urigenind94">#REF!</definedName>
    <definedName name="urigenind95">#REF!</definedName>
    <definedName name="urigenind96">#REF!</definedName>
    <definedName name="urigenind97">#REF!</definedName>
    <definedName name="urigenind98">#REF!</definedName>
    <definedName name="urigenind99">#REF!</definedName>
    <definedName name="urigm00">#REF!</definedName>
    <definedName name="urigm01">#REF!</definedName>
    <definedName name="urigm02">#REF!</definedName>
    <definedName name="urigm03">#REF!</definedName>
    <definedName name="urigm04">#REF!</definedName>
    <definedName name="urigm88">#REF!</definedName>
    <definedName name="urigm89">#REF!</definedName>
    <definedName name="urigm90">#REF!</definedName>
    <definedName name="urigm91">#REF!</definedName>
    <definedName name="urigm92">#REF!</definedName>
    <definedName name="urigm93">#REF!</definedName>
    <definedName name="urigm94">#REF!</definedName>
    <definedName name="urigm95">#REF!</definedName>
    <definedName name="urigm96">#REF!</definedName>
    <definedName name="urigm97">#REF!</definedName>
    <definedName name="urigm98">#REF!</definedName>
    <definedName name="urigm99">#REF!</definedName>
    <definedName name="uriHeadPTP00">#REF!</definedName>
    <definedName name="uriHeadPTP01">#REF!</definedName>
    <definedName name="uriHeadPTP02">#REF!</definedName>
    <definedName name="uriHeadPTP03">#REF!</definedName>
    <definedName name="uriHeadPTP04">#REF!</definedName>
    <definedName name="uriHeadPTP99">#REF!</definedName>
    <definedName name="urihpi00">#REF!</definedName>
    <definedName name="urihpi01">#REF!</definedName>
    <definedName name="urihpi02">#REF!</definedName>
    <definedName name="urihpi03">#REF!</definedName>
    <definedName name="urihpi04">#REF!</definedName>
    <definedName name="urihpi88">#REF!</definedName>
    <definedName name="urihpi89">#REF!</definedName>
    <definedName name="urihpi90">#REF!</definedName>
    <definedName name="urihpi91">#REF!</definedName>
    <definedName name="urihpi92">#REF!</definedName>
    <definedName name="urihpi93">#REF!</definedName>
    <definedName name="urihpi94">#REF!</definedName>
    <definedName name="urihpi95">#REF!</definedName>
    <definedName name="urihpi96">#REF!</definedName>
    <definedName name="urihpi97">#REF!</definedName>
    <definedName name="urihpi98">#REF!</definedName>
    <definedName name="urihpi99">#REF!</definedName>
    <definedName name="uriincassoc00">#REF!</definedName>
    <definedName name="uriincassoc01">#REF!</definedName>
    <definedName name="uriincassoc02">#REF!</definedName>
    <definedName name="uriincassoc03">#REF!</definedName>
    <definedName name="uriincassoc04">#REF!</definedName>
    <definedName name="uriincassoc88">#REF!</definedName>
    <definedName name="uriincassoc89">#REF!</definedName>
    <definedName name="uriincassoc90">#REF!</definedName>
    <definedName name="uriincassoc91">#REF!</definedName>
    <definedName name="uriincassoc92">#REF!</definedName>
    <definedName name="uriincassoc93">#REF!</definedName>
    <definedName name="uriincassoc94">#REF!</definedName>
    <definedName name="uriincassoc95">#REF!</definedName>
    <definedName name="uriincassoc96">#REF!</definedName>
    <definedName name="uriincassoc97">#REF!</definedName>
    <definedName name="uriincassoc98">#REF!</definedName>
    <definedName name="uriincassoc99">#REF!</definedName>
    <definedName name="uriintang00">#REF!</definedName>
    <definedName name="uriintang01">#REF!</definedName>
    <definedName name="uriintang02">#REF!</definedName>
    <definedName name="uriintang03">#REF!</definedName>
    <definedName name="uriintang04">#REF!</definedName>
    <definedName name="uriintang88">#REF!</definedName>
    <definedName name="uriintang89">#REF!</definedName>
    <definedName name="uriintang90">#REF!</definedName>
    <definedName name="uriintang91">#REF!</definedName>
    <definedName name="uriintang92">#REF!</definedName>
    <definedName name="uriintang93">#REF!</definedName>
    <definedName name="uriintang94">#REF!</definedName>
    <definedName name="uriintang95">#REF!</definedName>
    <definedName name="uriintang96">#REF!</definedName>
    <definedName name="uriintang97">#REF!</definedName>
    <definedName name="uriintang98">#REF!</definedName>
    <definedName name="uriintang99">#REF!</definedName>
    <definedName name="uriIntcovOR00">#REF!</definedName>
    <definedName name="uriIntcovOR01">#REF!</definedName>
    <definedName name="uriIntcovOR02">#REF!</definedName>
    <definedName name="uriIntcovOR03">#REF!</definedName>
    <definedName name="uriIntcovOR04">#REF!</definedName>
    <definedName name="uriIntcovOR99">#REF!</definedName>
    <definedName name="uriintexp00">#REF!</definedName>
    <definedName name="uriintexp01">#REF!</definedName>
    <definedName name="uriintexp02">#REF!</definedName>
    <definedName name="uriintexp03">#REF!</definedName>
    <definedName name="uriintexp04">#REF!</definedName>
    <definedName name="uriintexp88">#REF!</definedName>
    <definedName name="uriintexp89">#REF!</definedName>
    <definedName name="uriintexp90">#REF!</definedName>
    <definedName name="uriintexp91">#REF!</definedName>
    <definedName name="uriintexp92">#REF!</definedName>
    <definedName name="uriintexp93">#REF!</definedName>
    <definedName name="uriintexp94">#REF!</definedName>
    <definedName name="uriintexp95">#REF!</definedName>
    <definedName name="uriintexp96">#REF!</definedName>
    <definedName name="uriintexp97">#REF!</definedName>
    <definedName name="uriintexp98">#REF!</definedName>
    <definedName name="uriintexp99">#REF!</definedName>
    <definedName name="uriintinc00">#REF!</definedName>
    <definedName name="uriintinc01">#REF!</definedName>
    <definedName name="uriintinc02">#REF!</definedName>
    <definedName name="uriintinc03">#REF!</definedName>
    <definedName name="uriintinc04">#REF!</definedName>
    <definedName name="uriintinc88">#REF!</definedName>
    <definedName name="uriintinc89">#REF!</definedName>
    <definedName name="uriintinc90">#REF!</definedName>
    <definedName name="uriintinc91">#REF!</definedName>
    <definedName name="uriintinc92">#REF!</definedName>
    <definedName name="uriintinc93">#REF!</definedName>
    <definedName name="uriintinc94">#REF!</definedName>
    <definedName name="uriintinc95">#REF!</definedName>
    <definedName name="uriintinc96">#REF!</definedName>
    <definedName name="uriintinc97">#REF!</definedName>
    <definedName name="uriintinc98">#REF!</definedName>
    <definedName name="uriintinc99">#REF!</definedName>
    <definedName name="uriinv00">#REF!</definedName>
    <definedName name="uriinv01">#REF!</definedName>
    <definedName name="uriinv02">#REF!</definedName>
    <definedName name="uriinv03">#REF!</definedName>
    <definedName name="uriinv04">#REF!</definedName>
    <definedName name="uriinv88">#REF!</definedName>
    <definedName name="uriinv89">#REF!</definedName>
    <definedName name="uriinv90">#REF!</definedName>
    <definedName name="uriinv91">#REF!</definedName>
    <definedName name="uriinv92">#REF!</definedName>
    <definedName name="uriinv93">#REF!</definedName>
    <definedName name="uriinv94">#REF!</definedName>
    <definedName name="uriinv95">#REF!</definedName>
    <definedName name="uriinv96">#REF!</definedName>
    <definedName name="uriinv97">#REF!</definedName>
    <definedName name="uriinv98">#REF!</definedName>
    <definedName name="uriinv99">#REF!</definedName>
    <definedName name="uriinvent00">#REF!</definedName>
    <definedName name="uriinvent01">#REF!</definedName>
    <definedName name="uriinvent02">#REF!</definedName>
    <definedName name="uriinvent03">#REF!</definedName>
    <definedName name="uriinvent04">#REF!</definedName>
    <definedName name="uriinvent88">#REF!</definedName>
    <definedName name="uriinvent89">#REF!</definedName>
    <definedName name="uriinvent90">#REF!</definedName>
    <definedName name="uriinvent91">#REF!</definedName>
    <definedName name="uriinvent92">#REF!</definedName>
    <definedName name="uriinvent93">#REF!</definedName>
    <definedName name="uriinvent94">#REF!</definedName>
    <definedName name="uriinvent95">#REF!</definedName>
    <definedName name="uriinvent96">#REF!</definedName>
    <definedName name="uriinvent97">#REF!</definedName>
    <definedName name="uriinvent98">#REF!</definedName>
    <definedName name="uriinvent99">#REF!</definedName>
    <definedName name="uriit00">#REF!</definedName>
    <definedName name="uriit01">#REF!</definedName>
    <definedName name="uriit02">#REF!</definedName>
    <definedName name="uriit03">#REF!</definedName>
    <definedName name="uriit04">#REF!</definedName>
    <definedName name="uriit88">#REF!</definedName>
    <definedName name="uriit89">#REF!</definedName>
    <definedName name="uriit90">#REF!</definedName>
    <definedName name="uriit91">#REF!</definedName>
    <definedName name="uriit92">#REF!</definedName>
    <definedName name="uriit93">#REF!</definedName>
    <definedName name="uriit94">#REF!</definedName>
    <definedName name="uriit95">#REF!</definedName>
    <definedName name="uriit96">#REF!</definedName>
    <definedName name="uriit97">#REF!</definedName>
    <definedName name="uriit98">#REF!</definedName>
    <definedName name="uriit99">#REF!</definedName>
    <definedName name="urilatam00">#REF!</definedName>
    <definedName name="urilatam01">#REF!</definedName>
    <definedName name="urilatam02">#REF!</definedName>
    <definedName name="urilatam03">#REF!</definedName>
    <definedName name="urilatam04">#REF!</definedName>
    <definedName name="urilatam88">#REF!</definedName>
    <definedName name="urilatam89">#REF!</definedName>
    <definedName name="urilatam90">#REF!</definedName>
    <definedName name="urilatam91">#REF!</definedName>
    <definedName name="urilatam92">#REF!</definedName>
    <definedName name="urilatam93">#REF!</definedName>
    <definedName name="urilatam94">#REF!</definedName>
    <definedName name="urilatam95">#REF!</definedName>
    <definedName name="urilatam96">#REF!</definedName>
    <definedName name="urilatam97">#REF!</definedName>
    <definedName name="urilatam98">#REF!</definedName>
    <definedName name="urilatam99">#REF!</definedName>
    <definedName name="urilpi00">#REF!</definedName>
    <definedName name="urilpi01">#REF!</definedName>
    <definedName name="urilpi02">#REF!</definedName>
    <definedName name="urilpi03">#REF!</definedName>
    <definedName name="urilpi04">#REF!</definedName>
    <definedName name="urilpi88">#REF!</definedName>
    <definedName name="urilpi89">#REF!</definedName>
    <definedName name="urilpi90">#REF!</definedName>
    <definedName name="urilpi91">#REF!</definedName>
    <definedName name="urilpi92">#REF!</definedName>
    <definedName name="urilpi93">#REF!</definedName>
    <definedName name="urilpi94">#REF!</definedName>
    <definedName name="urilpi95">#REF!</definedName>
    <definedName name="urilpi96">#REF!</definedName>
    <definedName name="urilpi97">#REF!</definedName>
    <definedName name="urilpi98">#REF!</definedName>
    <definedName name="urilpi99">#REF!</definedName>
    <definedName name="uriltinv00">#REF!</definedName>
    <definedName name="uriltinv01">#REF!</definedName>
    <definedName name="uriltinv02">#REF!</definedName>
    <definedName name="uriltinv03">#REF!</definedName>
    <definedName name="uriltinv04">#REF!</definedName>
    <definedName name="uriltinv88">#REF!</definedName>
    <definedName name="uriltinv89">#REF!</definedName>
    <definedName name="uriltinv90">#REF!</definedName>
    <definedName name="uriltinv91">#REF!</definedName>
    <definedName name="uriltinv92">#REF!</definedName>
    <definedName name="uriltinv93">#REF!</definedName>
    <definedName name="uriltinv94">#REF!</definedName>
    <definedName name="uriltinv95">#REF!</definedName>
    <definedName name="uriltinv96">#REF!</definedName>
    <definedName name="uriltinv97">#REF!</definedName>
    <definedName name="uriltinv98">#REF!</definedName>
    <definedName name="uriltinv99">#REF!</definedName>
    <definedName name="urimcap00">#REF!</definedName>
    <definedName name="urimcap01">#REF!</definedName>
    <definedName name="urimcap02">#REF!</definedName>
    <definedName name="urimcap03">#REF!</definedName>
    <definedName name="urimcap04">#REF!</definedName>
    <definedName name="urimcap88">#REF!</definedName>
    <definedName name="urimcap89">#REF!</definedName>
    <definedName name="urimcap90">#REF!</definedName>
    <definedName name="urimcap91">#REF!</definedName>
    <definedName name="urimcap92">#REF!</definedName>
    <definedName name="urimcap93">#REF!</definedName>
    <definedName name="urimcap94">#REF!</definedName>
    <definedName name="urimcap95">#REF!</definedName>
    <definedName name="urimcap96">#REF!</definedName>
    <definedName name="urimcap97">#REF!</definedName>
    <definedName name="urimcap98">#REF!</definedName>
    <definedName name="urimcap99">#REF!</definedName>
    <definedName name="urimdebt95">#REF!</definedName>
    <definedName name="urimin00">#REF!</definedName>
    <definedName name="urimin01">#REF!</definedName>
    <definedName name="urimin02">#REF!</definedName>
    <definedName name="urimin03">#REF!</definedName>
    <definedName name="urimin04">#REF!</definedName>
    <definedName name="urimin88">#REF!</definedName>
    <definedName name="urimin89">#REF!</definedName>
    <definedName name="urimin90">#REF!</definedName>
    <definedName name="urimin91">#REF!</definedName>
    <definedName name="urimin92">#REF!</definedName>
    <definedName name="urimin93">#REF!</definedName>
    <definedName name="urimin94">#REF!</definedName>
    <definedName name="urimin95">#REF!</definedName>
    <definedName name="urimin96">#REF!</definedName>
    <definedName name="urimin97">#REF!</definedName>
    <definedName name="urimin98">#REF!</definedName>
    <definedName name="urimin99">#REF!</definedName>
    <definedName name="urimining00">#REF!</definedName>
    <definedName name="urimining01">#REF!</definedName>
    <definedName name="urimining02">#REF!</definedName>
    <definedName name="urimining03">#REF!</definedName>
    <definedName name="urimining04">#REF!</definedName>
    <definedName name="urimining88">#REF!</definedName>
    <definedName name="urimining89">#REF!</definedName>
    <definedName name="urimining90">#REF!</definedName>
    <definedName name="urimining91">#REF!</definedName>
    <definedName name="urimining92">#REF!</definedName>
    <definedName name="urimining93">#REF!</definedName>
    <definedName name="urimining94">#REF!</definedName>
    <definedName name="urimining95">#REF!</definedName>
    <definedName name="urimining96">#REF!</definedName>
    <definedName name="urimining97">#REF!</definedName>
    <definedName name="urimining98">#REF!</definedName>
    <definedName name="urimining99">#REF!</definedName>
    <definedName name="uriminint00">#REF!</definedName>
    <definedName name="uriminint01">#REF!</definedName>
    <definedName name="uriminint02">#REF!</definedName>
    <definedName name="uriminint03">#REF!</definedName>
    <definedName name="uriminint04">#REF!</definedName>
    <definedName name="uriminint88">#REF!</definedName>
    <definedName name="uriminint89">#REF!</definedName>
    <definedName name="uriminint90">#REF!</definedName>
    <definedName name="uriminint91">#REF!</definedName>
    <definedName name="uriminint92">#REF!</definedName>
    <definedName name="uriminint93">#REF!</definedName>
    <definedName name="uriminint94">#REF!</definedName>
    <definedName name="uriminint95">#REF!</definedName>
    <definedName name="uriminint96">#REF!</definedName>
    <definedName name="uriminint97">#REF!</definedName>
    <definedName name="uriminint98">#REF!</definedName>
    <definedName name="uriminint99">#REF!</definedName>
    <definedName name="urimprop00">#REF!</definedName>
    <definedName name="urimprop01">#REF!</definedName>
    <definedName name="urimprop02">#REF!</definedName>
    <definedName name="urimprop03">#REF!</definedName>
    <definedName name="urimprop04">#REF!</definedName>
    <definedName name="urimprop88">#REF!</definedName>
    <definedName name="urimprop89">#REF!</definedName>
    <definedName name="urimprop90">#REF!</definedName>
    <definedName name="urimprop91">#REF!</definedName>
    <definedName name="urimprop92">#REF!</definedName>
    <definedName name="urimprop93">#REF!</definedName>
    <definedName name="urimprop94">#REF!</definedName>
    <definedName name="urimprop95">#REF!</definedName>
    <definedName name="urimprop96">#REF!</definedName>
    <definedName name="urimprop97">#REF!</definedName>
    <definedName name="urimprop98">#REF!</definedName>
    <definedName name="urimprop99">#REF!</definedName>
    <definedName name="urimvinv00">#REF!</definedName>
    <definedName name="urimvinv01">#REF!</definedName>
    <definedName name="urimvinv02">#REF!</definedName>
    <definedName name="urimvinv03">#REF!</definedName>
    <definedName name="urimvinv04">#REF!</definedName>
    <definedName name="urimvinv88">#REF!</definedName>
    <definedName name="urimvinv89">#REF!</definedName>
    <definedName name="urimvinv90">#REF!</definedName>
    <definedName name="urimvinv91">#REF!</definedName>
    <definedName name="urimvinv92">#REF!</definedName>
    <definedName name="urimvinv93">#REF!</definedName>
    <definedName name="urimvinv94">#REF!</definedName>
    <definedName name="urimvinv95">#REF!</definedName>
    <definedName name="urimvinv96">#REF!</definedName>
    <definedName name="urimvinv97">#REF!</definedName>
    <definedName name="urimvinv98">#REF!</definedName>
    <definedName name="urimvinv99">#REF!</definedName>
    <definedName name="urina00">#REF!</definedName>
    <definedName name="urina01">#REF!</definedName>
    <definedName name="urina02">#REF!</definedName>
    <definedName name="urina03">#REF!</definedName>
    <definedName name="urina04">#REF!</definedName>
    <definedName name="urina88">#REF!</definedName>
    <definedName name="urina89">#REF!</definedName>
    <definedName name="urina90">#REF!</definedName>
    <definedName name="urina91">#REF!</definedName>
    <definedName name="urina92">#REF!</definedName>
    <definedName name="urina93">#REF!</definedName>
    <definedName name="urina94">#REF!</definedName>
    <definedName name="urina95">#REF!</definedName>
    <definedName name="urina96">#REF!</definedName>
    <definedName name="urina97">#REF!</definedName>
    <definedName name="urina98">#REF!</definedName>
    <definedName name="urina99">#REF!</definedName>
    <definedName name="urinam00">#REF!</definedName>
    <definedName name="urinam01">#REF!</definedName>
    <definedName name="urinam02">#REF!</definedName>
    <definedName name="urinam03">#REF!</definedName>
    <definedName name="urinam04">#REF!</definedName>
    <definedName name="urinam88">#REF!</definedName>
    <definedName name="urinam89">#REF!</definedName>
    <definedName name="urinam90">#REF!</definedName>
    <definedName name="urinam91">#REF!</definedName>
    <definedName name="urinam92">#REF!</definedName>
    <definedName name="urinam93">#REF!</definedName>
    <definedName name="urinam94">#REF!</definedName>
    <definedName name="urinam95">#REF!</definedName>
    <definedName name="urinam96">#REF!</definedName>
    <definedName name="urinam97">#REF!</definedName>
    <definedName name="urinam98">#REF!</definedName>
    <definedName name="urinam99">#REF!</definedName>
    <definedName name="uriNAV00">#REF!</definedName>
    <definedName name="uriNAV01">#REF!</definedName>
    <definedName name="uriNAV02">#REF!</definedName>
    <definedName name="uriNAV03">#REF!</definedName>
    <definedName name="uriNAV04">#REF!</definedName>
    <definedName name="uriNAV99">#REF!</definedName>
    <definedName name="urindebt00">#REF!</definedName>
    <definedName name="urindebt01">#REF!</definedName>
    <definedName name="urindebt02">#REF!</definedName>
    <definedName name="urindebt03">#REF!</definedName>
    <definedName name="urindebt04">#REF!</definedName>
    <definedName name="urindebt88">#REF!</definedName>
    <definedName name="urindebt89">#REF!</definedName>
    <definedName name="urindebt90">#REF!</definedName>
    <definedName name="urindebt91">#REF!</definedName>
    <definedName name="urindebt92">#REF!</definedName>
    <definedName name="urindebt93">#REF!</definedName>
    <definedName name="urindebt94">#REF!</definedName>
    <definedName name="urindebt96">#REF!</definedName>
    <definedName name="urindebt97">#REF!</definedName>
    <definedName name="urindebt98">#REF!</definedName>
    <definedName name="urindebt99">#REF!</definedName>
    <definedName name="uriNdebtSHF00">#REF!</definedName>
    <definedName name="uriNdebtSHF01">#REF!</definedName>
    <definedName name="uriNdebtSHF02">#REF!</definedName>
    <definedName name="uriNdebtSHF03">#REF!</definedName>
    <definedName name="uriNdebtSHF04">#REF!</definedName>
    <definedName name="uriNdebtSHF99">#REF!</definedName>
    <definedName name="urinetdebt00">#REF!</definedName>
    <definedName name="urinetdebt01">#REF!</definedName>
    <definedName name="urinetdebt02">#REF!</definedName>
    <definedName name="urinetdebt03">#REF!</definedName>
    <definedName name="urinetdebt04">#REF!</definedName>
    <definedName name="urinetdebt05">#REF!</definedName>
    <definedName name="urinetdebt99">#REF!</definedName>
    <definedName name="urinres00">#REF!</definedName>
    <definedName name="urinres01">#REF!</definedName>
    <definedName name="urinres02">#REF!</definedName>
    <definedName name="urinres03">#REF!</definedName>
    <definedName name="urinres04">#REF!</definedName>
    <definedName name="urinres88">#REF!</definedName>
    <definedName name="urinres89">#REF!</definedName>
    <definedName name="urinres90">#REF!</definedName>
    <definedName name="urinres91">#REF!</definedName>
    <definedName name="urinres92">#REF!</definedName>
    <definedName name="urinres93">#REF!</definedName>
    <definedName name="urinres94">#REF!</definedName>
    <definedName name="urinres95">#REF!</definedName>
    <definedName name="urinres96">#REF!</definedName>
    <definedName name="urinres97">#REF!</definedName>
    <definedName name="urinres98">#REF!</definedName>
    <definedName name="urinres99">#REF!</definedName>
    <definedName name="urioc00">#REF!</definedName>
    <definedName name="urioc01">#REF!</definedName>
    <definedName name="urioc02">#REF!</definedName>
    <definedName name="urioc03">#REF!</definedName>
    <definedName name="urioc04">#REF!</definedName>
    <definedName name="urioc88">#REF!</definedName>
    <definedName name="urioc89">#REF!</definedName>
    <definedName name="urioc90">#REF!</definedName>
    <definedName name="urioc91">#REF!</definedName>
    <definedName name="urioc92">#REF!</definedName>
    <definedName name="urioc93">#REF!</definedName>
    <definedName name="urioc94">#REF!</definedName>
    <definedName name="urioc95">#REF!</definedName>
    <definedName name="urioc96">#REF!</definedName>
    <definedName name="urioc97">#REF!</definedName>
    <definedName name="urioc98">#REF!</definedName>
    <definedName name="urioc99">#REF!</definedName>
    <definedName name="urioce00">#REF!</definedName>
    <definedName name="urioce01">#REF!</definedName>
    <definedName name="urioce02">#REF!</definedName>
    <definedName name="urioce03">#REF!</definedName>
    <definedName name="urioce04">#REF!</definedName>
    <definedName name="urioce88">#REF!</definedName>
    <definedName name="urioce89">#REF!</definedName>
    <definedName name="urioce90">#REF!</definedName>
    <definedName name="urioce91">#REF!</definedName>
    <definedName name="urioce92">#REF!</definedName>
    <definedName name="urioce93">#REF!</definedName>
    <definedName name="urioce94">#REF!</definedName>
    <definedName name="urioce95">#REF!</definedName>
    <definedName name="urioce96">#REF!</definedName>
    <definedName name="urioce97">#REF!</definedName>
    <definedName name="urioce98">#REF!</definedName>
    <definedName name="urioce99">#REF!</definedName>
    <definedName name="uriocust00">#REF!</definedName>
    <definedName name="uriocust01">#REF!</definedName>
    <definedName name="uriocust02">#REF!</definedName>
    <definedName name="uriocust03">#REF!</definedName>
    <definedName name="uriocust04">#REF!</definedName>
    <definedName name="uriocust88">#REF!</definedName>
    <definedName name="uriocust89">#REF!</definedName>
    <definedName name="uriocust90">#REF!</definedName>
    <definedName name="uriocust91">#REF!</definedName>
    <definedName name="uriocust92">#REF!</definedName>
    <definedName name="uriocust93">#REF!</definedName>
    <definedName name="uriocust94">#REF!</definedName>
    <definedName name="uriocust95">#REF!</definedName>
    <definedName name="uriocust96">#REF!</definedName>
    <definedName name="uriocust97">#REF!</definedName>
    <definedName name="uriocust98">#REF!</definedName>
    <definedName name="uriocust99">#REF!</definedName>
    <definedName name="uriod00">#REF!</definedName>
    <definedName name="uriod01">#REF!</definedName>
    <definedName name="uriod02">#REF!</definedName>
    <definedName name="uriod03">#REF!</definedName>
    <definedName name="uriod04">#REF!</definedName>
    <definedName name="uriod88">#REF!</definedName>
    <definedName name="uriod89">#REF!</definedName>
    <definedName name="uriod90">#REF!</definedName>
    <definedName name="uriod91">#REF!</definedName>
    <definedName name="uriod92">#REF!</definedName>
    <definedName name="uriod93">#REF!</definedName>
    <definedName name="uriod94">#REF!</definedName>
    <definedName name="uriod95">#REF!</definedName>
    <definedName name="uriod96">#REF!</definedName>
    <definedName name="uriod97">#REF!</definedName>
    <definedName name="uriod98">#REF!</definedName>
    <definedName name="uriod99">#REF!</definedName>
    <definedName name="urioe00">#REF!</definedName>
    <definedName name="urioe01">#REF!</definedName>
    <definedName name="urioe99">#REF!</definedName>
    <definedName name="urioec00">#REF!</definedName>
    <definedName name="urioec01">#REF!</definedName>
    <definedName name="urioec99">#REF!</definedName>
    <definedName name="urioil00">#REF!</definedName>
    <definedName name="urioil01">#REF!</definedName>
    <definedName name="urioil02">#REF!</definedName>
    <definedName name="urioil03">#REF!</definedName>
    <definedName name="urioil04">#REF!</definedName>
    <definedName name="urioil88">#REF!</definedName>
    <definedName name="urioil89">#REF!</definedName>
    <definedName name="urioil90">#REF!</definedName>
    <definedName name="urioil91">#REF!</definedName>
    <definedName name="urioil92">#REF!</definedName>
    <definedName name="urioil93">#REF!</definedName>
    <definedName name="urioil94">#REF!</definedName>
    <definedName name="urioil95">#REF!</definedName>
    <definedName name="urioil96">#REF!</definedName>
    <definedName name="urioil97">#REF!</definedName>
    <definedName name="urioil98">#REF!</definedName>
    <definedName name="urioil99">#REF!</definedName>
    <definedName name="uriopexcep00">#REF!</definedName>
    <definedName name="uriopexcep01">#REF!</definedName>
    <definedName name="uriopexcep02">#REF!</definedName>
    <definedName name="uriopexcep03">#REF!</definedName>
    <definedName name="uriopexcep04">#REF!</definedName>
    <definedName name="uriopexcep88">#REF!</definedName>
    <definedName name="uriopexcep89">#REF!</definedName>
    <definedName name="uriopexcep90">#REF!</definedName>
    <definedName name="uriopexcep91">#REF!</definedName>
    <definedName name="uriopexcep92">#REF!</definedName>
    <definedName name="uriopexcep93">#REF!</definedName>
    <definedName name="uriopexcep94">#REF!</definedName>
    <definedName name="uriopexcep95">#REF!</definedName>
    <definedName name="uriopexcep96">#REF!</definedName>
    <definedName name="uriopexcep97">#REF!</definedName>
    <definedName name="uriopexcep98">#REF!</definedName>
    <definedName name="uriopexcep99">#REF!</definedName>
    <definedName name="uriopm00">#REF!</definedName>
    <definedName name="uriopm01">#REF!</definedName>
    <definedName name="uriopm02">#REF!</definedName>
    <definedName name="uriopm03">#REF!</definedName>
    <definedName name="uriopm04">#REF!</definedName>
    <definedName name="uriopm88">#REF!</definedName>
    <definedName name="uriopm89">#REF!</definedName>
    <definedName name="uriopm90">#REF!</definedName>
    <definedName name="uriopm91">#REF!</definedName>
    <definedName name="uriopm92">#REF!</definedName>
    <definedName name="uriopm93">#REF!</definedName>
    <definedName name="uriopm94">#REF!</definedName>
    <definedName name="uriopm95">#REF!</definedName>
    <definedName name="uriopm96">#REF!</definedName>
    <definedName name="uriopm97">#REF!</definedName>
    <definedName name="uriopm98">#REF!</definedName>
    <definedName name="uriopm99">#REF!</definedName>
    <definedName name="urior00">#REF!</definedName>
    <definedName name="urior01">#REF!</definedName>
    <definedName name="urior02">#REF!</definedName>
    <definedName name="urior03">#REF!</definedName>
    <definedName name="urior04">#REF!</definedName>
    <definedName name="urior88">#REF!</definedName>
    <definedName name="urior89">#REF!</definedName>
    <definedName name="urior90">#REF!</definedName>
    <definedName name="urior91">#REF!</definedName>
    <definedName name="urior92">#REF!</definedName>
    <definedName name="urior93">#REF!</definedName>
    <definedName name="urior94">#REF!</definedName>
    <definedName name="urior95">#REF!</definedName>
    <definedName name="urior96">#REF!</definedName>
    <definedName name="urior97">#REF!</definedName>
    <definedName name="urior98">#REF!</definedName>
    <definedName name="urior99">#REF!</definedName>
    <definedName name="uriotherfin00">#REF!</definedName>
    <definedName name="uriotherfin01">#REF!</definedName>
    <definedName name="uriotherfin02">#REF!</definedName>
    <definedName name="uriotherfin03">#REF!</definedName>
    <definedName name="uriotherfin04">#REF!</definedName>
    <definedName name="uriotherfin88">#REF!</definedName>
    <definedName name="uriotherfin89">#REF!</definedName>
    <definedName name="uriotherfin90">#REF!</definedName>
    <definedName name="uriotherfin91">#REF!</definedName>
    <definedName name="uriotherfin92">#REF!</definedName>
    <definedName name="uriotherfin93">#REF!</definedName>
    <definedName name="uriotherfin94">#REF!</definedName>
    <definedName name="uriotherfin95">#REF!</definedName>
    <definedName name="uriotherfin96">#REF!</definedName>
    <definedName name="uriotherfin97">#REF!</definedName>
    <definedName name="uriotherfin98">#REF!</definedName>
    <definedName name="uriotherfin99">#REF!</definedName>
    <definedName name="uriotherprov00">#REF!</definedName>
    <definedName name="uriotherprov01">#REF!</definedName>
    <definedName name="uriotherprov02">#REF!</definedName>
    <definedName name="uriotherprov03">#REF!</definedName>
    <definedName name="uriotherprov04">#REF!</definedName>
    <definedName name="uriotherprov88">#REF!</definedName>
    <definedName name="uriotherprov89">#REF!</definedName>
    <definedName name="uriotherprov90">#REF!</definedName>
    <definedName name="uriotherprov91">#REF!</definedName>
    <definedName name="uriotherprov92">#REF!</definedName>
    <definedName name="uriotherprov93">#REF!</definedName>
    <definedName name="uriotherprov94">#REF!</definedName>
    <definedName name="uriotherprov95">#REF!</definedName>
    <definedName name="uriotherprov96">#REF!</definedName>
    <definedName name="uriotherprov97">#REF!</definedName>
    <definedName name="uriotherprov98">#REF!</definedName>
    <definedName name="uriotherprov99">#REF!</definedName>
    <definedName name="uriothopcash00">#REF!</definedName>
    <definedName name="uriothopcash01">#REF!</definedName>
    <definedName name="uriothopcash02">#REF!</definedName>
    <definedName name="uriothopcash03">#REF!</definedName>
    <definedName name="uriothopcash04">#REF!</definedName>
    <definedName name="uriothopcash88">#REF!</definedName>
    <definedName name="uriothopcash89">#REF!</definedName>
    <definedName name="uriothopcash90">#REF!</definedName>
    <definedName name="uriothopcash91">#REF!</definedName>
    <definedName name="uriothopcash92">#REF!</definedName>
    <definedName name="uriothopcash93">#REF!</definedName>
    <definedName name="uriothopcash94">#REF!</definedName>
    <definedName name="uriothopcash95">#REF!</definedName>
    <definedName name="uriothopcash96">#REF!</definedName>
    <definedName name="uriothopcash97">#REF!</definedName>
    <definedName name="uriothopcash98">#REF!</definedName>
    <definedName name="uriothopcash99">#REF!</definedName>
    <definedName name="uripc00">#REF!</definedName>
    <definedName name="uripc01">#REF!</definedName>
    <definedName name="uripc99">#REF!</definedName>
    <definedName name="uripe00">#REF!</definedName>
    <definedName name="uripe01">#REF!</definedName>
    <definedName name="uripe02">#REF!</definedName>
    <definedName name="uripe03">#REF!</definedName>
    <definedName name="uripe04">#REF!</definedName>
    <definedName name="uripe05">#REF!</definedName>
    <definedName name="uripe88">#REF!</definedName>
    <definedName name="uripe89">#REF!</definedName>
    <definedName name="uripe90">#REF!</definedName>
    <definedName name="uripe91">#REF!</definedName>
    <definedName name="uripe92">#REF!</definedName>
    <definedName name="uripe93">#REF!</definedName>
    <definedName name="uripe94">#REF!</definedName>
    <definedName name="uripe95">#REF!</definedName>
    <definedName name="uripe96">#REF!</definedName>
    <definedName name="uripe97">#REF!</definedName>
    <definedName name="uripe98">#REF!</definedName>
    <definedName name="uripe99">#REF!</definedName>
    <definedName name="uripension00">#REF!</definedName>
    <definedName name="uripension01">#REF!</definedName>
    <definedName name="uripension02">#REF!</definedName>
    <definedName name="uripension03">#REF!</definedName>
    <definedName name="uripension04">#REF!</definedName>
    <definedName name="uripension88">#REF!</definedName>
    <definedName name="uripension89">#REF!</definedName>
    <definedName name="uripension90">#REF!</definedName>
    <definedName name="uripension91">#REF!</definedName>
    <definedName name="uripension92">#REF!</definedName>
    <definedName name="uripension93">#REF!</definedName>
    <definedName name="uripension94">#REF!</definedName>
    <definedName name="uripension95">#REF!</definedName>
    <definedName name="uripension96">#REF!</definedName>
    <definedName name="uripension97">#REF!</definedName>
    <definedName name="uripension98">#REF!</definedName>
    <definedName name="uripension99">#REF!</definedName>
    <definedName name="uripers00">#REF!</definedName>
    <definedName name="uripers01">#REF!</definedName>
    <definedName name="uripers02">#REF!</definedName>
    <definedName name="uripers03">#REF!</definedName>
    <definedName name="uripers04">#REF!</definedName>
    <definedName name="uripers88">#REF!</definedName>
    <definedName name="uripers89">#REF!</definedName>
    <definedName name="uripers90">#REF!</definedName>
    <definedName name="uripers91">#REF!</definedName>
    <definedName name="uripers92">#REF!</definedName>
    <definedName name="uripers93">#REF!</definedName>
    <definedName name="uripers94">#REF!</definedName>
    <definedName name="uripers95">#REF!</definedName>
    <definedName name="uripers96">#REF!</definedName>
    <definedName name="uripers97">#REF!</definedName>
    <definedName name="uripers98">#REF!</definedName>
    <definedName name="uripers99">#REF!</definedName>
    <definedName name="uripftshare00">#REF!</definedName>
    <definedName name="uripftshare01">#REF!</definedName>
    <definedName name="uripftshare02">#REF!</definedName>
    <definedName name="uripftshare03">#REF!</definedName>
    <definedName name="uripftshare04">#REF!</definedName>
    <definedName name="uripftshare88">#REF!</definedName>
    <definedName name="uripftshare89">#REF!</definedName>
    <definedName name="uripftshare90">#REF!</definedName>
    <definedName name="uripftshare91">#REF!</definedName>
    <definedName name="uripftshare92">#REF!</definedName>
    <definedName name="uripftshare93">#REF!</definedName>
    <definedName name="uripftshare94">#REF!</definedName>
    <definedName name="uripftshare95">#REF!</definedName>
    <definedName name="uripftshare96">#REF!</definedName>
    <definedName name="uripftshare97">#REF!</definedName>
    <definedName name="uripftshare98">#REF!</definedName>
    <definedName name="uripftshare99">#REF!</definedName>
    <definedName name="uripref00">#REF!</definedName>
    <definedName name="uripref01">#REF!</definedName>
    <definedName name="uripref02">#REF!</definedName>
    <definedName name="uripref03">#REF!</definedName>
    <definedName name="uripref04">#REF!</definedName>
    <definedName name="uripref88">#REF!</definedName>
    <definedName name="uripref89">#REF!</definedName>
    <definedName name="uripref90">#REF!</definedName>
    <definedName name="uripref91">#REF!</definedName>
    <definedName name="uripref92">#REF!</definedName>
    <definedName name="uripref93">#REF!</definedName>
    <definedName name="uripref94">#REF!</definedName>
    <definedName name="uripref95">#REF!</definedName>
    <definedName name="uripref96">#REF!</definedName>
    <definedName name="uripref97">#REF!</definedName>
    <definedName name="uripref98">#REF!</definedName>
    <definedName name="uripref99">#REF!</definedName>
    <definedName name="uriprefdiv00">#REF!</definedName>
    <definedName name="uriprefdiv01">#REF!</definedName>
    <definedName name="uriprefdiv02">#REF!</definedName>
    <definedName name="uriprefdiv03">#REF!</definedName>
    <definedName name="uriprefdiv04">#REF!</definedName>
    <definedName name="uriprefdiv88">#REF!</definedName>
    <definedName name="uriprefdiv89">#REF!</definedName>
    <definedName name="uriprefdiv90">#REF!</definedName>
    <definedName name="uriprefdiv91">#REF!</definedName>
    <definedName name="uriprefdiv92">#REF!</definedName>
    <definedName name="uriprefdiv93">#REF!</definedName>
    <definedName name="uriprefdiv94">#REF!</definedName>
    <definedName name="uriprefdiv95">#REF!</definedName>
    <definedName name="uriprefdiv96">#REF!</definedName>
    <definedName name="uriprefdiv97">#REF!</definedName>
    <definedName name="uriprefdiv98">#REF!</definedName>
    <definedName name="uriprefdiv99">#REF!</definedName>
    <definedName name="uriprice">#REF!</definedName>
    <definedName name="uriptp00">#REF!</definedName>
    <definedName name="uriptp01">#REF!</definedName>
    <definedName name="uriptp02">#REF!</definedName>
    <definedName name="uriptp03">#REF!</definedName>
    <definedName name="uriptp04">#REF!</definedName>
    <definedName name="uriptp88">#REF!</definedName>
    <definedName name="uriptp89">#REF!</definedName>
    <definedName name="uriptp90">#REF!</definedName>
    <definedName name="uriptp91">#REF!</definedName>
    <definedName name="uriptp92">#REF!</definedName>
    <definedName name="uriptp93">#REF!</definedName>
    <definedName name="uriptp94">#REF!</definedName>
    <definedName name="uriptp95">#REF!</definedName>
    <definedName name="uriptp96">#REF!</definedName>
    <definedName name="uriptp97">#REF!</definedName>
    <definedName name="uriptp98">#REF!</definedName>
    <definedName name="uriptp99">#REF!</definedName>
    <definedName name="urird00">#REF!</definedName>
    <definedName name="urird01">#REF!</definedName>
    <definedName name="urird02">#REF!</definedName>
    <definedName name="urird03">#REF!</definedName>
    <definedName name="urird04">#REF!</definedName>
    <definedName name="urird88">#REF!</definedName>
    <definedName name="urird89">#REF!</definedName>
    <definedName name="urird90">#REF!</definedName>
    <definedName name="urird91">#REF!</definedName>
    <definedName name="urird92">#REF!</definedName>
    <definedName name="urird93">#REF!</definedName>
    <definedName name="urird94">#REF!</definedName>
    <definedName name="urird95">#REF!</definedName>
    <definedName name="urird96">#REF!</definedName>
    <definedName name="urird97">#REF!</definedName>
    <definedName name="urird98">#REF!</definedName>
    <definedName name="urird99">#REF!</definedName>
    <definedName name="uriRdsales00">#REF!</definedName>
    <definedName name="uriRdsales01">#REF!</definedName>
    <definedName name="uriRdsales02">#REF!</definedName>
    <definedName name="uriRdsales03">#REF!</definedName>
    <definedName name="uriRdsales04">#REF!</definedName>
    <definedName name="uriRdsales99">#REF!</definedName>
    <definedName name="urirearn00">#REF!</definedName>
    <definedName name="urirearn01">#REF!</definedName>
    <definedName name="urirearn02">#REF!</definedName>
    <definedName name="urirearn03">#REF!</definedName>
    <definedName name="urirearn04">#REF!</definedName>
    <definedName name="urirearn88">#REF!</definedName>
    <definedName name="urirearn89">#REF!</definedName>
    <definedName name="urirearn90">#REF!</definedName>
    <definedName name="urirearn91">#REF!</definedName>
    <definedName name="urirearn92">#REF!</definedName>
    <definedName name="urirearn93">#REF!</definedName>
    <definedName name="urirearn94">#REF!</definedName>
    <definedName name="urirearn95">#REF!</definedName>
    <definedName name="urirearn96">#REF!</definedName>
    <definedName name="urirearn97">#REF!</definedName>
    <definedName name="urirearn98">#REF!</definedName>
    <definedName name="urirearn99">#REF!</definedName>
    <definedName name="uriRepNetInc00">#REF!</definedName>
    <definedName name="uriRepNetInc01">#REF!</definedName>
    <definedName name="uriRepNetInc02">#REF!</definedName>
    <definedName name="uriRepNetInc03">#REF!</definedName>
    <definedName name="uriRepNetInc04">#REF!</definedName>
    <definedName name="uriRepNetInc99">#REF!</definedName>
    <definedName name="urireps00">#REF!</definedName>
    <definedName name="urireps01">#REF!</definedName>
    <definedName name="urireps02">#REF!</definedName>
    <definedName name="urireps03">#REF!</definedName>
    <definedName name="urireps04">#REF!</definedName>
    <definedName name="urireps05">#REF!</definedName>
    <definedName name="urireps88">#REF!</definedName>
    <definedName name="urireps89">#REF!</definedName>
    <definedName name="urireps90">#REF!</definedName>
    <definedName name="urireps91">#REF!</definedName>
    <definedName name="urireps92">#REF!</definedName>
    <definedName name="urireps93">#REF!</definedName>
    <definedName name="urireps94">#REF!</definedName>
    <definedName name="urireps95">#REF!</definedName>
    <definedName name="urireps96">#REF!</definedName>
    <definedName name="urireps97">#REF!</definedName>
    <definedName name="urireps98">#REF!</definedName>
    <definedName name="urireps99">#REF!</definedName>
    <definedName name="urirepsg00">#REF!</definedName>
    <definedName name="urirepsg01">#REF!</definedName>
    <definedName name="urirepsg02">#REF!</definedName>
    <definedName name="urirepsg03">#REF!</definedName>
    <definedName name="urirepsg04">#REF!</definedName>
    <definedName name="urirepsg99">#REF!</definedName>
    <definedName name="urirestprov00">#REF!</definedName>
    <definedName name="urirestprov01">#REF!</definedName>
    <definedName name="urirestprov02">#REF!</definedName>
    <definedName name="urirestprov03">#REF!</definedName>
    <definedName name="urirestprov04">#REF!</definedName>
    <definedName name="urirestprov88">#REF!</definedName>
    <definedName name="urirestprov89">#REF!</definedName>
    <definedName name="urirestprov90">#REF!</definedName>
    <definedName name="urirestprov91">#REF!</definedName>
    <definedName name="urirestprov92">#REF!</definedName>
    <definedName name="urirestprov93">#REF!</definedName>
    <definedName name="urirestprov94">#REF!</definedName>
    <definedName name="urirestprov95">#REF!</definedName>
    <definedName name="urirestprov96">#REF!</definedName>
    <definedName name="urirestprov97">#REF!</definedName>
    <definedName name="urirestprov98">#REF!</definedName>
    <definedName name="urirestprov99">#REF!</definedName>
    <definedName name="uriroce00">#REF!</definedName>
    <definedName name="uriroce01">#REF!</definedName>
    <definedName name="uriroce02">#REF!</definedName>
    <definedName name="uriroce03">#REF!</definedName>
    <definedName name="uriroce04">#REF!</definedName>
    <definedName name="uriroce88">#REF!</definedName>
    <definedName name="uriroce89">#REF!</definedName>
    <definedName name="uriroce90">#REF!</definedName>
    <definedName name="uriroce91">#REF!</definedName>
    <definedName name="uriroce92">#REF!</definedName>
    <definedName name="uriroce93">#REF!</definedName>
    <definedName name="uriroce94">#REF!</definedName>
    <definedName name="uriroce95">#REF!</definedName>
    <definedName name="uriroce96">#REF!</definedName>
    <definedName name="uriroce97">#REF!</definedName>
    <definedName name="uriroce98">#REF!</definedName>
    <definedName name="uriroce99">#REF!</definedName>
    <definedName name="urirow00">#REF!</definedName>
    <definedName name="urirow01">#REF!</definedName>
    <definedName name="urirow02">#REF!</definedName>
    <definedName name="urirow03">#REF!</definedName>
    <definedName name="urirow04">#REF!</definedName>
    <definedName name="urirow88">#REF!</definedName>
    <definedName name="urirow89">#REF!</definedName>
    <definedName name="urirow90">#REF!</definedName>
    <definedName name="urirow91">#REF!</definedName>
    <definedName name="urirow92">#REF!</definedName>
    <definedName name="urirow93">#REF!</definedName>
    <definedName name="urirow94">#REF!</definedName>
    <definedName name="urirow95">#REF!</definedName>
    <definedName name="urirow96">#REF!</definedName>
    <definedName name="urirow97">#REF!</definedName>
    <definedName name="urirow98">#REF!</definedName>
    <definedName name="urirow99">#REF!</definedName>
    <definedName name="urisales00">#REF!</definedName>
    <definedName name="urisales01">#REF!</definedName>
    <definedName name="urisales02">#REF!</definedName>
    <definedName name="urisales03">#REF!</definedName>
    <definedName name="urisales04">#REF!</definedName>
    <definedName name="urisales88">#REF!</definedName>
    <definedName name="urisales89">#REF!</definedName>
    <definedName name="urisales90">#REF!</definedName>
    <definedName name="urisales91">#REF!</definedName>
    <definedName name="urisales92">#REF!</definedName>
    <definedName name="urisales93">#REF!</definedName>
    <definedName name="urisales94">#REF!</definedName>
    <definedName name="urisales95">#REF!</definedName>
    <definedName name="urisales96">#REF!</definedName>
    <definedName name="urisales97">#REF!</definedName>
    <definedName name="urisales98">#REF!</definedName>
    <definedName name="urisales99">#REF!</definedName>
    <definedName name="uriSalesemp00">#REF!</definedName>
    <definedName name="uriSalesemp01">#REF!</definedName>
    <definedName name="uriSalesemp02">#REF!</definedName>
    <definedName name="uriSalesemp03">#REF!</definedName>
    <definedName name="uriSalesemp04">#REF!</definedName>
    <definedName name="uriSalesemp99">#REF!</definedName>
    <definedName name="uriSalesg00">#REF!</definedName>
    <definedName name="uriSalesg01">#REF!</definedName>
    <definedName name="uriSalesg02">#REF!</definedName>
    <definedName name="uriSalesg03">#REF!</definedName>
    <definedName name="uriSalesg04">#REF!</definedName>
    <definedName name="uriSalesg99">#REF!</definedName>
    <definedName name="uriserv00">#REF!</definedName>
    <definedName name="uriserv01">#REF!</definedName>
    <definedName name="uriserv99">#REF!</definedName>
    <definedName name="urishf00">#REF!</definedName>
    <definedName name="urishf01">#REF!</definedName>
    <definedName name="urishf02">#REF!</definedName>
    <definedName name="urishf03">#REF!</definedName>
    <definedName name="urishf04">#REF!</definedName>
    <definedName name="urishf88">#REF!</definedName>
    <definedName name="urishf89">#REF!</definedName>
    <definedName name="urishf90">#REF!</definedName>
    <definedName name="urishf91">#REF!</definedName>
    <definedName name="urishf92">#REF!</definedName>
    <definedName name="urishf93">#REF!</definedName>
    <definedName name="urishf94">#REF!</definedName>
    <definedName name="urishf95">#REF!</definedName>
    <definedName name="urishf96">#REF!</definedName>
    <definedName name="urishf97">#REF!</definedName>
    <definedName name="urishf98">#REF!</definedName>
    <definedName name="urishf99">#REF!</definedName>
    <definedName name="urishissue00">#REF!</definedName>
    <definedName name="urishissue01">#REF!</definedName>
    <definedName name="urishissue02">#REF!</definedName>
    <definedName name="urishissue03">#REF!</definedName>
    <definedName name="urishissue04">#REF!</definedName>
    <definedName name="urishissue88">#REF!</definedName>
    <definedName name="urishissue89">#REF!</definedName>
    <definedName name="urishissue90">#REF!</definedName>
    <definedName name="urishissue91">#REF!</definedName>
    <definedName name="urishissue92">#REF!</definedName>
    <definedName name="urishissue93">#REF!</definedName>
    <definedName name="urishissue94">#REF!</definedName>
    <definedName name="urishissue95">#REF!</definedName>
    <definedName name="urishissue96">#REF!</definedName>
    <definedName name="urishissue97">#REF!</definedName>
    <definedName name="urishissue98">#REF!</definedName>
    <definedName name="urishissue99">#REF!</definedName>
    <definedName name="uritang00">#REF!</definedName>
    <definedName name="uritang01">#REF!</definedName>
    <definedName name="uritang02">#REF!</definedName>
    <definedName name="uritang03">#REF!</definedName>
    <definedName name="uritang04">#REF!</definedName>
    <definedName name="uritang88">#REF!</definedName>
    <definedName name="uritang89">#REF!</definedName>
    <definedName name="uritang90">#REF!</definedName>
    <definedName name="uritang91">#REF!</definedName>
    <definedName name="uritang92">#REF!</definedName>
    <definedName name="uritang93">#REF!</definedName>
    <definedName name="uritang94">#REF!</definedName>
    <definedName name="uritang95">#REF!</definedName>
    <definedName name="uritang96">#REF!</definedName>
    <definedName name="uritang97">#REF!</definedName>
    <definedName name="uritang98">#REF!</definedName>
    <definedName name="uritang99">#REF!</definedName>
    <definedName name="uritax00">#REF!</definedName>
    <definedName name="uritax01">#REF!</definedName>
    <definedName name="uritax02">#REF!</definedName>
    <definedName name="uritax03">#REF!</definedName>
    <definedName name="uritax04">#REF!</definedName>
    <definedName name="uritax88">#REF!</definedName>
    <definedName name="uritax89">#REF!</definedName>
    <definedName name="uritax90">#REF!</definedName>
    <definedName name="uritax91">#REF!</definedName>
    <definedName name="uritax92">#REF!</definedName>
    <definedName name="uritax93">#REF!</definedName>
    <definedName name="uritax94">#REF!</definedName>
    <definedName name="uritax95">#REF!</definedName>
    <definedName name="uritax96">#REF!</definedName>
    <definedName name="uritax97">#REF!</definedName>
    <definedName name="uritax98">#REF!</definedName>
    <definedName name="uritax99">#REF!</definedName>
    <definedName name="uritaxrate00">#REF!</definedName>
    <definedName name="uritaxrate01">#REF!</definedName>
    <definedName name="uritaxrate02">#REF!</definedName>
    <definedName name="uritaxrate03">#REF!</definedName>
    <definedName name="uritaxrate04">#REF!</definedName>
    <definedName name="uritaxrate88">#REF!</definedName>
    <definedName name="uritaxrate89">#REF!</definedName>
    <definedName name="uritaxrate90">#REF!</definedName>
    <definedName name="uritaxrate91">#REF!</definedName>
    <definedName name="uritaxrate92">#REF!</definedName>
    <definedName name="uritaxrate93">#REF!</definedName>
    <definedName name="uritaxrate94">#REF!</definedName>
    <definedName name="uritaxrate95">#REF!</definedName>
    <definedName name="uritaxrate96">#REF!</definedName>
    <definedName name="uritaxrate97">#REF!</definedName>
    <definedName name="uritaxrate98">#REF!</definedName>
    <definedName name="uritaxrate99">#REF!</definedName>
    <definedName name="uritc00">#REF!</definedName>
    <definedName name="uritc01">#REF!</definedName>
    <definedName name="uritc02">#REF!</definedName>
    <definedName name="uritc03">#REF!</definedName>
    <definedName name="uritc04">#REF!</definedName>
    <definedName name="uritc88">#REF!</definedName>
    <definedName name="uritc89">#REF!</definedName>
    <definedName name="uritc90">#REF!</definedName>
    <definedName name="uritc91">#REF!</definedName>
    <definedName name="uritc92">#REF!</definedName>
    <definedName name="uritc93">#REF!</definedName>
    <definedName name="uritc94">#REF!</definedName>
    <definedName name="uritc95">#REF!</definedName>
    <definedName name="uritc96">#REF!</definedName>
    <definedName name="uritc97">#REF!</definedName>
    <definedName name="uritc98">#REF!</definedName>
    <definedName name="uritc99">#REF!</definedName>
    <definedName name="uritd00">#REF!</definedName>
    <definedName name="uritd01">#REF!</definedName>
    <definedName name="uritd02">#REF!</definedName>
    <definedName name="uritd03">#REF!</definedName>
    <definedName name="uritd04">#REF!</definedName>
    <definedName name="uritd88">#REF!</definedName>
    <definedName name="uritd89">#REF!</definedName>
    <definedName name="uritd90">#REF!</definedName>
    <definedName name="uritd91">#REF!</definedName>
    <definedName name="uritd92">#REF!</definedName>
    <definedName name="uritd93">#REF!</definedName>
    <definedName name="uritd94">#REF!</definedName>
    <definedName name="uritd95">#REF!</definedName>
    <definedName name="uritd96">#REF!</definedName>
    <definedName name="uritd97">#REF!</definedName>
    <definedName name="uritd98">#REF!</definedName>
    <definedName name="uritd99">#REF!</definedName>
    <definedName name="uritotasset00">#REF!</definedName>
    <definedName name="uritotasset01">#REF!</definedName>
    <definedName name="uritotasset02">#REF!</definedName>
    <definedName name="uritotasset03">#REF!</definedName>
    <definedName name="uritotasset04">#REF!</definedName>
    <definedName name="uritotasset88">#REF!</definedName>
    <definedName name="uritotasset89">#REF!</definedName>
    <definedName name="uritotasset90">#REF!</definedName>
    <definedName name="uritotasset91">#REF!</definedName>
    <definedName name="uritotasset92">#REF!</definedName>
    <definedName name="uritotasset93">#REF!</definedName>
    <definedName name="uritotasset94">#REF!</definedName>
    <definedName name="uritotasset95">#REF!</definedName>
    <definedName name="uritotasset96">#REF!</definedName>
    <definedName name="uritotasset97">#REF!</definedName>
    <definedName name="uritotasset98">#REF!</definedName>
    <definedName name="uritotasset99">#REF!</definedName>
    <definedName name="uritrans00">#REF!</definedName>
    <definedName name="uritrans01">#REF!</definedName>
    <definedName name="uritrans02">#REF!</definedName>
    <definedName name="uritrans03">#REF!</definedName>
    <definedName name="uritrans04">#REF!</definedName>
    <definedName name="uritrans88">#REF!</definedName>
    <definedName name="uritrans89">#REF!</definedName>
    <definedName name="uritrans90">#REF!</definedName>
    <definedName name="uritrans91">#REF!</definedName>
    <definedName name="uritrans92">#REF!</definedName>
    <definedName name="uritrans93">#REF!</definedName>
    <definedName name="uritrans94">#REF!</definedName>
    <definedName name="uritrans95">#REF!</definedName>
    <definedName name="uritrans96">#REF!</definedName>
    <definedName name="uritrans97">#REF!</definedName>
    <definedName name="uritrans98">#REF!</definedName>
    <definedName name="uritrans99">#REF!</definedName>
    <definedName name="uriUlPTP00">#REF!</definedName>
    <definedName name="uriUlPTP01">#REF!</definedName>
    <definedName name="uriUlPTP02">#REF!</definedName>
    <definedName name="uriUlPTP03">#REF!</definedName>
    <definedName name="uriUlPTP04">#REF!</definedName>
    <definedName name="uriUlPTP99">#REF!</definedName>
    <definedName name="uriundtax00">#REF!</definedName>
    <definedName name="uriundtax01">#REF!</definedName>
    <definedName name="uriundtax02">#REF!</definedName>
    <definedName name="uriundtax03">#REF!</definedName>
    <definedName name="uriundtax04">#REF!</definedName>
    <definedName name="uriundtax88">#REF!</definedName>
    <definedName name="uriundtax89">#REF!</definedName>
    <definedName name="uriundtax90">#REF!</definedName>
    <definedName name="uriundtax91">#REF!</definedName>
    <definedName name="uriundtax92">#REF!</definedName>
    <definedName name="uriundtax93">#REF!</definedName>
    <definedName name="uriundtax94">#REF!</definedName>
    <definedName name="uriundtax95">#REF!</definedName>
    <definedName name="uriundtax96">#REF!</definedName>
    <definedName name="uriundtax97">#REF!</definedName>
    <definedName name="uriundtax98">#REF!</definedName>
    <definedName name="uriundtax99">#REF!</definedName>
    <definedName name="uriuptp00">#REF!</definedName>
    <definedName name="uriuptp01">#REF!</definedName>
    <definedName name="uriuptp02">#REF!</definedName>
    <definedName name="uriuptp03">#REF!</definedName>
    <definedName name="uriuptp04">#REF!</definedName>
    <definedName name="uriuptp88">#REF!</definedName>
    <definedName name="uriuptp89">#REF!</definedName>
    <definedName name="uriuptp90">#REF!</definedName>
    <definedName name="uriuptp91">#REF!</definedName>
    <definedName name="uriuptp92">#REF!</definedName>
    <definedName name="uriuptp93">#REF!</definedName>
    <definedName name="uriuptp94">#REF!</definedName>
    <definedName name="uriuptp95">#REF!</definedName>
    <definedName name="uriuptp96">#REF!</definedName>
    <definedName name="uriuptp97">#REF!</definedName>
    <definedName name="uriuptp98">#REF!</definedName>
    <definedName name="uriuptp99">#REF!</definedName>
    <definedName name="uriutil00">#REF!</definedName>
    <definedName name="uriutil01">#REF!</definedName>
    <definedName name="uriutil02">#REF!</definedName>
    <definedName name="uriutil03">#REF!</definedName>
    <definedName name="uriutil04">#REF!</definedName>
    <definedName name="uriutil88">#REF!</definedName>
    <definedName name="uriutil89">#REF!</definedName>
    <definedName name="uriutil90">#REF!</definedName>
    <definedName name="uriutil91">#REF!</definedName>
    <definedName name="uriutil92">#REF!</definedName>
    <definedName name="uriutil93">#REF!</definedName>
    <definedName name="uriutil94">#REF!</definedName>
    <definedName name="uriutil95">#REF!</definedName>
    <definedName name="uriutil96">#REF!</definedName>
    <definedName name="uriutil97">#REF!</definedName>
    <definedName name="uriutil98">#REF!</definedName>
    <definedName name="uriutil99">#REF!</definedName>
    <definedName name="urivar00">#REF!</definedName>
    <definedName name="urivar01">#REF!</definedName>
    <definedName name="urivar02">#REF!</definedName>
    <definedName name="urivar03">#REF!</definedName>
    <definedName name="urivar04">#REF!</definedName>
    <definedName name="urivar88">#REF!</definedName>
    <definedName name="urivar89">#REF!</definedName>
    <definedName name="urivar90">#REF!</definedName>
    <definedName name="urivar91">#REF!</definedName>
    <definedName name="urivar92">#REF!</definedName>
    <definedName name="urivar93">#REF!</definedName>
    <definedName name="urivar94">#REF!</definedName>
    <definedName name="urivar95">#REF!</definedName>
    <definedName name="urivar96">#REF!</definedName>
    <definedName name="urivar97">#REF!</definedName>
    <definedName name="urivar98">#REF!</definedName>
    <definedName name="urivar99">#REF!</definedName>
    <definedName name="uriwcap00">#REF!</definedName>
    <definedName name="uriwcap01">#REF!</definedName>
    <definedName name="uriwcap02">#REF!</definedName>
    <definedName name="uriwcap03">#REF!</definedName>
    <definedName name="uriwcap04">#REF!</definedName>
    <definedName name="uriwcap88">#REF!</definedName>
    <definedName name="uriwcap89">#REF!</definedName>
    <definedName name="uriwcap90">#REF!</definedName>
    <definedName name="uriwcap91">#REF!</definedName>
    <definedName name="uriwcap92">#REF!</definedName>
    <definedName name="uriwcap93">#REF!</definedName>
    <definedName name="uriwcap94">#REF!</definedName>
    <definedName name="uriwcap95">#REF!</definedName>
    <definedName name="uriwcap96">#REF!</definedName>
    <definedName name="uriwcap97">#REF!</definedName>
    <definedName name="uriwcap98">#REF!</definedName>
    <definedName name="uriwcap99">#REF!</definedName>
    <definedName name="uriwcapmov00">#REF!</definedName>
    <definedName name="uriwcapmov01">#REF!</definedName>
    <definedName name="uriwcapmov02">#REF!</definedName>
    <definedName name="uriwcapmov03">#REF!</definedName>
    <definedName name="uriwcapmov04">#REF!</definedName>
    <definedName name="uriwcapmov88">#REF!</definedName>
    <definedName name="uriwcapmov89">#REF!</definedName>
    <definedName name="uriwcapmov90">#REF!</definedName>
    <definedName name="uriwcapmov91">#REF!</definedName>
    <definedName name="uriwcapmov92">#REF!</definedName>
    <definedName name="uriwcapmov93">#REF!</definedName>
    <definedName name="uriwcapmov94">#REF!</definedName>
    <definedName name="uriwcapmov95">#REF!</definedName>
    <definedName name="uriwcapmov96">#REF!</definedName>
    <definedName name="uriwcapmov97">#REF!</definedName>
    <definedName name="uriwcapmov98">#REF!</definedName>
    <definedName name="uriwcapmov99">#REF!</definedName>
    <definedName name="uriWCAPSales00">#REF!</definedName>
    <definedName name="uriWCAPSales01">#REF!</definedName>
    <definedName name="uriWCAPSales02">#REF!</definedName>
    <definedName name="uriWCAPSales03">#REF!</definedName>
    <definedName name="uriWCAPSales04">#REF!</definedName>
    <definedName name="uriWCAPSales99">#REF!</definedName>
    <definedName name="uriwogwill00">#REF!</definedName>
    <definedName name="uriwogwill01">#REF!</definedName>
    <definedName name="uriwogwill02">#REF!</definedName>
    <definedName name="uriwogwill03">#REF!</definedName>
    <definedName name="uriwogwill04">#REF!</definedName>
    <definedName name="uriwogwill88">#REF!</definedName>
    <definedName name="uriwogwill89">#REF!</definedName>
    <definedName name="uriwogwill90">#REF!</definedName>
    <definedName name="uriwogwill91">#REF!</definedName>
    <definedName name="uriwogwill92">#REF!</definedName>
    <definedName name="uriwogwill93">#REF!</definedName>
    <definedName name="uriwogwill94">#REF!</definedName>
    <definedName name="uriwogwill95">#REF!</definedName>
    <definedName name="uriwogwill96">#REF!</definedName>
    <definedName name="uriwogwill97">#REF!</definedName>
    <definedName name="uriwogwill98">#REF!</definedName>
    <definedName name="uriwogwill99">#REF!</definedName>
    <definedName name="uriyeshares00">#REF!</definedName>
    <definedName name="uriyeshares01">#REF!</definedName>
    <definedName name="uriyeshares02">#REF!</definedName>
    <definedName name="uriyeshares03">#REF!</definedName>
    <definedName name="uriyeshares04">#REF!</definedName>
    <definedName name="uriyeshares88">#REF!</definedName>
    <definedName name="uriyeshares89">#REF!</definedName>
    <definedName name="uriyeshares90">#REF!</definedName>
    <definedName name="uriyeshares91">#REF!</definedName>
    <definedName name="uriyeshares92">#REF!</definedName>
    <definedName name="uriyeshares93">#REF!</definedName>
    <definedName name="uriyeshares94">#REF!</definedName>
    <definedName name="uriyeshares95">#REF!</definedName>
    <definedName name="uriyeshares96">#REF!</definedName>
    <definedName name="uriyeshares97">#REF!</definedName>
    <definedName name="uriyeshares98">#REF!</definedName>
    <definedName name="uriyeshares99">#REF!</definedName>
    <definedName name="uriyield00">#REF!</definedName>
    <definedName name="uriyield01">#REF!</definedName>
    <definedName name="uriyield02">#REF!</definedName>
    <definedName name="uriyield03">#REF!</definedName>
    <definedName name="uriyield04">#REF!</definedName>
    <definedName name="uriyield05">#REF!</definedName>
    <definedName name="uriyield99">#REF!</definedName>
    <definedName name="vactdate">#REF!</definedName>
    <definedName name="vactualeps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currentdate">#REF!</definedName>
    <definedName name="vestdate">#REF!</definedName>
    <definedName name="vfiscal0">#REF!</definedName>
    <definedName name="vfiscal1">#REF!</definedName>
    <definedName name="vfiscal2">#REF!</definedName>
    <definedName name="vfiscal3">#REF!</definedName>
    <definedName name="vhidate">#REF!</definedName>
    <definedName name="vhighest1">#REF!</definedName>
    <definedName name="vhighest2">#REF!</definedName>
    <definedName name="vhighest3">#REF!</definedName>
    <definedName name="vhighgr">#REF!</definedName>
    <definedName name="vhiprice">#REF!</definedName>
    <definedName name="vlowdate">#REF!</definedName>
    <definedName name="vlowest1">#REF!</definedName>
    <definedName name="vlowest2">#REF!</definedName>
    <definedName name="vlowest3">#REF!</definedName>
    <definedName name="vlowgr">#REF!</definedName>
    <definedName name="vlowprice">#REF!</definedName>
    <definedName name="vmean1">#REF!</definedName>
    <definedName name="vmean2">#REF!</definedName>
    <definedName name="vmean3">#REF!</definedName>
    <definedName name="vmeangr">#REF!</definedName>
    <definedName name="vmed1">#REF!</definedName>
    <definedName name="vmed2">#REF!</definedName>
    <definedName name="vmed3">#REF!</definedName>
    <definedName name="vmedgr">#REF!</definedName>
    <definedName name="vnumest1">#REF!</definedName>
    <definedName name="vnumest2">#REF!</definedName>
    <definedName name="vnumest3">#REF!</definedName>
    <definedName name="vnumgr">#REF!</definedName>
    <definedName name="VolumeCell">#REF!</definedName>
    <definedName name="VolumeComplement">#REF!</definedName>
    <definedName name="vprice">#REF!</definedName>
    <definedName name="vwew32" hidden="1">{"Assumptions",#N/A,TRUE,"Assumptions";"Income",#N/A,TRUE,"Income";"Balance",#N/A,TRUE,"Balance"}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actdate">#REF!</definedName>
    <definedName name="wactualeps">#REF!</definedName>
    <definedName name="wbh01m.BLinks">INDIRECT("FDSWMMA.XLM!mfs20.BHandler")</definedName>
    <definedName name="wcurrentdate">#REF!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stdate">#REF!</definedName>
    <definedName name="wfiscal0">#REF!</definedName>
    <definedName name="wfiscal1">#REF!</definedName>
    <definedName name="wfiscal2">#REF!</definedName>
    <definedName name="wfiscal3">#REF!</definedName>
    <definedName name="whidate">#REF!</definedName>
    <definedName name="whighest1">#REF!</definedName>
    <definedName name="whighest2">#REF!</definedName>
    <definedName name="whighest3">#REF!</definedName>
    <definedName name="whighgr">#REF!</definedName>
    <definedName name="whiprice">#REF!</definedName>
    <definedName name="WKCAP_CHG">#REF!</definedName>
    <definedName name="wlowdate">#REF!</definedName>
    <definedName name="wlowest1">#REF!</definedName>
    <definedName name="wlowest2">#REF!</definedName>
    <definedName name="wlowest3">#REF!</definedName>
    <definedName name="wlowgr">#REF!</definedName>
    <definedName name="wlowprice">#REF!</definedName>
    <definedName name="wmean1">#REF!</definedName>
    <definedName name="wmean2">#REF!</definedName>
    <definedName name="wmean3">#REF!</definedName>
    <definedName name="wmeangr">#REF!</definedName>
    <definedName name="wmed1">#REF!</definedName>
    <definedName name="wmed2">#REF!</definedName>
    <definedName name="wmed3">#REF!</definedName>
    <definedName name="wmedgr">#REF!</definedName>
    <definedName name="wnumest1">#REF!</definedName>
    <definedName name="wnumest2">#REF!</definedName>
    <definedName name="wnumest3">#REF!</definedName>
    <definedName name="wnumgr">#REF!</definedName>
    <definedName name="wprice">#REF!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ging._.and._.Trend._.Analysis." hidden="1">{#N/A,#N/A,FALSE,"Aging Summary";#N/A,#N/A,FALSE,"Ratio Analysis";#N/A,#N/A,FALSE,"Test 120 Day Accts";#N/A,#N/A,FALSE,"Tickmarks"}</definedName>
    <definedName name="wrn.All_Models.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basics." hidden="1">{#N/A,#N/A,FALSE,"TSUM";#N/A,#N/A,FALSE,"shares";#N/A,#N/A,FALSE,"earnout";#N/A,#N/A,FALSE,"Heaty";#N/A,#N/A,FALSE,"self-tend";#N/A,#N/A,FALSE,"self-sum"}</definedName>
    <definedName name="wrn.bullshit1." hidden="1">{#N/A,#N/A,FALSE,"Sheet1";#N/A,#N/A,FALSE,"Summary";#N/A,#N/A,FALSE,"proj1";#N/A,#N/A,FALSE,"proj2"}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statement." hidden="1">{"income statement",#N/A,FALSE,"ATLAS-A"}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povalue." hidden="1">{#N/A,#N/A,FALSE,"puboff";#N/A,#N/A,FALSE,"valuation";#N/A,#N/A,FALSE,"finanalsis";#N/A,#N/A,FALSE,"split";#N/A,#N/A,FALSE,"ownership"}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newest." hidden="1">{#N/A,#N/A,TRUE,"TS";#N/A,#N/A,TRUE,"Combo";#N/A,#N/A,TRUE,"FAIR";#N/A,#N/A,TRUE,"RBC";#N/A,#N/A,TRUE,"xxxx"}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_PR_1." hidden="1">{"PR1","pr1",TRUE,"Sch PR-1"}</definedName>
    <definedName name="wrn.report." hidden="1">{#N/A,#N/A,FALSE,"Temp Staf_Summary";#N/A,#N/A,FALSE,"ATC Services";#N/A,#N/A,FALSE,"Brannon &amp; Tully";#N/A,#N/A,FALSE,"Debbie";#N/A,#N/A,FALSE,"Alternative";#N/A,#N/A,FALSE,"Mid-States";#N/A,#N/A,FALSE,"United Temp."}</definedName>
    <definedName name="wrn.summaryANDbackup." hidden="1">{#N/A,#N/A,FALSE,"Prem_Sum";#N/A,#N/A,FALSE,"Prem"}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wicor." hidden="1">{#N/A,#N/A,FALSE,"FACTSHEETS";#N/A,#N/A,FALSE,"pump";#N/A,#N/A,FALSE,"filter"}</definedName>
    <definedName name="xactdate">#REF!</definedName>
    <definedName name="xactualeps">#REF!</definedName>
    <definedName name="xcurrentdate">#REF!</definedName>
    <definedName name="xcxzc" hidden="1">{#N/A,#N/A,FALSE,"AD_Purchase";#N/A,#N/A,FALSE,"Credit";#N/A,#N/A,FALSE,"PF Acquisition";#N/A,#N/A,FALSE,"PF Offering"}</definedName>
    <definedName name="xestdate">#REF!</definedName>
    <definedName name="xfiscal0">#REF!</definedName>
    <definedName name="xfiscal1">#REF!</definedName>
    <definedName name="xfiscal2">#REF!</definedName>
    <definedName name="xfiscal3">#REF!</definedName>
    <definedName name="xhidate">#REF!</definedName>
    <definedName name="xhighest1">#REF!</definedName>
    <definedName name="xhighest2">#REF!</definedName>
    <definedName name="xhighest3">#REF!</definedName>
    <definedName name="xhighgr">#REF!</definedName>
    <definedName name="xhiprice">#REF!</definedName>
    <definedName name="xlowdate">#REF!</definedName>
    <definedName name="xlowest1">#REF!</definedName>
    <definedName name="xlowest2">#REF!</definedName>
    <definedName name="xlowest3">#REF!</definedName>
    <definedName name="xlowgr">#REF!</definedName>
    <definedName name="xlowprice">#REF!</definedName>
    <definedName name="xmean1">#REF!</definedName>
    <definedName name="xmean2">#REF!</definedName>
    <definedName name="xmean3">#REF!</definedName>
    <definedName name="xmeangr">#REF!</definedName>
    <definedName name="xmed1">#REF!</definedName>
    <definedName name="xmed2">#REF!</definedName>
    <definedName name="xmed3">#REF!</definedName>
    <definedName name="xmedgr">#REF!</definedName>
    <definedName name="xnumest1">#REF!</definedName>
    <definedName name="xnumest2">#REF!</definedName>
    <definedName name="xnumest3">#REF!</definedName>
    <definedName name="xnumgr">#REF!</definedName>
    <definedName name="XORD_CF">#REF!</definedName>
    <definedName name="XORD_DISC">#REF!</definedName>
    <definedName name="xprice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ActiveRow" hidden="1">#REF!</definedName>
    <definedName name="XRefColumnsCount" hidden="1">6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22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40</definedName>
    <definedName name="yactdate">#REF!</definedName>
    <definedName name="yactualeps">#REF!</definedName>
    <definedName name="ycurrentdate">#REF!</definedName>
    <definedName name="yestdate">#REF!</definedName>
    <definedName name="yfiscal0">#REF!</definedName>
    <definedName name="yfiscal1">#REF!</definedName>
    <definedName name="yfiscal2">#REF!</definedName>
    <definedName name="yfiscal3">#REF!</definedName>
    <definedName name="yhidate">#REF!</definedName>
    <definedName name="yhighest1">#REF!</definedName>
    <definedName name="yhighest2">#REF!</definedName>
    <definedName name="yhighest3">#REF!</definedName>
    <definedName name="yhighgr">#REF!</definedName>
    <definedName name="yhiprice">#REF!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lowdate">#REF!</definedName>
    <definedName name="ylowest1">#REF!</definedName>
    <definedName name="ylowest2">#REF!</definedName>
    <definedName name="ylowest3">#REF!</definedName>
    <definedName name="ylowgr">#REF!</definedName>
    <definedName name="ylowprice">#REF!</definedName>
    <definedName name="ymean1">#REF!</definedName>
    <definedName name="ymean2">#REF!</definedName>
    <definedName name="ymean3">#REF!</definedName>
    <definedName name="ymeangr">#REF!</definedName>
    <definedName name="ymed1">#REF!</definedName>
    <definedName name="ymed2">#REF!</definedName>
    <definedName name="ymed3">#REF!</definedName>
    <definedName name="ymedgr">#REF!</definedName>
    <definedName name="ynumest1">#REF!</definedName>
    <definedName name="ynumest2">#REF!</definedName>
    <definedName name="ynumest3">#REF!</definedName>
    <definedName name="ynumgr">#REF!</definedName>
    <definedName name="yprice">#REF!</definedName>
    <definedName name="YTDEBITDA">#REF!</definedName>
    <definedName name="YTDNETINCOME">#REF!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zactdate">#REF!</definedName>
    <definedName name="zactualeps">#REF!</definedName>
    <definedName name="zcurrentdate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estdate">#REF!</definedName>
    <definedName name="zfiscal0">#REF!</definedName>
    <definedName name="zfiscal1">#REF!</definedName>
    <definedName name="zfiscal2">#REF!</definedName>
    <definedName name="zfiscal3">#REF!</definedName>
    <definedName name="zhidate">#REF!</definedName>
    <definedName name="zhighest1">#REF!</definedName>
    <definedName name="zhighest2">#REF!</definedName>
    <definedName name="zhighest3">#REF!</definedName>
    <definedName name="zhighgr">#REF!</definedName>
    <definedName name="zhiprice">#REF!</definedName>
    <definedName name="zlowdate">#REF!</definedName>
    <definedName name="zlowest1">#REF!</definedName>
    <definedName name="zlowest2">#REF!</definedName>
    <definedName name="zlowest3">#REF!</definedName>
    <definedName name="zlowgr">#REF!</definedName>
    <definedName name="zlowprice">#REF!</definedName>
    <definedName name="zmean1">#REF!</definedName>
    <definedName name="zmean2">#REF!</definedName>
    <definedName name="zmean3">#REF!</definedName>
    <definedName name="zmeangr">#REF!</definedName>
    <definedName name="zmed1">#REF!</definedName>
    <definedName name="zmed2">#REF!</definedName>
    <definedName name="zmed3">#REF!</definedName>
    <definedName name="zmedgr">#REF!</definedName>
    <definedName name="znumest1">#REF!</definedName>
    <definedName name="znumest2">#REF!</definedName>
    <definedName name="znumest3">#REF!</definedName>
    <definedName name="znumgr">#REF!</definedName>
    <definedName name="zprice">#REF!</definedName>
    <definedName name="zscz" hidden="1">{#N/A,#N/A,FALSE,"Pooling";#N/A,#N/A,FALSE,"income";#N/A,#N/A,FALSE,"valuation"}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37" l="1"/>
  <c r="Y137" i="37"/>
  <c r="Z137" i="37" s="1"/>
  <c r="AA137" i="37" s="1"/>
  <c r="AB137" i="37" s="1"/>
  <c r="AC137" i="37" s="1"/>
  <c r="R137" i="37"/>
  <c r="S137" i="37" s="1"/>
  <c r="T137" i="37" s="1"/>
  <c r="U137" i="37" s="1"/>
  <c r="V137" i="37" s="1"/>
  <c r="W137" i="37" s="1"/>
  <c r="X137" i="37" s="1"/>
  <c r="I137" i="37"/>
  <c r="J137" i="37" s="1"/>
  <c r="K137" i="37" s="1"/>
  <c r="L137" i="37" s="1"/>
  <c r="M137" i="37" s="1"/>
  <c r="N137" i="37" s="1"/>
  <c r="O137" i="37" s="1"/>
  <c r="P137" i="37" s="1"/>
  <c r="I136" i="37"/>
  <c r="J136" i="37" s="1"/>
  <c r="I135" i="37"/>
  <c r="H135" i="37"/>
  <c r="H134" i="37"/>
  <c r="AC132" i="37"/>
  <c r="AB132" i="37"/>
  <c r="AA132" i="37"/>
  <c r="Z132" i="37"/>
  <c r="Y132" i="37"/>
  <c r="X132" i="37"/>
  <c r="W132" i="37"/>
  <c r="V132" i="37"/>
  <c r="U132" i="37"/>
  <c r="T132" i="37"/>
  <c r="S132" i="37"/>
  <c r="R132" i="37"/>
  <c r="Q132" i="37"/>
  <c r="P132" i="37"/>
  <c r="O132" i="37"/>
  <c r="N132" i="37"/>
  <c r="M132" i="37"/>
  <c r="L132" i="37"/>
  <c r="K132" i="37"/>
  <c r="J132" i="37"/>
  <c r="I132" i="37"/>
  <c r="V129" i="37"/>
  <c r="W129" i="37" s="1"/>
  <c r="X129" i="37" s="1"/>
  <c r="Y129" i="37" s="1"/>
  <c r="Z129" i="37" s="1"/>
  <c r="AA129" i="37" s="1"/>
  <c r="AB129" i="37" s="1"/>
  <c r="AC129" i="37" s="1"/>
  <c r="I129" i="37"/>
  <c r="J129" i="37" s="1"/>
  <c r="K129" i="37" s="1"/>
  <c r="L129" i="37" s="1"/>
  <c r="M129" i="37" s="1"/>
  <c r="N129" i="37" s="1"/>
  <c r="O129" i="37" s="1"/>
  <c r="P129" i="37" s="1"/>
  <c r="Q129" i="37" s="1"/>
  <c r="R129" i="37" s="1"/>
  <c r="S129" i="37" s="1"/>
  <c r="T129" i="37" s="1"/>
  <c r="U129" i="37" s="1"/>
  <c r="G123" i="37"/>
  <c r="H120" i="37"/>
  <c r="G120" i="37"/>
  <c r="G118" i="37"/>
  <c r="J110" i="37"/>
  <c r="K104" i="37" s="1"/>
  <c r="K110" i="37" s="1"/>
  <c r="L104" i="37" s="1"/>
  <c r="L110" i="37" s="1"/>
  <c r="M104" i="37" s="1"/>
  <c r="I110" i="37"/>
  <c r="J104" i="37" s="1"/>
  <c r="J103" i="37" s="1"/>
  <c r="H110" i="37"/>
  <c r="AC108" i="37"/>
  <c r="AB108" i="37"/>
  <c r="AA108" i="37"/>
  <c r="Z108" i="37"/>
  <c r="Y108" i="37"/>
  <c r="X108" i="37"/>
  <c r="W108" i="37"/>
  <c r="V108" i="37"/>
  <c r="U108" i="37"/>
  <c r="T108" i="37"/>
  <c r="S108" i="37"/>
  <c r="R108" i="37"/>
  <c r="Q108" i="37"/>
  <c r="P108" i="37"/>
  <c r="O108" i="37"/>
  <c r="N108" i="37"/>
  <c r="M108" i="37"/>
  <c r="L108" i="37"/>
  <c r="K108" i="37"/>
  <c r="J108" i="37"/>
  <c r="I108" i="37"/>
  <c r="L105" i="37"/>
  <c r="K105" i="37"/>
  <c r="J105" i="37"/>
  <c r="I104" i="37"/>
  <c r="I103" i="37"/>
  <c r="H103" i="37"/>
  <c r="H123" i="37" s="1"/>
  <c r="I123" i="37" s="1"/>
  <c r="J123" i="37" s="1"/>
  <c r="K123" i="37" s="1"/>
  <c r="L123" i="37" s="1"/>
  <c r="M123" i="37" s="1"/>
  <c r="N123" i="37" s="1"/>
  <c r="O123" i="37" s="1"/>
  <c r="P123" i="37" s="1"/>
  <c r="Q123" i="37" s="1"/>
  <c r="R123" i="37" s="1"/>
  <c r="S123" i="37" s="1"/>
  <c r="T123" i="37" s="1"/>
  <c r="U123" i="37" s="1"/>
  <c r="V123" i="37" s="1"/>
  <c r="W123" i="37" s="1"/>
  <c r="X123" i="37" s="1"/>
  <c r="Y123" i="37" s="1"/>
  <c r="Z123" i="37" s="1"/>
  <c r="AA123" i="37" s="1"/>
  <c r="AB123" i="37" s="1"/>
  <c r="AC123" i="37" s="1"/>
  <c r="H102" i="37"/>
  <c r="AC100" i="37"/>
  <c r="AB100" i="37"/>
  <c r="AA100" i="37"/>
  <c r="Z100" i="37"/>
  <c r="Y100" i="37"/>
  <c r="X100" i="37"/>
  <c r="W100" i="37"/>
  <c r="V100" i="37"/>
  <c r="U100" i="37"/>
  <c r="T100" i="37"/>
  <c r="S100" i="37"/>
  <c r="R100" i="37"/>
  <c r="Q100" i="37"/>
  <c r="P100" i="37"/>
  <c r="O100" i="37"/>
  <c r="N100" i="37"/>
  <c r="M100" i="37"/>
  <c r="L100" i="37"/>
  <c r="K100" i="37"/>
  <c r="J100" i="37"/>
  <c r="I100" i="37"/>
  <c r="I96" i="37" s="1"/>
  <c r="J97" i="37"/>
  <c r="J96" i="37" s="1"/>
  <c r="H90" i="37"/>
  <c r="G90" i="37"/>
  <c r="H87" i="37"/>
  <c r="I68" i="37" s="1"/>
  <c r="I76" i="37" s="1"/>
  <c r="G87" i="37"/>
  <c r="H84" i="37"/>
  <c r="AC82" i="37"/>
  <c r="AB82" i="37"/>
  <c r="AA82" i="37"/>
  <c r="Z82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I79" i="37"/>
  <c r="L78" i="37"/>
  <c r="K78" i="37"/>
  <c r="J78" i="37"/>
  <c r="I78" i="37"/>
  <c r="H77" i="37"/>
  <c r="H76" i="37"/>
  <c r="Q75" i="37"/>
  <c r="R75" i="37" s="1"/>
  <c r="S75" i="37" s="1"/>
  <c r="T75" i="37" s="1"/>
  <c r="U75" i="37" s="1"/>
  <c r="V75" i="37" s="1"/>
  <c r="W75" i="37" s="1"/>
  <c r="X75" i="37" s="1"/>
  <c r="Y75" i="37" s="1"/>
  <c r="Z75" i="37" s="1"/>
  <c r="AA75" i="37" s="1"/>
  <c r="AB75" i="37" s="1"/>
  <c r="AC75" i="37" s="1"/>
  <c r="P75" i="37"/>
  <c r="I75" i="37"/>
  <c r="J75" i="37" s="1"/>
  <c r="K75" i="37" s="1"/>
  <c r="L75" i="37" s="1"/>
  <c r="M75" i="37" s="1"/>
  <c r="N75" i="37" s="1"/>
  <c r="O75" i="37" s="1"/>
  <c r="I70" i="37"/>
  <c r="J70" i="37" s="1"/>
  <c r="K70" i="37" s="1"/>
  <c r="L70" i="37" s="1"/>
  <c r="M70" i="37" s="1"/>
  <c r="N70" i="37" s="1"/>
  <c r="O70" i="37" s="1"/>
  <c r="P70" i="37" s="1"/>
  <c r="Q70" i="37" s="1"/>
  <c r="R70" i="37" s="1"/>
  <c r="S70" i="37" s="1"/>
  <c r="T70" i="37" s="1"/>
  <c r="U70" i="37" s="1"/>
  <c r="V70" i="37" s="1"/>
  <c r="W70" i="37" s="1"/>
  <c r="X70" i="37" s="1"/>
  <c r="Y70" i="37" s="1"/>
  <c r="Z70" i="37" s="1"/>
  <c r="AA70" i="37" s="1"/>
  <c r="AB70" i="37" s="1"/>
  <c r="AC70" i="37" s="1"/>
  <c r="T69" i="37"/>
  <c r="U69" i="37" s="1"/>
  <c r="V69" i="37" s="1"/>
  <c r="W69" i="37" s="1"/>
  <c r="X69" i="37" s="1"/>
  <c r="Y69" i="37" s="1"/>
  <c r="Z69" i="37" s="1"/>
  <c r="AA69" i="37" s="1"/>
  <c r="AB69" i="37" s="1"/>
  <c r="AC69" i="37" s="1"/>
  <c r="I69" i="37"/>
  <c r="J69" i="37" s="1"/>
  <c r="K69" i="37" s="1"/>
  <c r="L69" i="37" s="1"/>
  <c r="M69" i="37" s="1"/>
  <c r="N69" i="37" s="1"/>
  <c r="O69" i="37" s="1"/>
  <c r="P69" i="37" s="1"/>
  <c r="Q69" i="37" s="1"/>
  <c r="R69" i="37" s="1"/>
  <c r="S69" i="37" s="1"/>
  <c r="I54" i="37"/>
  <c r="K53" i="37"/>
  <c r="L53" i="37" s="1"/>
  <c r="M53" i="37" s="1"/>
  <c r="N53" i="37" s="1"/>
  <c r="O53" i="37" s="1"/>
  <c r="P53" i="37" s="1"/>
  <c r="Q53" i="37" s="1"/>
  <c r="R53" i="37" s="1"/>
  <c r="S53" i="37" s="1"/>
  <c r="T53" i="37" s="1"/>
  <c r="U53" i="37" s="1"/>
  <c r="V53" i="37" s="1"/>
  <c r="W53" i="37" s="1"/>
  <c r="X53" i="37" s="1"/>
  <c r="Y53" i="37" s="1"/>
  <c r="Z53" i="37" s="1"/>
  <c r="AA53" i="37" s="1"/>
  <c r="AB53" i="37" s="1"/>
  <c r="AC53" i="37" s="1"/>
  <c r="J53" i="37"/>
  <c r="H53" i="37"/>
  <c r="J52" i="37"/>
  <c r="K52" i="37" s="1"/>
  <c r="L52" i="37" s="1"/>
  <c r="M52" i="37" s="1"/>
  <c r="N52" i="37" s="1"/>
  <c r="O52" i="37" s="1"/>
  <c r="P52" i="37" s="1"/>
  <c r="Q52" i="37" s="1"/>
  <c r="R52" i="37" s="1"/>
  <c r="S52" i="37" s="1"/>
  <c r="T52" i="37" s="1"/>
  <c r="U52" i="37" s="1"/>
  <c r="V52" i="37" s="1"/>
  <c r="W52" i="37" s="1"/>
  <c r="X52" i="37" s="1"/>
  <c r="Y52" i="37" s="1"/>
  <c r="Z52" i="37" s="1"/>
  <c r="AA52" i="37" s="1"/>
  <c r="AB52" i="37" s="1"/>
  <c r="AC52" i="37" s="1"/>
  <c r="H52" i="37"/>
  <c r="J51" i="37"/>
  <c r="H51" i="37"/>
  <c r="H54" i="37" s="1"/>
  <c r="H49" i="37"/>
  <c r="I48" i="37"/>
  <c r="I49" i="37" s="1"/>
  <c r="G46" i="37"/>
  <c r="G45" i="37"/>
  <c r="H44" i="37"/>
  <c r="G44" i="37"/>
  <c r="I37" i="37"/>
  <c r="H37" i="37"/>
  <c r="G37" i="37"/>
  <c r="I35" i="37"/>
  <c r="H35" i="37"/>
  <c r="H25" i="37" s="1"/>
  <c r="G35" i="37"/>
  <c r="L34" i="37"/>
  <c r="K34" i="37"/>
  <c r="J34" i="37"/>
  <c r="I34" i="37"/>
  <c r="H34" i="37"/>
  <c r="G34" i="37"/>
  <c r="H29" i="37"/>
  <c r="L28" i="37"/>
  <c r="K28" i="37"/>
  <c r="I28" i="37"/>
  <c r="J28" i="37" s="1"/>
  <c r="H28" i="37"/>
  <c r="G28" i="37"/>
  <c r="H27" i="37"/>
  <c r="G27" i="37"/>
  <c r="G25" i="37"/>
  <c r="L24" i="37"/>
  <c r="M24" i="37" s="1"/>
  <c r="H24" i="37"/>
  <c r="G24" i="37"/>
  <c r="I21" i="37"/>
  <c r="I22" i="37" s="1"/>
  <c r="H21" i="37"/>
  <c r="H22" i="37" s="1"/>
  <c r="G21" i="37"/>
  <c r="J18" i="37"/>
  <c r="K18" i="37" s="1"/>
  <c r="L18" i="37" s="1"/>
  <c r="M18" i="37" s="1"/>
  <c r="N18" i="37" s="1"/>
  <c r="O18" i="37" s="1"/>
  <c r="P18" i="37" s="1"/>
  <c r="Q18" i="37" s="1"/>
  <c r="R18" i="37" s="1"/>
  <c r="S18" i="37" s="1"/>
  <c r="T18" i="37" s="1"/>
  <c r="U18" i="37" s="1"/>
  <c r="V18" i="37" s="1"/>
  <c r="W18" i="37" s="1"/>
  <c r="X18" i="37" s="1"/>
  <c r="Y18" i="37" s="1"/>
  <c r="Z18" i="37" s="1"/>
  <c r="AA18" i="37" s="1"/>
  <c r="AB18" i="37" s="1"/>
  <c r="AC18" i="37" s="1"/>
  <c r="G18" i="37"/>
  <c r="C18" i="37"/>
  <c r="K17" i="37"/>
  <c r="I17" i="37"/>
  <c r="J17" i="37" s="1"/>
  <c r="G17" i="37"/>
  <c r="C17" i="37"/>
  <c r="G8" i="37"/>
  <c r="H7" i="37"/>
  <c r="G7" i="37"/>
  <c r="H6" i="37"/>
  <c r="G6" i="37"/>
  <c r="P135" i="50"/>
  <c r="O135" i="50"/>
  <c r="N135" i="50"/>
  <c r="M135" i="50"/>
  <c r="L135" i="50"/>
  <c r="K135" i="50"/>
  <c r="J135" i="50"/>
  <c r="I135" i="50"/>
  <c r="H135" i="50"/>
  <c r="G135" i="50"/>
  <c r="AK126" i="50"/>
  <c r="AJ126" i="50"/>
  <c r="AI126" i="50"/>
  <c r="AH126" i="50"/>
  <c r="AG126" i="50"/>
  <c r="AF126" i="50"/>
  <c r="AE126" i="50"/>
  <c r="AD126" i="50"/>
  <c r="AC126" i="50"/>
  <c r="AB126" i="50"/>
  <c r="AA126" i="50"/>
  <c r="Z126" i="50"/>
  <c r="Y126" i="50"/>
  <c r="X126" i="50"/>
  <c r="W126" i="50"/>
  <c r="V126" i="50"/>
  <c r="U126" i="50"/>
  <c r="T126" i="50"/>
  <c r="S126" i="50"/>
  <c r="R126" i="50"/>
  <c r="Q126" i="50"/>
  <c r="Q131" i="50" s="1"/>
  <c r="X123" i="50"/>
  <c r="W123" i="50"/>
  <c r="V123" i="50"/>
  <c r="T123" i="50"/>
  <c r="U123" i="50" s="1"/>
  <c r="R123" i="50"/>
  <c r="S123" i="50" s="1"/>
  <c r="P121" i="50"/>
  <c r="O121" i="50"/>
  <c r="N121" i="50"/>
  <c r="M121" i="50"/>
  <c r="L121" i="50"/>
  <c r="K121" i="50"/>
  <c r="J121" i="50"/>
  <c r="I121" i="50"/>
  <c r="H121" i="50"/>
  <c r="G121" i="50"/>
  <c r="AB116" i="50"/>
  <c r="AC116" i="50" s="1"/>
  <c r="AD116" i="50" s="1"/>
  <c r="AE116" i="50" s="1"/>
  <c r="AF116" i="50" s="1"/>
  <c r="AG116" i="50" s="1"/>
  <c r="AH116" i="50" s="1"/>
  <c r="AI116" i="50" s="1"/>
  <c r="AJ116" i="50" s="1"/>
  <c r="AK116" i="50" s="1"/>
  <c r="AA116" i="50"/>
  <c r="N113" i="50"/>
  <c r="P107" i="50"/>
  <c r="P110" i="50" s="1"/>
  <c r="P113" i="50" s="1"/>
  <c r="P105" i="50"/>
  <c r="Q104" i="50"/>
  <c r="R104" i="50" s="1"/>
  <c r="S104" i="50" s="1"/>
  <c r="T104" i="50" s="1"/>
  <c r="U104" i="50" s="1"/>
  <c r="V104" i="50" s="1"/>
  <c r="W104" i="50" s="1"/>
  <c r="X104" i="50" s="1"/>
  <c r="Y104" i="50" s="1"/>
  <c r="Z104" i="50" s="1"/>
  <c r="AA104" i="50" s="1"/>
  <c r="AB104" i="50" s="1"/>
  <c r="AC104" i="50" s="1"/>
  <c r="AD104" i="50" s="1"/>
  <c r="AE104" i="50" s="1"/>
  <c r="AF104" i="50" s="1"/>
  <c r="AG104" i="50" s="1"/>
  <c r="AH104" i="50" s="1"/>
  <c r="AI104" i="50" s="1"/>
  <c r="AJ104" i="50" s="1"/>
  <c r="AK104" i="50" s="1"/>
  <c r="O104" i="50"/>
  <c r="O105" i="50" s="1"/>
  <c r="O107" i="50" s="1"/>
  <c r="O110" i="50" s="1"/>
  <c r="O113" i="50" s="1"/>
  <c r="N104" i="50"/>
  <c r="N105" i="50" s="1"/>
  <c r="N107" i="50" s="1"/>
  <c r="N110" i="50" s="1"/>
  <c r="Q100" i="50"/>
  <c r="AK95" i="50"/>
  <c r="AJ95" i="50"/>
  <c r="AI95" i="50"/>
  <c r="AH95" i="50"/>
  <c r="AG95" i="50"/>
  <c r="AF95" i="50"/>
  <c r="AE95" i="50"/>
  <c r="AD95" i="50"/>
  <c r="AC95" i="50"/>
  <c r="AB95" i="50"/>
  <c r="AA95" i="50"/>
  <c r="Z95" i="50"/>
  <c r="Y95" i="50"/>
  <c r="X95" i="50"/>
  <c r="W95" i="50"/>
  <c r="V95" i="50"/>
  <c r="U95" i="50"/>
  <c r="T95" i="50"/>
  <c r="S95" i="50"/>
  <c r="R95" i="50"/>
  <c r="Q95" i="50"/>
  <c r="S92" i="50"/>
  <c r="R92" i="50"/>
  <c r="AC86" i="50"/>
  <c r="AB86" i="50"/>
  <c r="AA86" i="50"/>
  <c r="G76" i="50"/>
  <c r="J64" i="50"/>
  <c r="I64" i="50"/>
  <c r="I76" i="50" s="1"/>
  <c r="H64" i="50"/>
  <c r="H76" i="50" s="1"/>
  <c r="D62" i="50"/>
  <c r="C62" i="50"/>
  <c r="P61" i="50"/>
  <c r="O61" i="50"/>
  <c r="N61" i="50"/>
  <c r="M61" i="50"/>
  <c r="L61" i="50"/>
  <c r="D61" i="50"/>
  <c r="C61" i="50"/>
  <c r="B61" i="50"/>
  <c r="R60" i="50"/>
  <c r="Q60" i="50"/>
  <c r="K60" i="50"/>
  <c r="J60" i="50" s="1"/>
  <c r="D60" i="50"/>
  <c r="C60" i="50"/>
  <c r="B60" i="50"/>
  <c r="D59" i="50"/>
  <c r="C59" i="50"/>
  <c r="B59" i="50"/>
  <c r="D58" i="50"/>
  <c r="C58" i="50"/>
  <c r="B58" i="50"/>
  <c r="D57" i="50"/>
  <c r="C57" i="50"/>
  <c r="B57" i="50"/>
  <c r="Q56" i="50"/>
  <c r="D56" i="50"/>
  <c r="C56" i="50"/>
  <c r="B56" i="50"/>
  <c r="AK51" i="50"/>
  <c r="AJ51" i="50"/>
  <c r="AI51" i="50"/>
  <c r="AH51" i="50"/>
  <c r="AG51" i="50"/>
  <c r="AF51" i="50"/>
  <c r="AE51" i="50"/>
  <c r="AD51" i="50"/>
  <c r="AC51" i="50"/>
  <c r="AB51" i="50"/>
  <c r="AA51" i="50"/>
  <c r="Z51" i="50"/>
  <c r="Y51" i="50"/>
  <c r="X51" i="50"/>
  <c r="W51" i="50"/>
  <c r="V51" i="50"/>
  <c r="U51" i="50"/>
  <c r="T51" i="50"/>
  <c r="S51" i="50"/>
  <c r="R51" i="50"/>
  <c r="Q51" i="50"/>
  <c r="D50" i="50"/>
  <c r="B50" i="50"/>
  <c r="D49" i="50"/>
  <c r="B49" i="50"/>
  <c r="S48" i="50"/>
  <c r="R48" i="50"/>
  <c r="D48" i="50"/>
  <c r="B48" i="50"/>
  <c r="D47" i="50"/>
  <c r="B47" i="50"/>
  <c r="D46" i="50"/>
  <c r="B46" i="50"/>
  <c r="D45" i="50"/>
  <c r="B45" i="50"/>
  <c r="B44" i="50"/>
  <c r="AB42" i="50"/>
  <c r="AA42" i="50"/>
  <c r="D41" i="50"/>
  <c r="B41" i="50"/>
  <c r="D40" i="50"/>
  <c r="B40" i="50"/>
  <c r="D39" i="50"/>
  <c r="B39" i="50"/>
  <c r="D38" i="50"/>
  <c r="B38" i="50"/>
  <c r="D37" i="50"/>
  <c r="B37" i="50"/>
  <c r="D36" i="50"/>
  <c r="B36" i="50"/>
  <c r="D35" i="50"/>
  <c r="B35" i="50"/>
  <c r="B34" i="50"/>
  <c r="K33" i="50"/>
  <c r="L33" i="50" s="1"/>
  <c r="M33" i="50" s="1"/>
  <c r="N33" i="50" s="1"/>
  <c r="O33" i="50" s="1"/>
  <c r="P33" i="50" s="1"/>
  <c r="Q33" i="50" s="1"/>
  <c r="R33" i="50" s="1"/>
  <c r="S33" i="50" s="1"/>
  <c r="T33" i="50" s="1"/>
  <c r="U33" i="50" s="1"/>
  <c r="V33" i="50" s="1"/>
  <c r="W33" i="50" s="1"/>
  <c r="X33" i="50" s="1"/>
  <c r="Y33" i="50" s="1"/>
  <c r="Z33" i="50" s="1"/>
  <c r="AA33" i="50" s="1"/>
  <c r="AB33" i="50" s="1"/>
  <c r="AC33" i="50" s="1"/>
  <c r="AD33" i="50" s="1"/>
  <c r="AE33" i="50" s="1"/>
  <c r="AF33" i="50" s="1"/>
  <c r="AG33" i="50" s="1"/>
  <c r="AH33" i="50" s="1"/>
  <c r="AI33" i="50" s="1"/>
  <c r="AJ33" i="50" s="1"/>
  <c r="AK33" i="50" s="1"/>
  <c r="J33" i="50"/>
  <c r="I33" i="50"/>
  <c r="H33" i="50"/>
  <c r="H28" i="50"/>
  <c r="I28" i="50" s="1"/>
  <c r="H26" i="50"/>
  <c r="I26" i="50" s="1"/>
  <c r="J26" i="50" s="1"/>
  <c r="H23" i="50"/>
  <c r="I23" i="50" s="1"/>
  <c r="J21" i="50"/>
  <c r="I21" i="50"/>
  <c r="H21" i="50"/>
  <c r="D19" i="50"/>
  <c r="C48" i="50" s="1"/>
  <c r="N16" i="50"/>
  <c r="N19" i="50" s="1"/>
  <c r="M16" i="50"/>
  <c r="M19" i="50" s="1"/>
  <c r="L16" i="50"/>
  <c r="L19" i="50" s="1"/>
  <c r="K16" i="50"/>
  <c r="K19" i="50" s="1"/>
  <c r="J16" i="50"/>
  <c r="J19" i="50" s="1"/>
  <c r="O15" i="50"/>
  <c r="L15" i="50"/>
  <c r="M15" i="50" s="1"/>
  <c r="N15" i="50" s="1"/>
  <c r="J15" i="50"/>
  <c r="I15" i="50"/>
  <c r="I16" i="50" s="1"/>
  <c r="I19" i="50" s="1"/>
  <c r="I22" i="50" s="1"/>
  <c r="H15" i="50"/>
  <c r="M9" i="50"/>
  <c r="N9" i="50" s="1"/>
  <c r="O9" i="50" s="1"/>
  <c r="P9" i="50" s="1"/>
  <c r="Q9" i="50" s="1"/>
  <c r="R9" i="50" s="1"/>
  <c r="S9" i="50" s="1"/>
  <c r="T9" i="50" s="1"/>
  <c r="U9" i="50" s="1"/>
  <c r="V9" i="50" s="1"/>
  <c r="W9" i="50" s="1"/>
  <c r="X9" i="50" s="1"/>
  <c r="Y9" i="50" s="1"/>
  <c r="Z9" i="50" s="1"/>
  <c r="AA9" i="50" s="1"/>
  <c r="AB9" i="50" s="1"/>
  <c r="AC9" i="50" s="1"/>
  <c r="AD9" i="50" s="1"/>
  <c r="AE9" i="50" s="1"/>
  <c r="AF9" i="50" s="1"/>
  <c r="AG9" i="50" s="1"/>
  <c r="AH9" i="50" s="1"/>
  <c r="AI9" i="50" s="1"/>
  <c r="AJ9" i="50" s="1"/>
  <c r="AK9" i="50" s="1"/>
  <c r="L9" i="50"/>
  <c r="K9" i="50"/>
  <c r="J9" i="50"/>
  <c r="I9" i="50"/>
  <c r="H9" i="50"/>
  <c r="G9" i="50"/>
  <c r="P8" i="50"/>
  <c r="Q8" i="50" s="1"/>
  <c r="O8" i="50"/>
  <c r="N8" i="50"/>
  <c r="M8" i="50"/>
  <c r="L8" i="50"/>
  <c r="K8" i="50"/>
  <c r="J8" i="50"/>
  <c r="I8" i="50"/>
  <c r="H8" i="50"/>
  <c r="P6" i="50"/>
  <c r="O6" i="50"/>
  <c r="N6" i="50"/>
  <c r="M6" i="50"/>
  <c r="I6" i="50"/>
  <c r="H6" i="50"/>
  <c r="P4" i="50"/>
  <c r="O4" i="50"/>
  <c r="N4" i="50"/>
  <c r="M4" i="50"/>
  <c r="L4" i="50"/>
  <c r="J4" i="50"/>
  <c r="I4" i="50"/>
  <c r="H4" i="50"/>
  <c r="D195" i="24"/>
  <c r="V191" i="24"/>
  <c r="U191" i="24"/>
  <c r="T191" i="24"/>
  <c r="L191" i="24"/>
  <c r="J191" i="24"/>
  <c r="G191" i="24"/>
  <c r="F191" i="24"/>
  <c r="Y190" i="24"/>
  <c r="X190" i="24"/>
  <c r="W190" i="24"/>
  <c r="V190" i="24"/>
  <c r="U190" i="24"/>
  <c r="T190" i="24"/>
  <c r="S190" i="24"/>
  <c r="R190" i="24"/>
  <c r="Q190" i="24"/>
  <c r="P190" i="24"/>
  <c r="O190" i="24"/>
  <c r="N190" i="24"/>
  <c r="M190" i="24"/>
  <c r="L190" i="24"/>
  <c r="K190" i="24"/>
  <c r="J190" i="24"/>
  <c r="I190" i="24"/>
  <c r="H190" i="24"/>
  <c r="G190" i="24"/>
  <c r="E190" i="24"/>
  <c r="D190" i="24"/>
  <c r="E187" i="24"/>
  <c r="D187" i="24"/>
  <c r="Y177" i="24"/>
  <c r="X177" i="24"/>
  <c r="W177" i="24"/>
  <c r="V177" i="24"/>
  <c r="U177" i="24"/>
  <c r="T177" i="24"/>
  <c r="S177" i="24"/>
  <c r="R177" i="24"/>
  <c r="Q177" i="24"/>
  <c r="P177" i="24"/>
  <c r="O177" i="24"/>
  <c r="N177" i="24"/>
  <c r="M177" i="24"/>
  <c r="L177" i="24"/>
  <c r="K177" i="24"/>
  <c r="J177" i="24"/>
  <c r="I177" i="24"/>
  <c r="H177" i="24"/>
  <c r="G177" i="24"/>
  <c r="F177" i="24"/>
  <c r="E177" i="24"/>
  <c r="D177" i="24"/>
  <c r="F176" i="24"/>
  <c r="E176" i="24"/>
  <c r="D172" i="24"/>
  <c r="V155" i="24"/>
  <c r="U155" i="24"/>
  <c r="S155" i="24"/>
  <c r="S191" i="24" s="1"/>
  <c r="Q155" i="24"/>
  <c r="Q191" i="24" s="1"/>
  <c r="L155" i="24"/>
  <c r="I155" i="24"/>
  <c r="I191" i="24" s="1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E154" i="24"/>
  <c r="D154" i="24"/>
  <c r="Y153" i="24"/>
  <c r="X153" i="24"/>
  <c r="W153" i="24"/>
  <c r="W155" i="24" s="1"/>
  <c r="W191" i="24" s="1"/>
  <c r="V153" i="24"/>
  <c r="U153" i="24"/>
  <c r="U104" i="24" s="1"/>
  <c r="T153" i="24"/>
  <c r="T155" i="24" s="1"/>
  <c r="S153" i="24"/>
  <c r="R153" i="24"/>
  <c r="R104" i="24" s="1"/>
  <c r="Q153" i="24"/>
  <c r="P153" i="24"/>
  <c r="O153" i="24"/>
  <c r="O155" i="24" s="1"/>
  <c r="O191" i="24" s="1"/>
  <c r="N153" i="24"/>
  <c r="N155" i="24" s="1"/>
  <c r="N191" i="24" s="1"/>
  <c r="M153" i="24"/>
  <c r="L153" i="24"/>
  <c r="K153" i="24"/>
  <c r="K104" i="24" s="1"/>
  <c r="J153" i="24"/>
  <c r="J155" i="24" s="1"/>
  <c r="I153" i="24"/>
  <c r="I104" i="24" s="1"/>
  <c r="H153" i="24"/>
  <c r="H104" i="24" s="1"/>
  <c r="E153" i="24"/>
  <c r="E155" i="24" s="1"/>
  <c r="E191" i="24" s="1"/>
  <c r="D153" i="24"/>
  <c r="D155" i="24" s="1"/>
  <c r="D191" i="24" s="1"/>
  <c r="F140" i="24"/>
  <c r="F139" i="24"/>
  <c r="F104" i="24" s="1"/>
  <c r="D114" i="24"/>
  <c r="D110" i="24"/>
  <c r="F109" i="24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E109" i="24"/>
  <c r="N108" i="24"/>
  <c r="O108" i="24" s="1"/>
  <c r="P108" i="24" s="1"/>
  <c r="Q108" i="24" s="1"/>
  <c r="R108" i="24" s="1"/>
  <c r="S108" i="24" s="1"/>
  <c r="T108" i="24" s="1"/>
  <c r="U108" i="24" s="1"/>
  <c r="V108" i="24" s="1"/>
  <c r="W108" i="24" s="1"/>
  <c r="X108" i="24" s="1"/>
  <c r="Y108" i="24" s="1"/>
  <c r="M108" i="24"/>
  <c r="K108" i="24"/>
  <c r="L108" i="24" s="1"/>
  <c r="F108" i="24"/>
  <c r="G108" i="24" s="1"/>
  <c r="H108" i="24" s="1"/>
  <c r="I108" i="24" s="1"/>
  <c r="J108" i="24" s="1"/>
  <c r="I107" i="24"/>
  <c r="J107" i="24" s="1"/>
  <c r="K107" i="24" s="1"/>
  <c r="L107" i="24" s="1"/>
  <c r="M107" i="24" s="1"/>
  <c r="N107" i="24" s="1"/>
  <c r="O107" i="24" s="1"/>
  <c r="P107" i="24" s="1"/>
  <c r="Q107" i="24" s="1"/>
  <c r="R107" i="24" s="1"/>
  <c r="S107" i="24" s="1"/>
  <c r="T107" i="24" s="1"/>
  <c r="U107" i="24" s="1"/>
  <c r="V107" i="24" s="1"/>
  <c r="W107" i="24" s="1"/>
  <c r="X107" i="24" s="1"/>
  <c r="Y107" i="24" s="1"/>
  <c r="H107" i="24"/>
  <c r="F107" i="24"/>
  <c r="G107" i="24" s="1"/>
  <c r="E107" i="24"/>
  <c r="J106" i="24"/>
  <c r="K106" i="24" s="1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I106" i="24"/>
  <c r="G106" i="24"/>
  <c r="H106" i="24" s="1"/>
  <c r="F106" i="24"/>
  <c r="G105" i="24"/>
  <c r="H105" i="24" s="1"/>
  <c r="I105" i="24" s="1"/>
  <c r="J105" i="24" s="1"/>
  <c r="K105" i="24" s="1"/>
  <c r="L105" i="24" s="1"/>
  <c r="F105" i="24"/>
  <c r="V104" i="24"/>
  <c r="T104" i="24"/>
  <c r="S104" i="24"/>
  <c r="Q104" i="24"/>
  <c r="O104" i="24"/>
  <c r="N104" i="24"/>
  <c r="L104" i="24"/>
  <c r="J104" i="24"/>
  <c r="G104" i="24"/>
  <c r="E104" i="24"/>
  <c r="E110" i="24" s="1"/>
  <c r="D103" i="24"/>
  <c r="E102" i="24"/>
  <c r="Q101" i="24"/>
  <c r="R101" i="24" s="1"/>
  <c r="S101" i="24" s="1"/>
  <c r="T101" i="24" s="1"/>
  <c r="U101" i="24" s="1"/>
  <c r="V101" i="24" s="1"/>
  <c r="W101" i="24" s="1"/>
  <c r="X101" i="24" s="1"/>
  <c r="Y101" i="24" s="1"/>
  <c r="P101" i="24"/>
  <c r="K101" i="24"/>
  <c r="L101" i="24" s="1"/>
  <c r="M101" i="24" s="1"/>
  <c r="N101" i="24" s="1"/>
  <c r="O101" i="24" s="1"/>
  <c r="G101" i="24"/>
  <c r="H101" i="24" s="1"/>
  <c r="I101" i="24" s="1"/>
  <c r="J101" i="24" s="1"/>
  <c r="F101" i="24"/>
  <c r="J99" i="24"/>
  <c r="K99" i="24" s="1"/>
  <c r="L99" i="24" s="1"/>
  <c r="M99" i="24" s="1"/>
  <c r="N99" i="24" s="1"/>
  <c r="O99" i="24" s="1"/>
  <c r="P99" i="24" s="1"/>
  <c r="Q99" i="24" s="1"/>
  <c r="R99" i="24" s="1"/>
  <c r="S99" i="24" s="1"/>
  <c r="T99" i="24" s="1"/>
  <c r="U99" i="24" s="1"/>
  <c r="V99" i="24" s="1"/>
  <c r="W99" i="24" s="1"/>
  <c r="X99" i="24" s="1"/>
  <c r="Y99" i="24" s="1"/>
  <c r="I99" i="24"/>
  <c r="H99" i="24"/>
  <c r="G99" i="24"/>
  <c r="F99" i="24"/>
  <c r="V98" i="24"/>
  <c r="W98" i="24" s="1"/>
  <c r="X98" i="24" s="1"/>
  <c r="Y98" i="24" s="1"/>
  <c r="K98" i="24"/>
  <c r="L98" i="24" s="1"/>
  <c r="M98" i="24" s="1"/>
  <c r="N98" i="24" s="1"/>
  <c r="O98" i="24" s="1"/>
  <c r="P98" i="24" s="1"/>
  <c r="Q98" i="24" s="1"/>
  <c r="R98" i="24" s="1"/>
  <c r="S98" i="24" s="1"/>
  <c r="T98" i="24" s="1"/>
  <c r="U98" i="24" s="1"/>
  <c r="J98" i="24"/>
  <c r="H98" i="24"/>
  <c r="I98" i="24" s="1"/>
  <c r="G98" i="24"/>
  <c r="F98" i="24"/>
  <c r="F97" i="24"/>
  <c r="E97" i="24"/>
  <c r="O95" i="24"/>
  <c r="P95" i="24" s="1"/>
  <c r="Q95" i="24" s="1"/>
  <c r="R95" i="24" s="1"/>
  <c r="S95" i="24" s="1"/>
  <c r="T95" i="24" s="1"/>
  <c r="U95" i="24" s="1"/>
  <c r="V95" i="24" s="1"/>
  <c r="W95" i="24" s="1"/>
  <c r="X95" i="24" s="1"/>
  <c r="Y95" i="24" s="1"/>
  <c r="F95" i="24"/>
  <c r="G95" i="24" s="1"/>
  <c r="H95" i="24" s="1"/>
  <c r="I95" i="24" s="1"/>
  <c r="J95" i="24" s="1"/>
  <c r="K95" i="24" s="1"/>
  <c r="L95" i="24" s="1"/>
  <c r="M95" i="24" s="1"/>
  <c r="N95" i="24" s="1"/>
  <c r="E95" i="24"/>
  <c r="E94" i="24"/>
  <c r="F94" i="24" s="1"/>
  <c r="G94" i="24" s="1"/>
  <c r="H94" i="24" s="1"/>
  <c r="I94" i="24" s="1"/>
  <c r="E91" i="24"/>
  <c r="D90" i="24"/>
  <c r="D92" i="24" s="1"/>
  <c r="D84" i="24"/>
  <c r="E81" i="24"/>
  <c r="F80" i="24"/>
  <c r="G79" i="24"/>
  <c r="F79" i="24"/>
  <c r="E79" i="24"/>
  <c r="H78" i="24"/>
  <c r="G78" i="24"/>
  <c r="F78" i="24"/>
  <c r="G77" i="24"/>
  <c r="F77" i="24"/>
  <c r="E77" i="24"/>
  <c r="F76" i="24"/>
  <c r="G76" i="24" s="1"/>
  <c r="H76" i="24" s="1"/>
  <c r="I76" i="24" s="1"/>
  <c r="J76" i="24" s="1"/>
  <c r="K76" i="24" s="1"/>
  <c r="L76" i="24" s="1"/>
  <c r="M76" i="24" s="1"/>
  <c r="N76" i="24" s="1"/>
  <c r="O76" i="24" s="1"/>
  <c r="P76" i="24" s="1"/>
  <c r="Q76" i="24" s="1"/>
  <c r="R76" i="24" s="1"/>
  <c r="S76" i="24" s="1"/>
  <c r="T76" i="24" s="1"/>
  <c r="U76" i="24" s="1"/>
  <c r="V76" i="24" s="1"/>
  <c r="W76" i="24" s="1"/>
  <c r="X76" i="24" s="1"/>
  <c r="Y76" i="24" s="1"/>
  <c r="E76" i="24"/>
  <c r="H75" i="24"/>
  <c r="G75" i="24"/>
  <c r="K11" i="21" s="1"/>
  <c r="F75" i="24"/>
  <c r="E75" i="24"/>
  <c r="I11" i="21" s="1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E73" i="24"/>
  <c r="E72" i="24"/>
  <c r="D71" i="24"/>
  <c r="F60" i="24"/>
  <c r="G60" i="24" s="1"/>
  <c r="H60" i="24" s="1"/>
  <c r="I60" i="24" s="1"/>
  <c r="J60" i="24" s="1"/>
  <c r="K60" i="24" s="1"/>
  <c r="L60" i="24" s="1"/>
  <c r="M60" i="24" s="1"/>
  <c r="N60" i="24" s="1"/>
  <c r="O60" i="24" s="1"/>
  <c r="P60" i="24" s="1"/>
  <c r="Q60" i="24" s="1"/>
  <c r="R60" i="24" s="1"/>
  <c r="S60" i="24" s="1"/>
  <c r="T60" i="24" s="1"/>
  <c r="U60" i="24" s="1"/>
  <c r="V60" i="24" s="1"/>
  <c r="W60" i="24" s="1"/>
  <c r="X60" i="24" s="1"/>
  <c r="Y60" i="24" s="1"/>
  <c r="E59" i="24"/>
  <c r="D57" i="24"/>
  <c r="D58" i="24" s="1"/>
  <c r="D63" i="24" s="1"/>
  <c r="F56" i="24"/>
  <c r="E56" i="24"/>
  <c r="E55" i="24"/>
  <c r="E57" i="24" s="1"/>
  <c r="D54" i="24"/>
  <c r="F51" i="24"/>
  <c r="G51" i="24" s="1"/>
  <c r="H51" i="24" s="1"/>
  <c r="I51" i="24" s="1"/>
  <c r="J51" i="24" s="1"/>
  <c r="K51" i="24" s="1"/>
  <c r="L51" i="24" s="1"/>
  <c r="M51" i="24" s="1"/>
  <c r="N51" i="24" s="1"/>
  <c r="O51" i="24" s="1"/>
  <c r="P51" i="24" s="1"/>
  <c r="Q51" i="24" s="1"/>
  <c r="R51" i="24" s="1"/>
  <c r="S51" i="24" s="1"/>
  <c r="T51" i="24" s="1"/>
  <c r="U51" i="24" s="1"/>
  <c r="V51" i="24" s="1"/>
  <c r="W51" i="24" s="1"/>
  <c r="X51" i="24" s="1"/>
  <c r="Y51" i="24" s="1"/>
  <c r="E51" i="24"/>
  <c r="O50" i="24"/>
  <c r="P50" i="24" s="1"/>
  <c r="Q50" i="24" s="1"/>
  <c r="R50" i="24" s="1"/>
  <c r="S50" i="24" s="1"/>
  <c r="T50" i="24" s="1"/>
  <c r="U50" i="24" s="1"/>
  <c r="V50" i="24" s="1"/>
  <c r="W50" i="24" s="1"/>
  <c r="X50" i="24" s="1"/>
  <c r="Y50" i="24" s="1"/>
  <c r="N50" i="24"/>
  <c r="L50" i="24"/>
  <c r="M50" i="24" s="1"/>
  <c r="E50" i="24"/>
  <c r="F50" i="24" s="1"/>
  <c r="G50" i="24" s="1"/>
  <c r="H50" i="24" s="1"/>
  <c r="I50" i="24" s="1"/>
  <c r="J50" i="24" s="1"/>
  <c r="K50" i="24" s="1"/>
  <c r="F49" i="24"/>
  <c r="G49" i="24" s="1"/>
  <c r="H49" i="24" s="1"/>
  <c r="I49" i="24" s="1"/>
  <c r="J49" i="24" s="1"/>
  <c r="K49" i="24" s="1"/>
  <c r="L49" i="24" s="1"/>
  <c r="M49" i="24" s="1"/>
  <c r="N49" i="24" s="1"/>
  <c r="O49" i="24" s="1"/>
  <c r="P49" i="24" s="1"/>
  <c r="Q49" i="24" s="1"/>
  <c r="R49" i="24" s="1"/>
  <c r="S49" i="24" s="1"/>
  <c r="T49" i="24" s="1"/>
  <c r="U49" i="24" s="1"/>
  <c r="V49" i="24" s="1"/>
  <c r="W49" i="24" s="1"/>
  <c r="X49" i="24" s="1"/>
  <c r="Y49" i="24" s="1"/>
  <c r="E49" i="24"/>
  <c r="E48" i="24"/>
  <c r="D47" i="24"/>
  <c r="D46" i="24"/>
  <c r="H45" i="24"/>
  <c r="I45" i="24" s="1"/>
  <c r="J45" i="24" s="1"/>
  <c r="K45" i="24" s="1"/>
  <c r="L45" i="24" s="1"/>
  <c r="M45" i="24" s="1"/>
  <c r="N45" i="24" s="1"/>
  <c r="O45" i="24" s="1"/>
  <c r="P45" i="24" s="1"/>
  <c r="Q45" i="24" s="1"/>
  <c r="R45" i="24" s="1"/>
  <c r="S45" i="24" s="1"/>
  <c r="T45" i="24" s="1"/>
  <c r="U45" i="24" s="1"/>
  <c r="V45" i="24" s="1"/>
  <c r="W45" i="24" s="1"/>
  <c r="X45" i="24" s="1"/>
  <c r="Y45" i="24" s="1"/>
  <c r="F45" i="24"/>
  <c r="G45" i="24" s="1"/>
  <c r="E45" i="24"/>
  <c r="S44" i="24"/>
  <c r="T44" i="24" s="1"/>
  <c r="U44" i="24" s="1"/>
  <c r="V44" i="24" s="1"/>
  <c r="W44" i="24" s="1"/>
  <c r="X44" i="24" s="1"/>
  <c r="Y44" i="24" s="1"/>
  <c r="I44" i="24"/>
  <c r="J44" i="24" s="1"/>
  <c r="K44" i="24" s="1"/>
  <c r="L44" i="24" s="1"/>
  <c r="M44" i="24" s="1"/>
  <c r="N44" i="24" s="1"/>
  <c r="O44" i="24" s="1"/>
  <c r="P44" i="24" s="1"/>
  <c r="Q44" i="24" s="1"/>
  <c r="R44" i="24" s="1"/>
  <c r="E44" i="24"/>
  <c r="F44" i="24" s="1"/>
  <c r="G44" i="24" s="1"/>
  <c r="H44" i="24" s="1"/>
  <c r="F43" i="24"/>
  <c r="E43" i="24"/>
  <c r="E100" i="24" s="1"/>
  <c r="D39" i="24"/>
  <c r="G37" i="24"/>
  <c r="H37" i="24" s="1"/>
  <c r="I37" i="24" s="1"/>
  <c r="J37" i="24" s="1"/>
  <c r="K37" i="24" s="1"/>
  <c r="L37" i="24" s="1"/>
  <c r="M37" i="24" s="1"/>
  <c r="N37" i="24" s="1"/>
  <c r="O37" i="24" s="1"/>
  <c r="P37" i="24" s="1"/>
  <c r="Q37" i="24" s="1"/>
  <c r="R37" i="24" s="1"/>
  <c r="S37" i="24" s="1"/>
  <c r="T37" i="24" s="1"/>
  <c r="U37" i="24" s="1"/>
  <c r="V37" i="24" s="1"/>
  <c r="W37" i="24" s="1"/>
  <c r="X37" i="24" s="1"/>
  <c r="Y37" i="24" s="1"/>
  <c r="E37" i="24"/>
  <c r="F37" i="24" s="1"/>
  <c r="S36" i="24"/>
  <c r="T36" i="24" s="1"/>
  <c r="U36" i="24" s="1"/>
  <c r="V36" i="24" s="1"/>
  <c r="W36" i="24" s="1"/>
  <c r="X36" i="24" s="1"/>
  <c r="Y36" i="24" s="1"/>
  <c r="I36" i="24"/>
  <c r="J36" i="24" s="1"/>
  <c r="K36" i="24" s="1"/>
  <c r="L36" i="24" s="1"/>
  <c r="M36" i="24" s="1"/>
  <c r="N36" i="24" s="1"/>
  <c r="O36" i="24" s="1"/>
  <c r="P36" i="24" s="1"/>
  <c r="Q36" i="24" s="1"/>
  <c r="R36" i="24" s="1"/>
  <c r="H36" i="24"/>
  <c r="F36" i="24"/>
  <c r="G36" i="24" s="1"/>
  <c r="E36" i="24"/>
  <c r="W35" i="24"/>
  <c r="X35" i="24" s="1"/>
  <c r="Y35" i="24" s="1"/>
  <c r="L35" i="24"/>
  <c r="M35" i="24" s="1"/>
  <c r="N35" i="24" s="1"/>
  <c r="O35" i="24" s="1"/>
  <c r="P35" i="24" s="1"/>
  <c r="Q35" i="24" s="1"/>
  <c r="R35" i="24" s="1"/>
  <c r="S35" i="24" s="1"/>
  <c r="T35" i="24" s="1"/>
  <c r="U35" i="24" s="1"/>
  <c r="V35" i="24" s="1"/>
  <c r="K35" i="24"/>
  <c r="J35" i="24"/>
  <c r="I35" i="24"/>
  <c r="E35" i="24"/>
  <c r="F35" i="24" s="1"/>
  <c r="G35" i="24" s="1"/>
  <c r="H35" i="24" s="1"/>
  <c r="E34" i="24"/>
  <c r="G33" i="24"/>
  <c r="F33" i="24"/>
  <c r="F102" i="24" s="1"/>
  <c r="E30" i="24"/>
  <c r="D21" i="24"/>
  <c r="H7" i="21" s="1"/>
  <c r="E20" i="24"/>
  <c r="H19" i="24"/>
  <c r="H80" i="24" s="1"/>
  <c r="G19" i="24"/>
  <c r="G80" i="24" s="1"/>
  <c r="F19" i="24"/>
  <c r="E19" i="24"/>
  <c r="E18" i="24"/>
  <c r="E82" i="24" s="1"/>
  <c r="G17" i="24"/>
  <c r="H17" i="24" s="1"/>
  <c r="H79" i="24" s="1"/>
  <c r="F17" i="24"/>
  <c r="E17" i="24"/>
  <c r="H16" i="24"/>
  <c r="G16" i="24"/>
  <c r="F16" i="24"/>
  <c r="E16" i="24"/>
  <c r="H15" i="24"/>
  <c r="I15" i="24" s="1"/>
  <c r="F15" i="24"/>
  <c r="G15" i="24" s="1"/>
  <c r="E15" i="24"/>
  <c r="E78" i="24" s="1"/>
  <c r="D14" i="24"/>
  <c r="G12" i="24"/>
  <c r="H12" i="24" s="1"/>
  <c r="E12" i="24"/>
  <c r="F12" i="24" s="1"/>
  <c r="E11" i="24"/>
  <c r="K10" i="24"/>
  <c r="L10" i="24" s="1"/>
  <c r="M10" i="24" s="1"/>
  <c r="N10" i="24" s="1"/>
  <c r="O10" i="24" s="1"/>
  <c r="P10" i="24" s="1"/>
  <c r="Q10" i="24" s="1"/>
  <c r="R10" i="24" s="1"/>
  <c r="S10" i="24" s="1"/>
  <c r="T10" i="24" s="1"/>
  <c r="U10" i="24" s="1"/>
  <c r="V10" i="24" s="1"/>
  <c r="W10" i="24" s="1"/>
  <c r="X10" i="24" s="1"/>
  <c r="Y10" i="24" s="1"/>
  <c r="J10" i="24"/>
  <c r="F10" i="24"/>
  <c r="G10" i="24" s="1"/>
  <c r="H10" i="24" s="1"/>
  <c r="I10" i="24" s="1"/>
  <c r="E10" i="24"/>
  <c r="L9" i="24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K9" i="24"/>
  <c r="J9" i="24"/>
  <c r="E9" i="24"/>
  <c r="F9" i="24" s="1"/>
  <c r="G9" i="24" s="1"/>
  <c r="H9" i="24" s="1"/>
  <c r="I9" i="24" s="1"/>
  <c r="D8" i="24"/>
  <c r="X38" i="21"/>
  <c r="W38" i="21"/>
  <c r="W37" i="21"/>
  <c r="X35" i="21"/>
  <c r="P44" i="21" s="1"/>
  <c r="V35" i="21"/>
  <c r="N43" i="21" s="1"/>
  <c r="J25" i="21"/>
  <c r="L24" i="21"/>
  <c r="L23" i="21"/>
  <c r="J22" i="21"/>
  <c r="L21" i="21"/>
  <c r="V38" i="21" s="1"/>
  <c r="L20" i="21"/>
  <c r="Q19" i="21"/>
  <c r="P19" i="21"/>
  <c r="X37" i="21" s="1"/>
  <c r="N19" i="21"/>
  <c r="V37" i="21" s="1"/>
  <c r="H13" i="21"/>
  <c r="H12" i="21"/>
  <c r="L11" i="21"/>
  <c r="J11" i="21"/>
  <c r="H11" i="21"/>
  <c r="I10" i="21"/>
  <c r="H10" i="21"/>
  <c r="K52" i="43"/>
  <c r="J52" i="43"/>
  <c r="I52" i="43"/>
  <c r="H52" i="43"/>
  <c r="G52" i="43"/>
  <c r="M51" i="43"/>
  <c r="L51" i="43"/>
  <c r="K51" i="43"/>
  <c r="J51" i="43"/>
  <c r="I51" i="43"/>
  <c r="H51" i="43"/>
  <c r="G51" i="43"/>
  <c r="G8" i="43"/>
  <c r="J5" i="43"/>
  <c r="K5" i="43" s="1"/>
  <c r="L5" i="43" s="1"/>
  <c r="M5" i="43" s="1"/>
  <c r="N5" i="43" s="1"/>
  <c r="O5" i="43" s="1"/>
  <c r="P5" i="43" s="1"/>
  <c r="Q5" i="43" s="1"/>
  <c r="R5" i="43" s="1"/>
  <c r="S5" i="43" s="1"/>
  <c r="T5" i="43" s="1"/>
  <c r="U5" i="43" s="1"/>
  <c r="V5" i="43" s="1"/>
  <c r="W5" i="43" s="1"/>
  <c r="X5" i="43" s="1"/>
  <c r="Y5" i="43" s="1"/>
  <c r="Z5" i="43" s="1"/>
  <c r="AA5" i="43" s="1"/>
  <c r="AB5" i="43" s="1"/>
  <c r="H5" i="43"/>
  <c r="I5" i="43" s="1"/>
  <c r="D186" i="36"/>
  <c r="C186" i="36"/>
  <c r="F154" i="36"/>
  <c r="C154" i="36"/>
  <c r="F153" i="36"/>
  <c r="C153" i="36"/>
  <c r="F152" i="36"/>
  <c r="C152" i="36"/>
  <c r="F151" i="36"/>
  <c r="C151" i="36"/>
  <c r="D135" i="36"/>
  <c r="C135" i="36"/>
  <c r="B135" i="36"/>
  <c r="B134" i="36"/>
  <c r="B110" i="36"/>
  <c r="B57" i="36"/>
  <c r="B86" i="36" s="1"/>
  <c r="B88" i="36" s="1"/>
  <c r="B34" i="36"/>
  <c r="F39" i="39"/>
  <c r="F38" i="39"/>
  <c r="F37" i="39"/>
  <c r="F36" i="39"/>
  <c r="F35" i="39"/>
  <c r="F34" i="39"/>
  <c r="F33" i="39"/>
  <c r="F32" i="39"/>
  <c r="F31" i="39"/>
  <c r="F30" i="39"/>
  <c r="F29" i="39"/>
  <c r="I22" i="39"/>
  <c r="E22" i="39"/>
  <c r="K16" i="39"/>
  <c r="I16" i="39"/>
  <c r="G16" i="39"/>
  <c r="E16" i="39"/>
  <c r="K10" i="39"/>
  <c r="I10" i="39"/>
  <c r="G10" i="39"/>
  <c r="F10" i="39"/>
  <c r="E10" i="39"/>
  <c r="X34" i="21" l="1"/>
  <c r="X29" i="21" s="1"/>
  <c r="V34" i="21"/>
  <c r="V29" i="21" s="1"/>
  <c r="P43" i="21"/>
  <c r="X28" i="21"/>
  <c r="N44" i="21"/>
  <c r="X33" i="21"/>
  <c r="D22" i="24"/>
  <c r="M105" i="24"/>
  <c r="N105" i="24" s="1"/>
  <c r="L110" i="24"/>
  <c r="E80" i="24"/>
  <c r="E21" i="24"/>
  <c r="F34" i="24"/>
  <c r="J15" i="24"/>
  <c r="I78" i="24"/>
  <c r="I12" i="24"/>
  <c r="E135" i="36"/>
  <c r="F55" i="24"/>
  <c r="P155" i="24"/>
  <c r="P191" i="24" s="1"/>
  <c r="P104" i="24"/>
  <c r="F100" i="24"/>
  <c r="G43" i="24"/>
  <c r="G56" i="24"/>
  <c r="K21" i="50"/>
  <c r="J22" i="50"/>
  <c r="H155" i="24"/>
  <c r="H191" i="24" s="1"/>
  <c r="E113" i="24"/>
  <c r="H110" i="24"/>
  <c r="E85" i="24"/>
  <c r="D64" i="24"/>
  <c r="D187" i="36"/>
  <c r="F30" i="24"/>
  <c r="H33" i="24"/>
  <c r="G102" i="24"/>
  <c r="M19" i="21"/>
  <c r="B133" i="36"/>
  <c r="R155" i="24"/>
  <c r="R191" i="24" s="1"/>
  <c r="F11" i="24"/>
  <c r="I16" i="24"/>
  <c r="H77" i="24"/>
  <c r="J76" i="50"/>
  <c r="K64" i="50"/>
  <c r="J61" i="50"/>
  <c r="J63" i="50" s="1"/>
  <c r="J66" i="50" s="1"/>
  <c r="J68" i="50" s="1"/>
  <c r="J70" i="50" s="1"/>
  <c r="J72" i="50" s="1"/>
  <c r="I60" i="50"/>
  <c r="I110" i="24"/>
  <c r="C46" i="50"/>
  <c r="C47" i="50"/>
  <c r="C49" i="50"/>
  <c r="S60" i="50"/>
  <c r="T92" i="50"/>
  <c r="F110" i="24"/>
  <c r="M155" i="24"/>
  <c r="M191" i="24" s="1"/>
  <c r="M104" i="24"/>
  <c r="AC42" i="50"/>
  <c r="C50" i="50"/>
  <c r="F59" i="24"/>
  <c r="G110" i="24"/>
  <c r="X155" i="24"/>
  <c r="X191" i="24" s="1"/>
  <c r="X104" i="24"/>
  <c r="R8" i="50"/>
  <c r="S8" i="50" s="1"/>
  <c r="T8" i="50" s="1"/>
  <c r="U8" i="50" s="1"/>
  <c r="V8" i="50" s="1"/>
  <c r="W8" i="50" s="1"/>
  <c r="X8" i="50" s="1"/>
  <c r="Y8" i="50" s="1"/>
  <c r="Z8" i="50" s="1"/>
  <c r="AA8" i="50" s="1"/>
  <c r="AB8" i="50" s="1"/>
  <c r="AC8" i="50" s="1"/>
  <c r="AD8" i="50" s="1"/>
  <c r="AE8" i="50" s="1"/>
  <c r="AF8" i="50" s="1"/>
  <c r="AG8" i="50" s="1"/>
  <c r="AH8" i="50" s="1"/>
  <c r="AI8" i="50" s="1"/>
  <c r="AJ8" i="50" s="1"/>
  <c r="AK8" i="50" s="1"/>
  <c r="Q7" i="50"/>
  <c r="Q61" i="50" s="1"/>
  <c r="H16" i="50"/>
  <c r="H19" i="50" s="1"/>
  <c r="G15" i="50"/>
  <c r="G16" i="50" s="1"/>
  <c r="G19" i="50" s="1"/>
  <c r="G18" i="43"/>
  <c r="I17" i="24"/>
  <c r="E86" i="24"/>
  <c r="F48" i="24"/>
  <c r="F86" i="24" s="1"/>
  <c r="J94" i="24"/>
  <c r="F141" i="24"/>
  <c r="F190" i="24" s="1"/>
  <c r="Y155" i="24"/>
  <c r="Y191" i="24" s="1"/>
  <c r="Y104" i="24"/>
  <c r="J23" i="50"/>
  <c r="I24" i="50"/>
  <c r="T48" i="50"/>
  <c r="F81" i="24"/>
  <c r="G81" i="24" s="1"/>
  <c r="H81" i="24" s="1"/>
  <c r="I81" i="24" s="1"/>
  <c r="J81" i="24" s="1"/>
  <c r="K81" i="24" s="1"/>
  <c r="L81" i="24" s="1"/>
  <c r="M81" i="24" s="1"/>
  <c r="N81" i="24" s="1"/>
  <c r="O81" i="24" s="1"/>
  <c r="P81" i="24" s="1"/>
  <c r="Q81" i="24" s="1"/>
  <c r="R81" i="24" s="1"/>
  <c r="S81" i="24" s="1"/>
  <c r="T81" i="24" s="1"/>
  <c r="U81" i="24" s="1"/>
  <c r="V81" i="24" s="1"/>
  <c r="W81" i="24" s="1"/>
  <c r="X81" i="24" s="1"/>
  <c r="Y81" i="24" s="1"/>
  <c r="E195" i="24"/>
  <c r="F187" i="24" s="1"/>
  <c r="J27" i="50"/>
  <c r="K26" i="50"/>
  <c r="I29" i="50"/>
  <c r="J28" i="50"/>
  <c r="V28" i="21"/>
  <c r="V33" i="21"/>
  <c r="F18" i="24"/>
  <c r="E71" i="24"/>
  <c r="J110" i="24"/>
  <c r="K110" i="24"/>
  <c r="O16" i="50"/>
  <c r="O19" i="50" s="1"/>
  <c r="P15" i="50"/>
  <c r="I27" i="50"/>
  <c r="K61" i="50"/>
  <c r="K63" i="50" s="1"/>
  <c r="K66" i="50" s="1"/>
  <c r="K68" i="50" s="1"/>
  <c r="K70" i="50" s="1"/>
  <c r="K72" i="50" s="1"/>
  <c r="M104" i="50"/>
  <c r="Y123" i="50"/>
  <c r="K155" i="24"/>
  <c r="K191" i="24" s="1"/>
  <c r="W104" i="24"/>
  <c r="AD86" i="50"/>
  <c r="N24" i="37"/>
  <c r="M34" i="37"/>
  <c r="M28" i="37"/>
  <c r="H46" i="37"/>
  <c r="H45" i="37"/>
  <c r="I87" i="37"/>
  <c r="E40" i="24" s="1"/>
  <c r="J68" i="37"/>
  <c r="J76" i="37" s="1"/>
  <c r="K97" i="37"/>
  <c r="J54" i="37"/>
  <c r="K51" i="37"/>
  <c r="H118" i="37"/>
  <c r="I95" i="37" s="1"/>
  <c r="I102" i="37" s="1"/>
  <c r="I118" i="37" s="1"/>
  <c r="M78" i="37"/>
  <c r="J48" i="37"/>
  <c r="J77" i="37"/>
  <c r="K103" i="37"/>
  <c r="L17" i="37"/>
  <c r="L103" i="37"/>
  <c r="M105" i="37"/>
  <c r="I90" i="37"/>
  <c r="J90" i="37" s="1"/>
  <c r="K90" i="37" s="1"/>
  <c r="L90" i="37" s="1"/>
  <c r="M90" i="37" s="1"/>
  <c r="N90" i="37" s="1"/>
  <c r="O90" i="37" s="1"/>
  <c r="P90" i="37" s="1"/>
  <c r="Q90" i="37" s="1"/>
  <c r="R90" i="37" s="1"/>
  <c r="S90" i="37" s="1"/>
  <c r="T90" i="37" s="1"/>
  <c r="U90" i="37" s="1"/>
  <c r="V90" i="37" s="1"/>
  <c r="W90" i="37" s="1"/>
  <c r="X90" i="37" s="1"/>
  <c r="Y90" i="37" s="1"/>
  <c r="Z90" i="37" s="1"/>
  <c r="AA90" i="37" s="1"/>
  <c r="AB90" i="37" s="1"/>
  <c r="AC90" i="37" s="1"/>
  <c r="I77" i="37"/>
  <c r="I84" i="37" s="1"/>
  <c r="H142" i="37"/>
  <c r="I128" i="37" s="1"/>
  <c r="I134" i="37" s="1"/>
  <c r="I142" i="37" s="1"/>
  <c r="J79" i="37"/>
  <c r="K136" i="37"/>
  <c r="J135" i="37"/>
  <c r="J87" i="37" l="1"/>
  <c r="F40" i="24" s="1"/>
  <c r="K68" i="37"/>
  <c r="K76" i="37" s="1"/>
  <c r="J84" i="37"/>
  <c r="J12" i="24"/>
  <c r="K12" i="24" s="1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F135" i="36"/>
  <c r="G11" i="24"/>
  <c r="C133" i="36"/>
  <c r="F85" i="24"/>
  <c r="G30" i="24"/>
  <c r="AE86" i="50"/>
  <c r="G59" i="24"/>
  <c r="K94" i="24"/>
  <c r="G27" i="50"/>
  <c r="G29" i="50" s="1"/>
  <c r="G22" i="50"/>
  <c r="G24" i="50" s="1"/>
  <c r="N78" i="37"/>
  <c r="Z123" i="50"/>
  <c r="I77" i="24"/>
  <c r="J16" i="24"/>
  <c r="I33" i="24"/>
  <c r="H102" i="24"/>
  <c r="N105" i="37"/>
  <c r="M103" i="37"/>
  <c r="I75" i="24"/>
  <c r="M11" i="21" s="1"/>
  <c r="E96" i="24"/>
  <c r="J95" i="37"/>
  <c r="J102" i="37" s="1"/>
  <c r="J118" i="37" s="1"/>
  <c r="I120" i="37"/>
  <c r="E42" i="24" s="1"/>
  <c r="M17" i="37"/>
  <c r="N17" i="37"/>
  <c r="O17" i="37"/>
  <c r="N28" i="37"/>
  <c r="I61" i="50"/>
  <c r="H60" i="50"/>
  <c r="K22" i="50"/>
  <c r="L21" i="50"/>
  <c r="J78" i="24"/>
  <c r="K15" i="24"/>
  <c r="O105" i="24"/>
  <c r="N110" i="24"/>
  <c r="K87" i="50"/>
  <c r="K90" i="50" s="1"/>
  <c r="G18" i="24"/>
  <c r="F82" i="24"/>
  <c r="J29" i="50"/>
  <c r="K28" i="50"/>
  <c r="H8" i="37"/>
  <c r="I8" i="37" s="1"/>
  <c r="J8" i="37" s="1"/>
  <c r="K8" i="37" s="1"/>
  <c r="L8" i="37" s="1"/>
  <c r="M8" i="37" s="1"/>
  <c r="N8" i="37" s="1"/>
  <c r="O8" i="37" s="1"/>
  <c r="P8" i="37" s="1"/>
  <c r="Q8" i="37" s="1"/>
  <c r="R8" i="37" s="1"/>
  <c r="S8" i="37" s="1"/>
  <c r="T8" i="37" s="1"/>
  <c r="U8" i="37" s="1"/>
  <c r="V8" i="37" s="1"/>
  <c r="W8" i="37" s="1"/>
  <c r="X8" i="37" s="1"/>
  <c r="Y8" i="37" s="1"/>
  <c r="Z8" i="37" s="1"/>
  <c r="AA8" i="37" s="1"/>
  <c r="AB8" i="37" s="1"/>
  <c r="AC8" i="37" s="1"/>
  <c r="H6" i="21"/>
  <c r="H8" i="21" s="1"/>
  <c r="H9" i="21" s="1"/>
  <c r="H14" i="21" s="1"/>
  <c r="D24" i="24"/>
  <c r="D70" i="24"/>
  <c r="H27" i="50"/>
  <c r="H29" i="50" s="1"/>
  <c r="H22" i="50"/>
  <c r="H24" i="50" s="1"/>
  <c r="I19" i="24"/>
  <c r="I80" i="24" s="1"/>
  <c r="R7" i="50"/>
  <c r="Q5" i="50"/>
  <c r="Q6" i="50" s="1"/>
  <c r="Q105" i="50"/>
  <c r="Q107" i="50" s="1"/>
  <c r="Q110" i="50" s="1"/>
  <c r="U48" i="50"/>
  <c r="K76" i="50"/>
  <c r="K75" i="50" s="1"/>
  <c r="K77" i="50" s="1"/>
  <c r="K79" i="50" s="1"/>
  <c r="K81" i="50" s="1"/>
  <c r="K83" i="50" s="1"/>
  <c r="L64" i="50"/>
  <c r="H56" i="24"/>
  <c r="F57" i="24"/>
  <c r="G55" i="24"/>
  <c r="K27" i="50"/>
  <c r="L26" i="50"/>
  <c r="I31" i="50"/>
  <c r="I34" i="50" s="1"/>
  <c r="I37" i="50" s="1"/>
  <c r="I40" i="50" s="1"/>
  <c r="I43" i="50" s="1"/>
  <c r="I46" i="50" s="1"/>
  <c r="AD42" i="50"/>
  <c r="T60" i="50"/>
  <c r="J75" i="50"/>
  <c r="J77" i="50" s="1"/>
  <c r="J79" i="50" s="1"/>
  <c r="J81" i="50" s="1"/>
  <c r="J83" i="50" s="1"/>
  <c r="G100" i="24"/>
  <c r="H43" i="24"/>
  <c r="G34" i="24"/>
  <c r="K135" i="37"/>
  <c r="L136" i="37"/>
  <c r="O24" i="37"/>
  <c r="N34" i="37"/>
  <c r="K48" i="37"/>
  <c r="J49" i="37"/>
  <c r="J128" i="37"/>
  <c r="J134" i="37" s="1"/>
  <c r="J142" i="37" s="1"/>
  <c r="I144" i="37"/>
  <c r="E41" i="24" s="1"/>
  <c r="K23" i="50"/>
  <c r="J24" i="50"/>
  <c r="J31" i="50" s="1"/>
  <c r="J34" i="50" s="1"/>
  <c r="J37" i="50" s="1"/>
  <c r="J40" i="50" s="1"/>
  <c r="J43" i="50" s="1"/>
  <c r="J46" i="50" s="1"/>
  <c r="I79" i="24"/>
  <c r="J17" i="24"/>
  <c r="M105" i="50"/>
  <c r="M107" i="50" s="1"/>
  <c r="M110" i="50" s="1"/>
  <c r="M113" i="50" s="1"/>
  <c r="L104" i="50"/>
  <c r="G48" i="24"/>
  <c r="G86" i="24" s="1"/>
  <c r="U92" i="50"/>
  <c r="J87" i="50"/>
  <c r="J90" i="50" s="1"/>
  <c r="M110" i="37"/>
  <c r="N104" i="37" s="1"/>
  <c r="N110" i="37" s="1"/>
  <c r="O104" i="37" s="1"/>
  <c r="K79" i="37"/>
  <c r="F73" i="24"/>
  <c r="J10" i="21" s="1"/>
  <c r="L51" i="37"/>
  <c r="K54" i="37"/>
  <c r="K96" i="37"/>
  <c r="L97" i="37"/>
  <c r="G97" i="24"/>
  <c r="P16" i="50"/>
  <c r="P19" i="50" s="1"/>
  <c r="Q15" i="50"/>
  <c r="F195" i="24"/>
  <c r="G187" i="24" s="1"/>
  <c r="G195" i="24" s="1"/>
  <c r="H187" i="24" s="1"/>
  <c r="H195" i="24" s="1"/>
  <c r="I187" i="24" s="1"/>
  <c r="I195" i="24" s="1"/>
  <c r="J187" i="24" s="1"/>
  <c r="J195" i="24" s="1"/>
  <c r="K187" i="24" s="1"/>
  <c r="K195" i="24" s="1"/>
  <c r="L187" i="24" s="1"/>
  <c r="L195" i="24" s="1"/>
  <c r="M187" i="24" s="1"/>
  <c r="M195" i="24" s="1"/>
  <c r="N187" i="24" s="1"/>
  <c r="N195" i="24" s="1"/>
  <c r="O187" i="24" s="1"/>
  <c r="O195" i="24" s="1"/>
  <c r="P187" i="24" s="1"/>
  <c r="P195" i="24" s="1"/>
  <c r="Q187" i="24" s="1"/>
  <c r="Q195" i="24" s="1"/>
  <c r="R187" i="24" s="1"/>
  <c r="R195" i="24" s="1"/>
  <c r="S187" i="24" s="1"/>
  <c r="S195" i="24" s="1"/>
  <c r="T187" i="24" s="1"/>
  <c r="T195" i="24" s="1"/>
  <c r="U187" i="24" s="1"/>
  <c r="U195" i="24" s="1"/>
  <c r="V187" i="24" s="1"/>
  <c r="V195" i="24" s="1"/>
  <c r="W187" i="24" s="1"/>
  <c r="W195" i="24" s="1"/>
  <c r="X187" i="24" s="1"/>
  <c r="X195" i="24" s="1"/>
  <c r="Y187" i="24" s="1"/>
  <c r="Y195" i="24" s="1"/>
  <c r="M110" i="24"/>
  <c r="I7" i="21"/>
  <c r="Q117" i="50" l="1"/>
  <c r="Q121" i="50" s="1"/>
  <c r="Q113" i="50"/>
  <c r="H61" i="50"/>
  <c r="G60" i="50"/>
  <c r="G61" i="50" s="1"/>
  <c r="Q16" i="50"/>
  <c r="Q19" i="50" s="1"/>
  <c r="R15" i="50"/>
  <c r="AE42" i="50"/>
  <c r="I56" i="24"/>
  <c r="J56" i="24" s="1"/>
  <c r="K56" i="24" s="1"/>
  <c r="L56" i="24" s="1"/>
  <c r="M56" i="24" s="1"/>
  <c r="N56" i="24" s="1"/>
  <c r="O56" i="24" s="1"/>
  <c r="P56" i="24" s="1"/>
  <c r="Q56" i="24" s="1"/>
  <c r="R56" i="24" s="1"/>
  <c r="S56" i="24" s="1"/>
  <c r="T56" i="24" s="1"/>
  <c r="U56" i="24" s="1"/>
  <c r="V56" i="24" s="1"/>
  <c r="W56" i="24" s="1"/>
  <c r="X56" i="24" s="1"/>
  <c r="Y56" i="24" s="1"/>
  <c r="G82" i="24"/>
  <c r="H18" i="24"/>
  <c r="I63" i="50"/>
  <c r="I66" i="50" s="1"/>
  <c r="I68" i="50" s="1"/>
  <c r="I70" i="50" s="1"/>
  <c r="I72" i="50" s="1"/>
  <c r="I75" i="50"/>
  <c r="I77" i="50" s="1"/>
  <c r="I79" i="50" s="1"/>
  <c r="I81" i="50" s="1"/>
  <c r="I83" i="50" s="1"/>
  <c r="J120" i="37"/>
  <c r="F42" i="24" s="1"/>
  <c r="K95" i="37"/>
  <c r="K102" i="37" s="1"/>
  <c r="K118" i="37" s="1"/>
  <c r="J33" i="24"/>
  <c r="I102" i="24"/>
  <c r="L94" i="24"/>
  <c r="K128" i="37"/>
  <c r="K134" i="37" s="1"/>
  <c r="K142" i="37" s="1"/>
  <c r="J144" i="37"/>
  <c r="F41" i="24" s="1"/>
  <c r="L135" i="37"/>
  <c r="M136" i="37"/>
  <c r="R5" i="50"/>
  <c r="R6" i="50" s="1"/>
  <c r="R105" i="50"/>
  <c r="R107" i="50" s="1"/>
  <c r="R110" i="50" s="1"/>
  <c r="S7" i="50"/>
  <c r="R3" i="50"/>
  <c r="R61" i="50"/>
  <c r="J77" i="24"/>
  <c r="K16" i="24"/>
  <c r="H11" i="24"/>
  <c r="D133" i="36"/>
  <c r="P105" i="24"/>
  <c r="O110" i="24"/>
  <c r="I13" i="21"/>
  <c r="B136" i="36" s="1"/>
  <c r="I44" i="37"/>
  <c r="E103" i="24"/>
  <c r="AA123" i="50"/>
  <c r="AF86" i="50"/>
  <c r="M26" i="50"/>
  <c r="L27" i="50"/>
  <c r="H31" i="50"/>
  <c r="H34" i="50" s="1"/>
  <c r="H37" i="50" s="1"/>
  <c r="H40" i="50" s="1"/>
  <c r="H43" i="50" s="1"/>
  <c r="H46" i="50" s="1"/>
  <c r="D25" i="24"/>
  <c r="K78" i="24"/>
  <c r="L15" i="24"/>
  <c r="O28" i="37"/>
  <c r="H59" i="24"/>
  <c r="L68" i="37"/>
  <c r="L76" i="37" s="1"/>
  <c r="K84" i="37"/>
  <c r="G27" i="43"/>
  <c r="L48" i="37"/>
  <c r="K49" i="37"/>
  <c r="L96" i="37"/>
  <c r="M97" i="37"/>
  <c r="H97" i="24"/>
  <c r="V92" i="50"/>
  <c r="J79" i="24"/>
  <c r="K17" i="24"/>
  <c r="E46" i="24"/>
  <c r="H30" i="24"/>
  <c r="G85" i="24"/>
  <c r="F96" i="24"/>
  <c r="C110" i="36"/>
  <c r="L54" i="37"/>
  <c r="M51" i="37"/>
  <c r="J137" i="50"/>
  <c r="R17" i="37"/>
  <c r="O78" i="37"/>
  <c r="L76" i="50"/>
  <c r="L75" i="50" s="1"/>
  <c r="L77" i="50" s="1"/>
  <c r="L79" i="50" s="1"/>
  <c r="L81" i="50" s="1"/>
  <c r="L83" i="50" s="1"/>
  <c r="M64" i="50"/>
  <c r="L63" i="50"/>
  <c r="L66" i="50" s="1"/>
  <c r="L68" i="50" s="1"/>
  <c r="L70" i="50" s="1"/>
  <c r="L72" i="50" s="1"/>
  <c r="L87" i="50" s="1"/>
  <c r="L90" i="50" s="1"/>
  <c r="H48" i="24"/>
  <c r="K24" i="50"/>
  <c r="L23" i="50"/>
  <c r="J19" i="24"/>
  <c r="J80" i="24" s="1"/>
  <c r="H55" i="24"/>
  <c r="G57" i="24"/>
  <c r="L28" i="50"/>
  <c r="K29" i="50"/>
  <c r="L22" i="50"/>
  <c r="M21" i="50"/>
  <c r="Q17" i="37"/>
  <c r="H34" i="24"/>
  <c r="I34" i="24" s="1"/>
  <c r="J34" i="24" s="1"/>
  <c r="K34" i="24" s="1"/>
  <c r="L34" i="24" s="1"/>
  <c r="M34" i="24" s="1"/>
  <c r="N34" i="24" s="1"/>
  <c r="O34" i="24" s="1"/>
  <c r="P34" i="24" s="1"/>
  <c r="Q34" i="24" s="1"/>
  <c r="R34" i="24" s="1"/>
  <c r="S34" i="24" s="1"/>
  <c r="T34" i="24" s="1"/>
  <c r="U34" i="24" s="1"/>
  <c r="V34" i="24" s="1"/>
  <c r="W34" i="24" s="1"/>
  <c r="X34" i="24" s="1"/>
  <c r="Y34" i="24" s="1"/>
  <c r="H100" i="24"/>
  <c r="I43" i="24"/>
  <c r="V48" i="50"/>
  <c r="L79" i="37"/>
  <c r="G73" i="24"/>
  <c r="K10" i="21" s="1"/>
  <c r="K77" i="37"/>
  <c r="K87" i="37" s="1"/>
  <c r="G40" i="24" s="1"/>
  <c r="L105" i="50"/>
  <c r="L107" i="50" s="1"/>
  <c r="L110" i="50" s="1"/>
  <c r="L113" i="50" s="1"/>
  <c r="K104" i="50"/>
  <c r="O34" i="37"/>
  <c r="P24" i="37"/>
  <c r="U60" i="50"/>
  <c r="Q3" i="50"/>
  <c r="Q4" i="50" s="1"/>
  <c r="P17" i="37"/>
  <c r="O105" i="37"/>
  <c r="N103" i="37"/>
  <c r="J75" i="24"/>
  <c r="N11" i="21" s="1"/>
  <c r="G31" i="50"/>
  <c r="G34" i="50" s="1"/>
  <c r="G37" i="50" s="1"/>
  <c r="G40" i="50" s="1"/>
  <c r="G43" i="50" s="1"/>
  <c r="G46" i="50" s="1"/>
  <c r="G96" i="24" l="1"/>
  <c r="K120" i="37"/>
  <c r="G42" i="24" s="1"/>
  <c r="L95" i="37"/>
  <c r="L102" i="37" s="1"/>
  <c r="L118" i="37" s="1"/>
  <c r="R16" i="50"/>
  <c r="R19" i="50" s="1"/>
  <c r="S15" i="50"/>
  <c r="AF42" i="50"/>
  <c r="N97" i="37"/>
  <c r="M96" i="37"/>
  <c r="I97" i="24"/>
  <c r="AG86" i="50"/>
  <c r="H27" i="43"/>
  <c r="I30" i="24"/>
  <c r="H85" i="24"/>
  <c r="J27" i="43"/>
  <c r="J104" i="50"/>
  <c r="K105" i="50"/>
  <c r="K107" i="50" s="1"/>
  <c r="K110" i="50" s="1"/>
  <c r="K113" i="50" s="1"/>
  <c r="W48" i="50"/>
  <c r="Q105" i="24"/>
  <c r="P110" i="24"/>
  <c r="L128" i="37"/>
  <c r="L134" i="37" s="1"/>
  <c r="L142" i="37" s="1"/>
  <c r="K144" i="37"/>
  <c r="G41" i="24" s="1"/>
  <c r="I87" i="50"/>
  <c r="I90" i="50" s="1"/>
  <c r="I137" i="50" s="1"/>
  <c r="Q127" i="50"/>
  <c r="Q128" i="50"/>
  <c r="Q129" i="50" s="1"/>
  <c r="H57" i="24"/>
  <c r="I55" i="24"/>
  <c r="I27" i="43"/>
  <c r="AB123" i="50"/>
  <c r="I11" i="24"/>
  <c r="E133" i="36"/>
  <c r="R4" i="50"/>
  <c r="M94" i="24"/>
  <c r="H82" i="24"/>
  <c r="I18" i="24"/>
  <c r="N51" i="37"/>
  <c r="M54" i="37"/>
  <c r="M15" i="24"/>
  <c r="L78" i="24"/>
  <c r="M68" i="37"/>
  <c r="M76" i="37" s="1"/>
  <c r="N26" i="50"/>
  <c r="M27" i="50"/>
  <c r="I59" i="24"/>
  <c r="B78" i="36"/>
  <c r="D27" i="24"/>
  <c r="D181" i="24" s="1"/>
  <c r="E172" i="24" s="1"/>
  <c r="E181" i="24" s="1"/>
  <c r="B87" i="36"/>
  <c r="B89" i="36" s="1"/>
  <c r="S105" i="50"/>
  <c r="S107" i="50" s="1"/>
  <c r="S110" i="50" s="1"/>
  <c r="T7" i="50"/>
  <c r="S5" i="50"/>
  <c r="S6" i="50" s="1"/>
  <c r="S61" i="50"/>
  <c r="W92" i="50"/>
  <c r="N136" i="37"/>
  <c r="M135" i="37"/>
  <c r="I48" i="24"/>
  <c r="I86" i="24" s="1"/>
  <c r="P78" i="37"/>
  <c r="O103" i="37"/>
  <c r="P105" i="37"/>
  <c r="K75" i="24"/>
  <c r="O11" i="21" s="1"/>
  <c r="V60" i="50"/>
  <c r="P34" i="37"/>
  <c r="Q24" i="37"/>
  <c r="M22" i="50"/>
  <c r="N21" i="50"/>
  <c r="L24" i="50"/>
  <c r="L31" i="50" s="1"/>
  <c r="L34" i="50" s="1"/>
  <c r="L37" i="50" s="1"/>
  <c r="L40" i="50" s="1"/>
  <c r="L43" i="50" s="1"/>
  <c r="L46" i="50" s="1"/>
  <c r="L137" i="50" s="1"/>
  <c r="M23" i="50"/>
  <c r="R113" i="50"/>
  <c r="R117" i="50"/>
  <c r="R121" i="50" s="1"/>
  <c r="S17" i="37"/>
  <c r="K19" i="24"/>
  <c r="K80" i="24" s="1"/>
  <c r="M79" i="37"/>
  <c r="H73" i="24"/>
  <c r="L10" i="21" s="1"/>
  <c r="L77" i="37"/>
  <c r="L87" i="37" s="1"/>
  <c r="H40" i="24" s="1"/>
  <c r="K31" i="50"/>
  <c r="K34" i="50" s="1"/>
  <c r="K37" i="50" s="1"/>
  <c r="K40" i="50" s="1"/>
  <c r="K43" i="50" s="1"/>
  <c r="K46" i="50" s="1"/>
  <c r="K137" i="50" s="1"/>
  <c r="F46" i="24"/>
  <c r="K79" i="24"/>
  <c r="L17" i="24"/>
  <c r="G10" i="43"/>
  <c r="I45" i="37"/>
  <c r="I12" i="37"/>
  <c r="I13" i="37"/>
  <c r="J13" i="37" s="1"/>
  <c r="K77" i="24"/>
  <c r="L16" i="24"/>
  <c r="J102" i="24"/>
  <c r="K33" i="24"/>
  <c r="I100" i="24"/>
  <c r="J43" i="24"/>
  <c r="M76" i="50"/>
  <c r="M75" i="50" s="1"/>
  <c r="M77" i="50" s="1"/>
  <c r="M79" i="50" s="1"/>
  <c r="M81" i="50" s="1"/>
  <c r="M83" i="50" s="1"/>
  <c r="N64" i="50"/>
  <c r="M63" i="50"/>
  <c r="M66" i="50" s="1"/>
  <c r="M68" i="50" s="1"/>
  <c r="M70" i="50" s="1"/>
  <c r="M72" i="50" s="1"/>
  <c r="M87" i="50" s="1"/>
  <c r="M90" i="50" s="1"/>
  <c r="J13" i="21"/>
  <c r="C136" i="36" s="1"/>
  <c r="J44" i="37"/>
  <c r="F103" i="24"/>
  <c r="G63" i="50"/>
  <c r="G66" i="50" s="1"/>
  <c r="G68" i="50" s="1"/>
  <c r="G70" i="50" s="1"/>
  <c r="G72" i="50" s="1"/>
  <c r="G75" i="50"/>
  <c r="G77" i="50" s="1"/>
  <c r="G79" i="50" s="1"/>
  <c r="G81" i="50" s="1"/>
  <c r="G83" i="50" s="1"/>
  <c r="M28" i="50"/>
  <c r="L29" i="50"/>
  <c r="H86" i="24"/>
  <c r="M48" i="37"/>
  <c r="L49" i="37"/>
  <c r="P28" i="37"/>
  <c r="O110" i="37"/>
  <c r="P104" i="37" s="1"/>
  <c r="H63" i="50"/>
  <c r="H66" i="50" s="1"/>
  <c r="H68" i="50" s="1"/>
  <c r="H70" i="50" s="1"/>
  <c r="H72" i="50" s="1"/>
  <c r="H75" i="50"/>
  <c r="H77" i="50" s="1"/>
  <c r="H79" i="50" s="1"/>
  <c r="H81" i="50" s="1"/>
  <c r="H83" i="50" s="1"/>
  <c r="H96" i="24" l="1"/>
  <c r="I104" i="50"/>
  <c r="J105" i="50"/>
  <c r="J107" i="50" s="1"/>
  <c r="J110" i="50" s="1"/>
  <c r="J113" i="50" s="1"/>
  <c r="AG42" i="50"/>
  <c r="L77" i="24"/>
  <c r="M16" i="24"/>
  <c r="M49" i="37"/>
  <c r="N48" i="37"/>
  <c r="G20" i="43"/>
  <c r="R127" i="50"/>
  <c r="R128" i="50"/>
  <c r="R129" i="50" s="1"/>
  <c r="F172" i="24"/>
  <c r="F181" i="24" s="1"/>
  <c r="E27" i="24"/>
  <c r="O51" i="37"/>
  <c r="N54" i="37"/>
  <c r="P103" i="37"/>
  <c r="Q105" i="37"/>
  <c r="L75" i="24"/>
  <c r="P11" i="21" s="1"/>
  <c r="O64" i="50"/>
  <c r="N76" i="50"/>
  <c r="N75" i="50" s="1"/>
  <c r="N77" i="50" s="1"/>
  <c r="N79" i="50" s="1"/>
  <c r="N81" i="50" s="1"/>
  <c r="N83" i="50" s="1"/>
  <c r="N63" i="50"/>
  <c r="N66" i="50" s="1"/>
  <c r="N68" i="50" s="1"/>
  <c r="N70" i="50" s="1"/>
  <c r="N72" i="50" s="1"/>
  <c r="N22" i="50"/>
  <c r="O21" i="50"/>
  <c r="T17" i="37"/>
  <c r="X92" i="50"/>
  <c r="S3" i="50"/>
  <c r="S4" i="50" s="1"/>
  <c r="J59" i="24"/>
  <c r="J11" i="24"/>
  <c r="K11" i="24" s="1"/>
  <c r="L11" i="24" s="1"/>
  <c r="M11" i="24" s="1"/>
  <c r="N11" i="24" s="1"/>
  <c r="O11" i="24" s="1"/>
  <c r="P11" i="24" s="1"/>
  <c r="Q11" i="24" s="1"/>
  <c r="R11" i="24" s="1"/>
  <c r="S11" i="24" s="1"/>
  <c r="T11" i="24" s="1"/>
  <c r="U11" i="24" s="1"/>
  <c r="V11" i="24" s="1"/>
  <c r="W11" i="24" s="1"/>
  <c r="X11" i="24" s="1"/>
  <c r="Y11" i="24" s="1"/>
  <c r="F133" i="36"/>
  <c r="L144" i="37"/>
  <c r="H41" i="24" s="1"/>
  <c r="H46" i="24" s="1"/>
  <c r="M128" i="37"/>
  <c r="M134" i="37" s="1"/>
  <c r="M142" i="37" s="1"/>
  <c r="O97" i="37"/>
  <c r="N96" i="37"/>
  <c r="J97" i="24"/>
  <c r="S16" i="50"/>
  <c r="S19" i="50" s="1"/>
  <c r="T15" i="50"/>
  <c r="L79" i="24"/>
  <c r="M17" i="24"/>
  <c r="T105" i="50"/>
  <c r="T107" i="50" s="1"/>
  <c r="T110" i="50" s="1"/>
  <c r="U7" i="50"/>
  <c r="T5" i="50"/>
  <c r="T6" i="50" s="1"/>
  <c r="T61" i="50"/>
  <c r="AC123" i="50"/>
  <c r="I57" i="24"/>
  <c r="J55" i="24"/>
  <c r="G87" i="50"/>
  <c r="G90" i="50" s="1"/>
  <c r="G137" i="50" s="1"/>
  <c r="J100" i="24"/>
  <c r="K43" i="24"/>
  <c r="K13" i="37"/>
  <c r="Q78" i="37"/>
  <c r="S113" i="50"/>
  <c r="S117" i="50"/>
  <c r="S121" i="50" s="1"/>
  <c r="J30" i="24"/>
  <c r="I85" i="24"/>
  <c r="L120" i="37"/>
  <c r="H42" i="24" s="1"/>
  <c r="M95" i="37"/>
  <c r="M102" i="37" s="1"/>
  <c r="M118" i="37" s="1"/>
  <c r="U17" i="37"/>
  <c r="N28" i="50"/>
  <c r="M29" i="50"/>
  <c r="H87" i="50"/>
  <c r="H90" i="50" s="1"/>
  <c r="H137" i="50" s="1"/>
  <c r="J45" i="37"/>
  <c r="P110" i="37"/>
  <c r="Q104" i="37" s="1"/>
  <c r="Q110" i="37" s="1"/>
  <c r="R104" i="37" s="1"/>
  <c r="J12" i="37"/>
  <c r="J21" i="37"/>
  <c r="J22" i="37" s="1"/>
  <c r="N79" i="37"/>
  <c r="I73" i="24"/>
  <c r="M10" i="21" s="1"/>
  <c r="M77" i="37"/>
  <c r="M84" i="37" s="1"/>
  <c r="N68" i="37"/>
  <c r="N76" i="37" s="1"/>
  <c r="J18" i="24"/>
  <c r="I82" i="24"/>
  <c r="X48" i="50"/>
  <c r="J48" i="24"/>
  <c r="K27" i="43"/>
  <c r="N27" i="50"/>
  <c r="O26" i="50"/>
  <c r="R105" i="24"/>
  <c r="Q110" i="24"/>
  <c r="Q28" i="37"/>
  <c r="K102" i="24"/>
  <c r="L33" i="24"/>
  <c r="M24" i="50"/>
  <c r="M31" i="50" s="1"/>
  <c r="M34" i="50" s="1"/>
  <c r="M37" i="50" s="1"/>
  <c r="M40" i="50" s="1"/>
  <c r="M43" i="50" s="1"/>
  <c r="M46" i="50" s="1"/>
  <c r="M137" i="50" s="1"/>
  <c r="N23" i="50"/>
  <c r="Q34" i="37"/>
  <c r="R24" i="37"/>
  <c r="W60" i="50"/>
  <c r="N135" i="37"/>
  <c r="O136" i="37"/>
  <c r="L84" i="37"/>
  <c r="G46" i="24"/>
  <c r="L19" i="24"/>
  <c r="L80" i="24" s="1"/>
  <c r="N15" i="24"/>
  <c r="M78" i="24"/>
  <c r="N94" i="24"/>
  <c r="AH86" i="50"/>
  <c r="K13" i="21"/>
  <c r="D136" i="36" s="1"/>
  <c r="G103" i="24"/>
  <c r="K44" i="37"/>
  <c r="J82" i="24" l="1"/>
  <c r="K18" i="24"/>
  <c r="R34" i="37"/>
  <c r="S24" i="37"/>
  <c r="K48" i="24"/>
  <c r="G172" i="24"/>
  <c r="G181" i="24" s="1"/>
  <c r="F27" i="24"/>
  <c r="G26" i="21" s="1"/>
  <c r="H10" i="43"/>
  <c r="O15" i="24"/>
  <c r="N78" i="24"/>
  <c r="Y48" i="50"/>
  <c r="L27" i="43"/>
  <c r="S105" i="24"/>
  <c r="R110" i="24"/>
  <c r="O79" i="37"/>
  <c r="J73" i="24"/>
  <c r="N10" i="21" s="1"/>
  <c r="N77" i="37"/>
  <c r="U105" i="50"/>
  <c r="U107" i="50" s="1"/>
  <c r="U110" i="50" s="1"/>
  <c r="V7" i="50"/>
  <c r="U5" i="50"/>
  <c r="U6" i="50" s="1"/>
  <c r="U3" i="50"/>
  <c r="U4" i="50" s="1"/>
  <c r="U61" i="50"/>
  <c r="P51" i="37"/>
  <c r="O54" i="37"/>
  <c r="AI86" i="50"/>
  <c r="K12" i="37"/>
  <c r="K21" i="37"/>
  <c r="K22" i="37" s="1"/>
  <c r="O94" i="24"/>
  <c r="M87" i="37"/>
  <c r="I40" i="24" s="1"/>
  <c r="AD123" i="50"/>
  <c r="M19" i="24"/>
  <c r="M80" i="24" s="1"/>
  <c r="R28" i="37"/>
  <c r="J86" i="24"/>
  <c r="M120" i="37"/>
  <c r="I42" i="24" s="1"/>
  <c r="N95" i="37"/>
  <c r="N102" i="37" s="1"/>
  <c r="N118" i="37" s="1"/>
  <c r="P97" i="37"/>
  <c r="O96" i="37"/>
  <c r="K97" i="24"/>
  <c r="Q103" i="37"/>
  <c r="R105" i="37"/>
  <c r="M75" i="24"/>
  <c r="Q11" i="21" s="1"/>
  <c r="O48" i="37"/>
  <c r="N49" i="37"/>
  <c r="AH42" i="50"/>
  <c r="J10" i="43"/>
  <c r="N87" i="50"/>
  <c r="N90" i="50" s="1"/>
  <c r="M79" i="24"/>
  <c r="N17" i="24"/>
  <c r="S127" i="50"/>
  <c r="S128" i="50"/>
  <c r="S129" i="50" s="1"/>
  <c r="T3" i="50"/>
  <c r="T4" i="50" s="1"/>
  <c r="M144" i="37"/>
  <c r="I41" i="24" s="1"/>
  <c r="N128" i="37"/>
  <c r="N134" i="37" s="1"/>
  <c r="N142" i="37" s="1"/>
  <c r="P64" i="50"/>
  <c r="O76" i="50"/>
  <c r="O75" i="50" s="1"/>
  <c r="O77" i="50" s="1"/>
  <c r="O79" i="50" s="1"/>
  <c r="O81" i="50" s="1"/>
  <c r="O83" i="50" s="1"/>
  <c r="O63" i="50"/>
  <c r="O66" i="50" s="1"/>
  <c r="O68" i="50" s="1"/>
  <c r="O70" i="50" s="1"/>
  <c r="O72" i="50" s="1"/>
  <c r="O87" i="50" s="1"/>
  <c r="O90" i="50" s="1"/>
  <c r="K45" i="37"/>
  <c r="I105" i="50"/>
  <c r="I107" i="50" s="1"/>
  <c r="I110" i="50" s="1"/>
  <c r="I113" i="50" s="1"/>
  <c r="H104" i="50"/>
  <c r="N24" i="50"/>
  <c r="O23" i="50"/>
  <c r="L13" i="37"/>
  <c r="K100" i="24"/>
  <c r="L43" i="24"/>
  <c r="M33" i="24"/>
  <c r="L102" i="24"/>
  <c r="O135" i="37"/>
  <c r="P136" i="37"/>
  <c r="O28" i="50"/>
  <c r="N29" i="50"/>
  <c r="J57" i="24"/>
  <c r="K55" i="24"/>
  <c r="T117" i="50"/>
  <c r="T121" i="50" s="1"/>
  <c r="T113" i="50"/>
  <c r="T16" i="50"/>
  <c r="T19" i="50" s="1"/>
  <c r="U15" i="50"/>
  <c r="I10" i="43"/>
  <c r="V17" i="37"/>
  <c r="M77" i="24"/>
  <c r="N16" i="24"/>
  <c r="Y92" i="50"/>
  <c r="W17" i="37"/>
  <c r="L13" i="21"/>
  <c r="E136" i="36" s="1"/>
  <c r="H103" i="24"/>
  <c r="L44" i="37"/>
  <c r="K59" i="24"/>
  <c r="X60" i="50"/>
  <c r="O27" i="50"/>
  <c r="P26" i="50"/>
  <c r="N84" i="37"/>
  <c r="O68" i="37"/>
  <c r="O76" i="37" s="1"/>
  <c r="N87" i="37"/>
  <c r="J40" i="24" s="1"/>
  <c r="J85" i="24"/>
  <c r="K30" i="24"/>
  <c r="R78" i="37"/>
  <c r="O22" i="50"/>
  <c r="P21" i="50"/>
  <c r="C7" i="36" l="1"/>
  <c r="I20" i="43"/>
  <c r="K10" i="43"/>
  <c r="S34" i="37"/>
  <c r="T24" i="37"/>
  <c r="M43" i="24"/>
  <c r="L100" i="24"/>
  <c r="O24" i="50"/>
  <c r="P23" i="50"/>
  <c r="O17" i="24"/>
  <c r="N79" i="24"/>
  <c r="O49" i="37"/>
  <c r="P48" i="37"/>
  <c r="N19" i="24"/>
  <c r="N80" i="24" s="1"/>
  <c r="S78" i="37"/>
  <c r="Q64" i="50"/>
  <c r="P76" i="50"/>
  <c r="P75" i="50" s="1"/>
  <c r="P77" i="50" s="1"/>
  <c r="P79" i="50" s="1"/>
  <c r="P81" i="50" s="1"/>
  <c r="P83" i="50" s="1"/>
  <c r="P63" i="50"/>
  <c r="P66" i="50" s="1"/>
  <c r="P68" i="50" s="1"/>
  <c r="P70" i="50" s="1"/>
  <c r="P72" i="50" s="1"/>
  <c r="L59" i="24"/>
  <c r="Z92" i="50"/>
  <c r="AI42" i="50"/>
  <c r="T127" i="50"/>
  <c r="T128" i="50"/>
  <c r="T129" i="50" s="1"/>
  <c r="P22" i="50"/>
  <c r="Q21" i="50"/>
  <c r="Y60" i="50"/>
  <c r="K57" i="24"/>
  <c r="L55" i="24"/>
  <c r="P68" i="37"/>
  <c r="P76" i="37" s="1"/>
  <c r="O16" i="24"/>
  <c r="N77" i="24"/>
  <c r="N31" i="50"/>
  <c r="N34" i="50" s="1"/>
  <c r="N37" i="50" s="1"/>
  <c r="N40" i="50" s="1"/>
  <c r="N43" i="50" s="1"/>
  <c r="N46" i="50" s="1"/>
  <c r="N137" i="50" s="1"/>
  <c r="P94" i="24"/>
  <c r="P54" i="37"/>
  <c r="Q51" i="37"/>
  <c r="N33" i="24"/>
  <c r="M102" i="24"/>
  <c r="U16" i="50"/>
  <c r="U19" i="50" s="1"/>
  <c r="V15" i="50"/>
  <c r="P27" i="50"/>
  <c r="Q26" i="50"/>
  <c r="P28" i="50"/>
  <c r="O29" i="50"/>
  <c r="G104" i="50"/>
  <c r="G105" i="50" s="1"/>
  <c r="G107" i="50" s="1"/>
  <c r="G110" i="50" s="1"/>
  <c r="G113" i="50" s="1"/>
  <c r="H105" i="50"/>
  <c r="H107" i="50" s="1"/>
  <c r="H110" i="50" s="1"/>
  <c r="H113" i="50" s="1"/>
  <c r="Z48" i="50"/>
  <c r="H172" i="24"/>
  <c r="H181" i="24" s="1"/>
  <c r="G27" i="24"/>
  <c r="Q97" i="37"/>
  <c r="P96" i="37"/>
  <c r="L97" i="24"/>
  <c r="AJ86" i="50"/>
  <c r="P79" i="37"/>
  <c r="K73" i="24"/>
  <c r="O10" i="21" s="1"/>
  <c r="O77" i="37"/>
  <c r="O84" i="37" s="1"/>
  <c r="X17" i="37"/>
  <c r="O78" i="24"/>
  <c r="P15" i="24"/>
  <c r="K82" i="24"/>
  <c r="L18" i="24"/>
  <c r="S105" i="37"/>
  <c r="R103" i="37"/>
  <c r="N75" i="24"/>
  <c r="AE123" i="50"/>
  <c r="L12" i="37"/>
  <c r="L21" i="37"/>
  <c r="L22" i="37" s="1"/>
  <c r="B7" i="36"/>
  <c r="H20" i="43"/>
  <c r="P135" i="37"/>
  <c r="Q136" i="37"/>
  <c r="L30" i="24"/>
  <c r="K85" i="24"/>
  <c r="N120" i="37"/>
  <c r="J42" i="24" s="1"/>
  <c r="J46" i="24" s="1"/>
  <c r="O95" i="37"/>
  <c r="O102" i="37" s="1"/>
  <c r="O118" i="37" s="1"/>
  <c r="S28" i="37"/>
  <c r="M27" i="43"/>
  <c r="R110" i="37"/>
  <c r="S104" i="37" s="1"/>
  <c r="S110" i="37" s="1"/>
  <c r="T104" i="37" s="1"/>
  <c r="V105" i="50"/>
  <c r="V107" i="50" s="1"/>
  <c r="V110" i="50" s="1"/>
  <c r="V3" i="50"/>
  <c r="V4" i="50" s="1"/>
  <c r="V5" i="50"/>
  <c r="V6" i="50" s="1"/>
  <c r="W7" i="50"/>
  <c r="V61" i="50"/>
  <c r="T105" i="24"/>
  <c r="S110" i="24"/>
  <c r="L48" i="24"/>
  <c r="L45" i="37"/>
  <c r="D7" i="36"/>
  <c r="J20" i="43"/>
  <c r="J96" i="24"/>
  <c r="N144" i="37"/>
  <c r="J41" i="24" s="1"/>
  <c r="O128" i="37"/>
  <c r="O134" i="37" s="1"/>
  <c r="O142" i="37" s="1"/>
  <c r="I46" i="24"/>
  <c r="I96" i="24"/>
  <c r="U113" i="50"/>
  <c r="U117" i="50"/>
  <c r="U121" i="50" s="1"/>
  <c r="K86" i="24"/>
  <c r="T78" i="37" l="1"/>
  <c r="M86" i="24"/>
  <c r="M48" i="24"/>
  <c r="P95" i="37"/>
  <c r="P102" i="37" s="1"/>
  <c r="P118" i="37" s="1"/>
  <c r="O120" i="37"/>
  <c r="K42" i="24" s="1"/>
  <c r="L85" i="24"/>
  <c r="M30" i="24"/>
  <c r="Q135" i="37"/>
  <c r="R136" i="37"/>
  <c r="M21" i="37"/>
  <c r="M22" i="37" s="1"/>
  <c r="P78" i="24"/>
  <c r="Q15" i="24"/>
  <c r="I172" i="24"/>
  <c r="I181" i="24" s="1"/>
  <c r="H27" i="24"/>
  <c r="Q27" i="50"/>
  <c r="R26" i="50"/>
  <c r="M100" i="24"/>
  <c r="N43" i="24"/>
  <c r="L86" i="24"/>
  <c r="AK86" i="50"/>
  <c r="N27" i="43"/>
  <c r="Q54" i="37"/>
  <c r="R51" i="37"/>
  <c r="AF123" i="50"/>
  <c r="AA48" i="50"/>
  <c r="W15" i="50"/>
  <c r="V16" i="50"/>
  <c r="V19" i="50" s="1"/>
  <c r="P16" i="24"/>
  <c r="O77" i="24"/>
  <c r="Z60" i="50"/>
  <c r="P17" i="24"/>
  <c r="O79" i="24"/>
  <c r="U127" i="50"/>
  <c r="U128" i="50"/>
  <c r="U129" i="50" s="1"/>
  <c r="N13" i="21"/>
  <c r="J103" i="24"/>
  <c r="N44" i="37"/>
  <c r="U105" i="24"/>
  <c r="T110" i="24"/>
  <c r="O87" i="37"/>
  <c r="K40" i="24" s="1"/>
  <c r="Q68" i="37"/>
  <c r="Q76" i="37" s="1"/>
  <c r="P84" i="37"/>
  <c r="R21" i="50"/>
  <c r="Q22" i="50"/>
  <c r="AJ42" i="50"/>
  <c r="Y17" i="37"/>
  <c r="P87" i="50"/>
  <c r="P90" i="50" s="1"/>
  <c r="L52" i="43"/>
  <c r="L10" i="43"/>
  <c r="W105" i="50"/>
  <c r="W107" i="50" s="1"/>
  <c r="W110" i="50" s="1"/>
  <c r="W5" i="50"/>
  <c r="W6" i="50" s="1"/>
  <c r="X7" i="50"/>
  <c r="W61" i="50"/>
  <c r="T105" i="37"/>
  <c r="S103" i="37"/>
  <c r="O75" i="24"/>
  <c r="Q94" i="24"/>
  <c r="AA92" i="50"/>
  <c r="Q96" i="37"/>
  <c r="R97" i="37"/>
  <c r="M97" i="24"/>
  <c r="N102" i="24"/>
  <c r="O33" i="24"/>
  <c r="M55" i="24"/>
  <c r="L57" i="24"/>
  <c r="Q76" i="50"/>
  <c r="Q75" i="50" s="1"/>
  <c r="Q77" i="50" s="1"/>
  <c r="Q79" i="50" s="1"/>
  <c r="Q81" i="50" s="1"/>
  <c r="Q83" i="50" s="1"/>
  <c r="R64" i="50"/>
  <c r="Q63" i="50"/>
  <c r="Q66" i="50" s="1"/>
  <c r="Q68" i="50" s="1"/>
  <c r="Q70" i="50" s="1"/>
  <c r="Q72" i="50" s="1"/>
  <c r="Q87" i="50" s="1"/>
  <c r="Q90" i="50" s="1"/>
  <c r="T34" i="37"/>
  <c r="U24" i="37"/>
  <c r="O144" i="37"/>
  <c r="K41" i="24" s="1"/>
  <c r="P128" i="37"/>
  <c r="P134" i="37" s="1"/>
  <c r="P142" i="37" s="1"/>
  <c r="M59" i="24"/>
  <c r="Q48" i="37"/>
  <c r="P49" i="37"/>
  <c r="P24" i="50"/>
  <c r="Q23" i="50"/>
  <c r="O19" i="24"/>
  <c r="O80" i="24" s="1"/>
  <c r="V113" i="50"/>
  <c r="V117" i="50"/>
  <c r="V121" i="50" s="1"/>
  <c r="Q79" i="37"/>
  <c r="L73" i="24"/>
  <c r="P10" i="21" s="1"/>
  <c r="P77" i="37"/>
  <c r="P87" i="37" s="1"/>
  <c r="L40" i="24" s="1"/>
  <c r="M13" i="21"/>
  <c r="F136" i="36" s="1"/>
  <c r="I103" i="24"/>
  <c r="M44" i="37"/>
  <c r="T28" i="37"/>
  <c r="M18" i="24"/>
  <c r="L82" i="24"/>
  <c r="P29" i="50"/>
  <c r="Q28" i="50"/>
  <c r="O31" i="50"/>
  <c r="O34" i="50" s="1"/>
  <c r="O37" i="50" s="1"/>
  <c r="O40" i="50" s="1"/>
  <c r="O43" i="50" s="1"/>
  <c r="O46" i="50" s="1"/>
  <c r="O137" i="50" s="1"/>
  <c r="K20" i="43"/>
  <c r="E7" i="36"/>
  <c r="L96" i="24" l="1"/>
  <c r="S97" i="37"/>
  <c r="R96" i="37"/>
  <c r="N97" i="24"/>
  <c r="L20" i="43"/>
  <c r="F7" i="36"/>
  <c r="M45" i="37"/>
  <c r="M13" i="37"/>
  <c r="N13" i="37" s="1"/>
  <c r="AA60" i="50"/>
  <c r="S21" i="50"/>
  <c r="R22" i="50"/>
  <c r="R54" i="37"/>
  <c r="S51" i="37"/>
  <c r="N48" i="24"/>
  <c r="U105" i="37"/>
  <c r="T103" i="37"/>
  <c r="P75" i="24"/>
  <c r="P33" i="24"/>
  <c r="O102" i="24"/>
  <c r="AB92" i="50"/>
  <c r="M82" i="24"/>
  <c r="N18" i="24"/>
  <c r="Q24" i="50"/>
  <c r="R23" i="50"/>
  <c r="V24" i="37"/>
  <c r="U34" i="37"/>
  <c r="P77" i="24"/>
  <c r="Q16" i="24"/>
  <c r="AG123" i="50"/>
  <c r="V127" i="50"/>
  <c r="V128" i="50"/>
  <c r="V129" i="50" s="1"/>
  <c r="P31" i="50"/>
  <c r="P34" i="50" s="1"/>
  <c r="P37" i="50" s="1"/>
  <c r="P40" i="50" s="1"/>
  <c r="P43" i="50" s="1"/>
  <c r="P46" i="50" s="1"/>
  <c r="P137" i="50" s="1"/>
  <c r="G25" i="43" s="1"/>
  <c r="T110" i="37"/>
  <c r="U104" i="37" s="1"/>
  <c r="U110" i="37" s="1"/>
  <c r="V104" i="37" s="1"/>
  <c r="I27" i="24"/>
  <c r="J172" i="24"/>
  <c r="J181" i="24" s="1"/>
  <c r="Z17" i="37"/>
  <c r="Q84" i="37"/>
  <c r="R68" i="37"/>
  <c r="R76" i="37" s="1"/>
  <c r="Q87" i="37"/>
  <c r="M40" i="24" s="1"/>
  <c r="Q78" i="24"/>
  <c r="R15" i="24"/>
  <c r="R76" i="50"/>
  <c r="R75" i="50" s="1"/>
  <c r="R77" i="50" s="1"/>
  <c r="R79" i="50" s="1"/>
  <c r="R81" i="50" s="1"/>
  <c r="R83" i="50" s="1"/>
  <c r="S64" i="50"/>
  <c r="R63" i="50"/>
  <c r="R66" i="50" s="1"/>
  <c r="R68" i="50" s="1"/>
  <c r="R70" i="50" s="1"/>
  <c r="R72" i="50" s="1"/>
  <c r="Q17" i="24"/>
  <c r="P79" i="24"/>
  <c r="AB48" i="50"/>
  <c r="P19" i="24"/>
  <c r="P80" i="24" s="1"/>
  <c r="R94" i="24"/>
  <c r="Q97" i="50"/>
  <c r="Q98" i="50" s="1"/>
  <c r="Q96" i="50"/>
  <c r="X15" i="50"/>
  <c r="W16" i="50"/>
  <c r="W19" i="50" s="1"/>
  <c r="M85" i="24"/>
  <c r="N30" i="24"/>
  <c r="R48" i="37"/>
  <c r="Q49" i="37"/>
  <c r="X105" i="50"/>
  <c r="X107" i="50" s="1"/>
  <c r="X110" i="50" s="1"/>
  <c r="X5" i="50"/>
  <c r="X6" i="50" s="1"/>
  <c r="X3" i="50"/>
  <c r="X4" i="50" s="1"/>
  <c r="Y7" i="50"/>
  <c r="X61" i="50"/>
  <c r="K96" i="24"/>
  <c r="K46" i="24"/>
  <c r="Q29" i="50"/>
  <c r="R28" i="50"/>
  <c r="U28" i="37"/>
  <c r="R79" i="37"/>
  <c r="M73" i="24"/>
  <c r="Q10" i="21" s="1"/>
  <c r="Q77" i="37"/>
  <c r="P144" i="37"/>
  <c r="L41" i="24" s="1"/>
  <c r="L46" i="24" s="1"/>
  <c r="Q128" i="37"/>
  <c r="Q134" i="37" s="1"/>
  <c r="Q142" i="37" s="1"/>
  <c r="W3" i="50"/>
  <c r="W4" i="50" s="1"/>
  <c r="M12" i="37"/>
  <c r="U78" i="37"/>
  <c r="U110" i="24"/>
  <c r="V105" i="24"/>
  <c r="N100" i="24"/>
  <c r="O43" i="24"/>
  <c r="R27" i="50"/>
  <c r="S26" i="50"/>
  <c r="N59" i="24"/>
  <c r="N55" i="24"/>
  <c r="M57" i="24"/>
  <c r="W117" i="50"/>
  <c r="W121" i="50" s="1"/>
  <c r="W113" i="50"/>
  <c r="AK42" i="50"/>
  <c r="N45" i="37"/>
  <c r="M52" i="43"/>
  <c r="M10" i="43"/>
  <c r="S136" i="37"/>
  <c r="R135" i="37"/>
  <c r="Q95" i="37"/>
  <c r="Q102" i="37" s="1"/>
  <c r="Q118" i="37" s="1"/>
  <c r="P120" i="37"/>
  <c r="L42" i="24" s="1"/>
  <c r="N57" i="24" l="1"/>
  <c r="O55" i="24"/>
  <c r="Y105" i="50"/>
  <c r="Y107" i="50" s="1"/>
  <c r="Y110" i="50" s="1"/>
  <c r="Y5" i="50"/>
  <c r="Y6" i="50" s="1"/>
  <c r="Y3" i="50"/>
  <c r="Y4" i="50" s="1"/>
  <c r="Z7" i="50"/>
  <c r="Y61" i="50"/>
  <c r="Y15" i="50"/>
  <c r="X16" i="50"/>
  <c r="X19" i="50" s="1"/>
  <c r="S94" i="24"/>
  <c r="R87" i="50"/>
  <c r="R90" i="50" s="1"/>
  <c r="N52" i="43"/>
  <c r="N10" i="43"/>
  <c r="T21" i="50"/>
  <c r="S22" i="50"/>
  <c r="AB60" i="50"/>
  <c r="R95" i="37"/>
  <c r="R102" i="37" s="1"/>
  <c r="R118" i="37" s="1"/>
  <c r="Q120" i="37"/>
  <c r="M42" i="24" s="1"/>
  <c r="O13" i="37"/>
  <c r="P13" i="37" s="1"/>
  <c r="T136" i="37"/>
  <c r="S135" i="37"/>
  <c r="V28" i="37"/>
  <c r="X117" i="50"/>
  <c r="X121" i="50" s="1"/>
  <c r="X113" i="50"/>
  <c r="S68" i="37"/>
  <c r="S76" i="37" s="1"/>
  <c r="R87" i="37"/>
  <c r="N40" i="24" s="1"/>
  <c r="AH123" i="50"/>
  <c r="W24" i="37"/>
  <c r="V34" i="37"/>
  <c r="Q33" i="24"/>
  <c r="P102" i="24"/>
  <c r="T51" i="37"/>
  <c r="S54" i="37"/>
  <c r="T97" i="37"/>
  <c r="S96" i="37"/>
  <c r="O97" i="24"/>
  <c r="S76" i="50"/>
  <c r="S75" i="50" s="1"/>
  <c r="S77" i="50" s="1"/>
  <c r="S79" i="50" s="1"/>
  <c r="S81" i="50" s="1"/>
  <c r="S83" i="50" s="1"/>
  <c r="T64" i="50"/>
  <c r="S63" i="50"/>
  <c r="S66" i="50" s="1"/>
  <c r="S68" i="50" s="1"/>
  <c r="S70" i="50" s="1"/>
  <c r="S72" i="50" s="1"/>
  <c r="Q77" i="24"/>
  <c r="R16" i="24"/>
  <c r="S23" i="50"/>
  <c r="R24" i="50"/>
  <c r="R31" i="50" s="1"/>
  <c r="R34" i="50" s="1"/>
  <c r="R37" i="50" s="1"/>
  <c r="R40" i="50" s="1"/>
  <c r="R43" i="50" s="1"/>
  <c r="R46" i="50" s="1"/>
  <c r="AC92" i="50"/>
  <c r="M20" i="43"/>
  <c r="G7" i="36"/>
  <c r="O100" i="24"/>
  <c r="P43" i="24"/>
  <c r="S48" i="37"/>
  <c r="R49" i="37"/>
  <c r="Q31" i="50"/>
  <c r="Q34" i="50" s="1"/>
  <c r="Q37" i="50" s="1"/>
  <c r="Q40" i="50" s="1"/>
  <c r="Q43" i="50" s="1"/>
  <c r="Q46" i="50" s="1"/>
  <c r="N85" i="24"/>
  <c r="O30" i="24"/>
  <c r="W105" i="24"/>
  <c r="V110" i="24"/>
  <c r="S79" i="37"/>
  <c r="N73" i="24"/>
  <c r="R77" i="37"/>
  <c r="R84" i="37" s="1"/>
  <c r="AC48" i="50"/>
  <c r="M96" i="24"/>
  <c r="M46" i="24"/>
  <c r="Q19" i="24"/>
  <c r="Q80" i="24" s="1"/>
  <c r="T26" i="50"/>
  <c r="S27" i="50"/>
  <c r="V78" i="37"/>
  <c r="O27" i="43"/>
  <c r="R29" i="50"/>
  <c r="S28" i="50"/>
  <c r="W127" i="50"/>
  <c r="W128" i="50"/>
  <c r="W129" i="50" s="1"/>
  <c r="Q144" i="37"/>
  <c r="M41" i="24" s="1"/>
  <c r="R128" i="37"/>
  <c r="R134" i="37" s="1"/>
  <c r="R142" i="37" s="1"/>
  <c r="AA17" i="37"/>
  <c r="K172" i="24"/>
  <c r="K181" i="24" s="1"/>
  <c r="J27" i="24"/>
  <c r="U103" i="37"/>
  <c r="V105" i="37"/>
  <c r="V110" i="37" s="1"/>
  <c r="W104" i="37" s="1"/>
  <c r="Q75" i="24"/>
  <c r="O59" i="24"/>
  <c r="R17" i="24"/>
  <c r="Q79" i="24"/>
  <c r="R78" i="24"/>
  <c r="S15" i="24"/>
  <c r="N12" i="37"/>
  <c r="N21" i="37"/>
  <c r="N22" i="37" s="1"/>
  <c r="AB17" i="37"/>
  <c r="AC17" i="37" s="1"/>
  <c r="O18" i="24"/>
  <c r="N82" i="24"/>
  <c r="G26" i="43"/>
  <c r="G9" i="43"/>
  <c r="O13" i="21"/>
  <c r="K103" i="24"/>
  <c r="O44" i="37"/>
  <c r="O48" i="24"/>
  <c r="O86" i="24" s="1"/>
  <c r="N86" i="24"/>
  <c r="P13" i="21"/>
  <c r="L103" i="24"/>
  <c r="P44" i="37"/>
  <c r="Y117" i="50" l="1"/>
  <c r="Y121" i="50" s="1"/>
  <c r="Y113" i="50"/>
  <c r="Q137" i="50"/>
  <c r="H25" i="43" s="1"/>
  <c r="Q52" i="50"/>
  <c r="Q53" i="50"/>
  <c r="P45" i="37"/>
  <c r="O45" i="37"/>
  <c r="R79" i="24"/>
  <c r="S17" i="24"/>
  <c r="H26" i="43"/>
  <c r="T27" i="50"/>
  <c r="U26" i="50"/>
  <c r="T48" i="37"/>
  <c r="S49" i="37"/>
  <c r="W34" i="37"/>
  <c r="X24" i="37"/>
  <c r="G19" i="43"/>
  <c r="T79" i="37"/>
  <c r="O73" i="24"/>
  <c r="S77" i="37"/>
  <c r="S87" i="37" s="1"/>
  <c r="O40" i="24" s="1"/>
  <c r="AD92" i="50"/>
  <c r="R137" i="50"/>
  <c r="I25" i="43" s="1"/>
  <c r="R52" i="50"/>
  <c r="R53" i="50"/>
  <c r="U136" i="37"/>
  <c r="T135" i="37"/>
  <c r="O21" i="37"/>
  <c r="O22" i="37" s="1"/>
  <c r="O12" i="37"/>
  <c r="P27" i="43"/>
  <c r="R19" i="24"/>
  <c r="R80" i="24" s="1"/>
  <c r="P48" i="24"/>
  <c r="P59" i="24"/>
  <c r="Q43" i="24"/>
  <c r="P100" i="24"/>
  <c r="S87" i="50"/>
  <c r="S90" i="50" s="1"/>
  <c r="AI123" i="50"/>
  <c r="X127" i="50"/>
  <c r="X128" i="50"/>
  <c r="X129" i="50" s="1"/>
  <c r="T76" i="50"/>
  <c r="T75" i="50" s="1"/>
  <c r="T77" i="50" s="1"/>
  <c r="T79" i="50" s="1"/>
  <c r="T81" i="50" s="1"/>
  <c r="T83" i="50" s="1"/>
  <c r="U64" i="50"/>
  <c r="T63" i="50"/>
  <c r="T66" i="50" s="1"/>
  <c r="T68" i="50" s="1"/>
  <c r="T70" i="50" s="1"/>
  <c r="T72" i="50" s="1"/>
  <c r="T87" i="50" s="1"/>
  <c r="T90" i="50" s="1"/>
  <c r="W28" i="37"/>
  <c r="H7" i="36"/>
  <c r="N20" i="43"/>
  <c r="T94" i="24"/>
  <c r="O57" i="24"/>
  <c r="P55" i="24"/>
  <c r="AD48" i="50"/>
  <c r="V103" i="37"/>
  <c r="W105" i="37"/>
  <c r="R75" i="24"/>
  <c r="S29" i="50"/>
  <c r="T28" i="50"/>
  <c r="AC60" i="50"/>
  <c r="Y16" i="50"/>
  <c r="Y19" i="50" s="1"/>
  <c r="Z15" i="50"/>
  <c r="N96" i="24"/>
  <c r="T23" i="50"/>
  <c r="S24" i="50"/>
  <c r="U51" i="37"/>
  <c r="T54" i="37"/>
  <c r="T68" i="37"/>
  <c r="T76" i="37" s="1"/>
  <c r="S84" i="37"/>
  <c r="Q13" i="37"/>
  <c r="U21" i="50"/>
  <c r="T22" i="50"/>
  <c r="Z5" i="50"/>
  <c r="Z6" i="50" s="1"/>
  <c r="Z3" i="50"/>
  <c r="Z4" i="50" s="1"/>
  <c r="Z105" i="50"/>
  <c r="Z107" i="50" s="1"/>
  <c r="Z110" i="50" s="1"/>
  <c r="AA7" i="50"/>
  <c r="Z61" i="50"/>
  <c r="S16" i="24"/>
  <c r="R77" i="24"/>
  <c r="S95" i="37"/>
  <c r="S102" i="37" s="1"/>
  <c r="S118" i="37" s="1"/>
  <c r="R120" i="37"/>
  <c r="N42" i="24" s="1"/>
  <c r="P30" i="24"/>
  <c r="O85" i="24"/>
  <c r="T15" i="24"/>
  <c r="S78" i="24"/>
  <c r="S128" i="37"/>
  <c r="S134" i="37" s="1"/>
  <c r="S142" i="37" s="1"/>
  <c r="R144" i="37"/>
  <c r="N41" i="24" s="1"/>
  <c r="N46" i="24" s="1"/>
  <c r="Q13" i="21"/>
  <c r="M103" i="24"/>
  <c r="Q44" i="37"/>
  <c r="X105" i="24"/>
  <c r="W110" i="24"/>
  <c r="O82" i="24"/>
  <c r="P18" i="24"/>
  <c r="L172" i="24"/>
  <c r="L181" i="24" s="1"/>
  <c r="K27" i="24"/>
  <c r="W78" i="37"/>
  <c r="T96" i="37"/>
  <c r="U97" i="37"/>
  <c r="P97" i="24"/>
  <c r="R33" i="24"/>
  <c r="Q102" i="24"/>
  <c r="R96" i="50"/>
  <c r="R97" i="50"/>
  <c r="R98" i="50" s="1"/>
  <c r="O96" i="24" l="1"/>
  <c r="AE92" i="50"/>
  <c r="R43" i="24"/>
  <c r="Q100" i="24"/>
  <c r="X34" i="37"/>
  <c r="Y24" i="37"/>
  <c r="T29" i="50"/>
  <c r="U28" i="50"/>
  <c r="P57" i="24"/>
  <c r="Q55" i="24"/>
  <c r="S19" i="24"/>
  <c r="S80" i="24" s="1"/>
  <c r="H9" i="43"/>
  <c r="S79" i="24"/>
  <c r="T17" i="24"/>
  <c r="Y127" i="50"/>
  <c r="Y128" i="50"/>
  <c r="Y129" i="50" s="1"/>
  <c r="S33" i="24"/>
  <c r="R102" i="24"/>
  <c r="U23" i="50"/>
  <c r="T24" i="50"/>
  <c r="T31" i="50" s="1"/>
  <c r="T34" i="50" s="1"/>
  <c r="T37" i="50" s="1"/>
  <c r="T40" i="50" s="1"/>
  <c r="T43" i="50" s="1"/>
  <c r="T46" i="50" s="1"/>
  <c r="Q86" i="24"/>
  <c r="Q48" i="24"/>
  <c r="Q18" i="24"/>
  <c r="P82" i="24"/>
  <c r="V21" i="50"/>
  <c r="U22" i="50"/>
  <c r="S77" i="24"/>
  <c r="T16" i="24"/>
  <c r="S144" i="37"/>
  <c r="O41" i="24" s="1"/>
  <c r="O46" i="24" s="1"/>
  <c r="T128" i="37"/>
  <c r="T134" i="37" s="1"/>
  <c r="T142" i="37" s="1"/>
  <c r="T96" i="50"/>
  <c r="T97" i="50"/>
  <c r="Z113" i="50"/>
  <c r="Z117" i="50"/>
  <c r="Z121" i="50" s="1"/>
  <c r="Z16" i="50"/>
  <c r="Z19" i="50" s="1"/>
  <c r="AA15" i="50"/>
  <c r="U79" i="37"/>
  <c r="P73" i="24"/>
  <c r="T77" i="37"/>
  <c r="T87" i="37" s="1"/>
  <c r="P40" i="24" s="1"/>
  <c r="AA105" i="50"/>
  <c r="AA107" i="50" s="1"/>
  <c r="AA110" i="50" s="1"/>
  <c r="AB7" i="50"/>
  <c r="AA5" i="50"/>
  <c r="AA6" i="50" s="1"/>
  <c r="AA61" i="50"/>
  <c r="I26" i="43"/>
  <c r="U135" i="37"/>
  <c r="V136" i="37"/>
  <c r="U68" i="37"/>
  <c r="U76" i="37" s="1"/>
  <c r="G11" i="43"/>
  <c r="G28" i="43"/>
  <c r="U48" i="37"/>
  <c r="T49" i="37"/>
  <c r="R54" i="50"/>
  <c r="R135" i="50"/>
  <c r="I8" i="43" s="1"/>
  <c r="O52" i="43"/>
  <c r="O10" i="43"/>
  <c r="V51" i="37"/>
  <c r="U54" i="37"/>
  <c r="S96" i="50"/>
  <c r="S97" i="50"/>
  <c r="S98" i="50" s="1"/>
  <c r="M172" i="24"/>
  <c r="M181" i="24" s="1"/>
  <c r="L27" i="24"/>
  <c r="U96" i="37"/>
  <c r="V97" i="37"/>
  <c r="Q97" i="24"/>
  <c r="AE48" i="50"/>
  <c r="AJ123" i="50"/>
  <c r="Q54" i="50"/>
  <c r="Q135" i="50"/>
  <c r="H8" i="43" s="1"/>
  <c r="U76" i="50"/>
  <c r="U75" i="50" s="1"/>
  <c r="U77" i="50" s="1"/>
  <c r="U79" i="50" s="1"/>
  <c r="U81" i="50" s="1"/>
  <c r="U83" i="50" s="1"/>
  <c r="V64" i="50"/>
  <c r="U63" i="50"/>
  <c r="U66" i="50" s="1"/>
  <c r="U68" i="50" s="1"/>
  <c r="U70" i="50" s="1"/>
  <c r="U72" i="50" s="1"/>
  <c r="U94" i="24"/>
  <c r="T78" i="24"/>
  <c r="U15" i="24"/>
  <c r="P85" i="24"/>
  <c r="Q30" i="24"/>
  <c r="Q59" i="24"/>
  <c r="S120" i="37"/>
  <c r="O42" i="24" s="1"/>
  <c r="T95" i="37"/>
  <c r="T102" i="37" s="1"/>
  <c r="T118" i="37" s="1"/>
  <c r="P12" i="37"/>
  <c r="P21" i="37"/>
  <c r="P22" i="37" s="1"/>
  <c r="N103" i="24"/>
  <c r="R44" i="37"/>
  <c r="X105" i="37"/>
  <c r="W103" i="37"/>
  <c r="S75" i="24"/>
  <c r="Q27" i="43"/>
  <c r="X78" i="37"/>
  <c r="Y105" i="24"/>
  <c r="Y110" i="24" s="1"/>
  <c r="X110" i="24"/>
  <c r="AD60" i="50"/>
  <c r="Q45" i="37"/>
  <c r="S31" i="50"/>
  <c r="S34" i="50" s="1"/>
  <c r="S37" i="50" s="1"/>
  <c r="S40" i="50" s="1"/>
  <c r="S43" i="50" s="1"/>
  <c r="S46" i="50" s="1"/>
  <c r="X28" i="37"/>
  <c r="P86" i="24"/>
  <c r="U27" i="50"/>
  <c r="V26" i="50"/>
  <c r="W110" i="37"/>
  <c r="X104" i="37" s="1"/>
  <c r="P96" i="24" l="1"/>
  <c r="R27" i="43"/>
  <c r="T120" i="37"/>
  <c r="P42" i="24" s="1"/>
  <c r="U95" i="37"/>
  <c r="U102" i="37" s="1"/>
  <c r="U118" i="37" s="1"/>
  <c r="V94" i="24"/>
  <c r="AB15" i="50"/>
  <c r="AA16" i="50"/>
  <c r="AA19" i="50" s="1"/>
  <c r="Q82" i="24"/>
  <c r="R18" i="24"/>
  <c r="T33" i="24"/>
  <c r="S102" i="24"/>
  <c r="V96" i="37"/>
  <c r="W97" i="37"/>
  <c r="R97" i="24"/>
  <c r="I9" i="43"/>
  <c r="T144" i="37"/>
  <c r="P41" i="24" s="1"/>
  <c r="P46" i="24" s="1"/>
  <c r="U128" i="37"/>
  <c r="U134" i="37" s="1"/>
  <c r="U142" i="37" s="1"/>
  <c r="R86" i="24"/>
  <c r="R48" i="24"/>
  <c r="R55" i="24"/>
  <c r="Q57" i="24"/>
  <c r="Y105" i="37"/>
  <c r="X103" i="37"/>
  <c r="T75" i="24"/>
  <c r="Q21" i="37"/>
  <c r="Q22" i="37" s="1"/>
  <c r="Q12" i="37"/>
  <c r="U78" i="24"/>
  <c r="V15" i="24"/>
  <c r="U87" i="50"/>
  <c r="U90" i="50" s="1"/>
  <c r="Z127" i="50"/>
  <c r="Z128" i="50"/>
  <c r="Z129" i="50" s="1"/>
  <c r="Y34" i="37"/>
  <c r="Z24" i="37"/>
  <c r="S137" i="50"/>
  <c r="J25" i="43" s="1"/>
  <c r="S52" i="50"/>
  <c r="S53" i="50"/>
  <c r="AK123" i="50"/>
  <c r="V79" i="37"/>
  <c r="Q73" i="24"/>
  <c r="U77" i="37"/>
  <c r="T77" i="24"/>
  <c r="U16" i="24"/>
  <c r="H19" i="43"/>
  <c r="B6" i="36"/>
  <c r="T19" i="24"/>
  <c r="T80" i="24" s="1"/>
  <c r="S43" i="24"/>
  <c r="R100" i="24"/>
  <c r="X110" i="37"/>
  <c r="Y104" i="37" s="1"/>
  <c r="Y110" i="37" s="1"/>
  <c r="Z104" i="37" s="1"/>
  <c r="AF92" i="50"/>
  <c r="U29" i="50"/>
  <c r="V28" i="50"/>
  <c r="R59" i="24"/>
  <c r="H28" i="43"/>
  <c r="AF48" i="50"/>
  <c r="W51" i="37"/>
  <c r="V54" i="37"/>
  <c r="AA3" i="50"/>
  <c r="AA4" i="50" s="1"/>
  <c r="T79" i="24"/>
  <c r="U17" i="24"/>
  <c r="T137" i="50"/>
  <c r="K25" i="43" s="1"/>
  <c r="T52" i="50"/>
  <c r="T53" i="50"/>
  <c r="W26" i="50"/>
  <c r="V27" i="50"/>
  <c r="Y78" i="37"/>
  <c r="R45" i="37"/>
  <c r="T84" i="37"/>
  <c r="AA113" i="50"/>
  <c r="AA117" i="50"/>
  <c r="AA121" i="50" s="1"/>
  <c r="U24" i="50"/>
  <c r="U31" i="50" s="1"/>
  <c r="U34" i="50" s="1"/>
  <c r="U37" i="50" s="1"/>
  <c r="U40" i="50" s="1"/>
  <c r="U43" i="50" s="1"/>
  <c r="U46" i="50" s="1"/>
  <c r="V23" i="50"/>
  <c r="P52" i="43"/>
  <c r="P10" i="43"/>
  <c r="O20" i="43"/>
  <c r="I7" i="36"/>
  <c r="U87" i="37"/>
  <c r="Q40" i="24" s="1"/>
  <c r="U84" i="37"/>
  <c r="V68" i="37"/>
  <c r="V76" i="37" s="1"/>
  <c r="AB105" i="50"/>
  <c r="AB107" i="50" s="1"/>
  <c r="AB110" i="50" s="1"/>
  <c r="AB5" i="50"/>
  <c r="AB6" i="50" s="1"/>
  <c r="AB3" i="50"/>
  <c r="AB4" i="50" s="1"/>
  <c r="AC7" i="50"/>
  <c r="AB61" i="50"/>
  <c r="Y28" i="37"/>
  <c r="V22" i="50"/>
  <c r="W21" i="50"/>
  <c r="V76" i="50"/>
  <c r="V75" i="50" s="1"/>
  <c r="V77" i="50" s="1"/>
  <c r="V79" i="50" s="1"/>
  <c r="V81" i="50" s="1"/>
  <c r="V83" i="50" s="1"/>
  <c r="W64" i="50"/>
  <c r="V63" i="50"/>
  <c r="V66" i="50" s="1"/>
  <c r="V68" i="50" s="1"/>
  <c r="V70" i="50" s="1"/>
  <c r="V72" i="50" s="1"/>
  <c r="V87" i="50" s="1"/>
  <c r="V90" i="50" s="1"/>
  <c r="V48" i="37"/>
  <c r="U49" i="37"/>
  <c r="G21" i="43"/>
  <c r="G22" i="43" s="1"/>
  <c r="G12" i="43"/>
  <c r="B5" i="36"/>
  <c r="H18" i="43"/>
  <c r="AE60" i="50"/>
  <c r="R13" i="37"/>
  <c r="R30" i="24"/>
  <c r="Q85" i="24"/>
  <c r="J26" i="43"/>
  <c r="M27" i="24"/>
  <c r="N172" i="24"/>
  <c r="N181" i="24" s="1"/>
  <c r="C5" i="36"/>
  <c r="I18" i="43"/>
  <c r="V135" i="37"/>
  <c r="W136" i="37"/>
  <c r="T98" i="50"/>
  <c r="O103" i="24"/>
  <c r="S44" i="37"/>
  <c r="V96" i="50" l="1"/>
  <c r="V97" i="50"/>
  <c r="W48" i="37"/>
  <c r="V49" i="37"/>
  <c r="X136" i="37"/>
  <c r="W135" i="37"/>
  <c r="AF60" i="50"/>
  <c r="X26" i="50"/>
  <c r="W27" i="50"/>
  <c r="S100" i="24"/>
  <c r="T43" i="24"/>
  <c r="V78" i="24"/>
  <c r="W15" i="24"/>
  <c r="S55" i="24"/>
  <c r="R57" i="24"/>
  <c r="AA127" i="50"/>
  <c r="AA128" i="50"/>
  <c r="AA129" i="50" s="1"/>
  <c r="Z78" i="37"/>
  <c r="T135" i="50"/>
  <c r="K8" i="43" s="1"/>
  <c r="T54" i="50"/>
  <c r="H11" i="43"/>
  <c r="S135" i="50"/>
  <c r="J8" i="43" s="1"/>
  <c r="S54" i="50"/>
  <c r="S48" i="24"/>
  <c r="W79" i="37"/>
  <c r="R73" i="24"/>
  <c r="V77" i="37"/>
  <c r="R21" i="37"/>
  <c r="R22" i="37" s="1"/>
  <c r="R12" i="37"/>
  <c r="W96" i="37"/>
  <c r="X97" i="37"/>
  <c r="S97" i="24"/>
  <c r="AB117" i="50"/>
  <c r="AB121" i="50" s="1"/>
  <c r="AB113" i="50"/>
  <c r="X64" i="50"/>
  <c r="W76" i="50"/>
  <c r="W75" i="50" s="1"/>
  <c r="W77" i="50" s="1"/>
  <c r="W79" i="50" s="1"/>
  <c r="W81" i="50" s="1"/>
  <c r="W83" i="50" s="1"/>
  <c r="W63" i="50"/>
  <c r="W66" i="50" s="1"/>
  <c r="W68" i="50" s="1"/>
  <c r="W70" i="50" s="1"/>
  <c r="W72" i="50" s="1"/>
  <c r="W87" i="50" s="1"/>
  <c r="W90" i="50" s="1"/>
  <c r="K26" i="43"/>
  <c r="U79" i="24"/>
  <c r="V17" i="24"/>
  <c r="S59" i="24"/>
  <c r="U144" i="37"/>
  <c r="Q41" i="24" s="1"/>
  <c r="V128" i="37"/>
  <c r="V134" i="37" s="1"/>
  <c r="V142" i="37" s="1"/>
  <c r="W94" i="24"/>
  <c r="T102" i="24"/>
  <c r="U33" i="24"/>
  <c r="Z34" i="37"/>
  <c r="AA24" i="37"/>
  <c r="I19" i="43"/>
  <c r="C6" i="36"/>
  <c r="S18" i="24"/>
  <c r="R82" i="24"/>
  <c r="AG92" i="50"/>
  <c r="W22" i="50"/>
  <c r="X21" i="50"/>
  <c r="S13" i="37"/>
  <c r="T13" i="37" s="1"/>
  <c r="P20" i="43"/>
  <c r="J7" i="36"/>
  <c r="V24" i="50"/>
  <c r="W23" i="50"/>
  <c r="U19" i="24"/>
  <c r="U80" i="24" s="1"/>
  <c r="U120" i="37"/>
  <c r="Q42" i="24" s="1"/>
  <c r="V95" i="37"/>
  <c r="V102" i="37" s="1"/>
  <c r="V118" i="37" s="1"/>
  <c r="P103" i="24"/>
  <c r="T44" i="37"/>
  <c r="J9" i="43"/>
  <c r="S45" i="37"/>
  <c r="V87" i="37"/>
  <c r="R40" i="24" s="1"/>
  <c r="V84" i="37"/>
  <c r="W68" i="37"/>
  <c r="W76" i="37" s="1"/>
  <c r="R85" i="24"/>
  <c r="S30" i="24"/>
  <c r="Z28" i="37"/>
  <c r="Q96" i="24"/>
  <c r="Q46" i="24"/>
  <c r="W54" i="37"/>
  <c r="X51" i="37"/>
  <c r="I28" i="43"/>
  <c r="S27" i="43"/>
  <c r="N27" i="24"/>
  <c r="O172" i="24"/>
  <c r="O181" i="24" s="1"/>
  <c r="Q52" i="43"/>
  <c r="Q10" i="43"/>
  <c r="U137" i="50"/>
  <c r="L25" i="43" s="1"/>
  <c r="U52" i="50"/>
  <c r="U53" i="50"/>
  <c r="U77" i="24"/>
  <c r="V16" i="24"/>
  <c r="Z105" i="37"/>
  <c r="Y103" i="37"/>
  <c r="U75" i="24"/>
  <c r="AC5" i="50"/>
  <c r="AC6" i="50" s="1"/>
  <c r="AD7" i="50"/>
  <c r="AC105" i="50"/>
  <c r="AC107" i="50" s="1"/>
  <c r="AC110" i="50" s="1"/>
  <c r="AC61" i="50"/>
  <c r="AG48" i="50"/>
  <c r="W28" i="50"/>
  <c r="V29" i="50"/>
  <c r="U96" i="50"/>
  <c r="U97" i="50"/>
  <c r="U98" i="50" s="1"/>
  <c r="AB16" i="50"/>
  <c r="AB19" i="50" s="1"/>
  <c r="AC15" i="50"/>
  <c r="J28" i="43" l="1"/>
  <c r="X15" i="24"/>
  <c r="W78" i="24"/>
  <c r="AC3" i="50"/>
  <c r="AC4" i="50" s="1"/>
  <c r="K9" i="43"/>
  <c r="H21" i="43"/>
  <c r="H22" i="43" s="1"/>
  <c r="E8" i="24" s="1"/>
  <c r="B8" i="36"/>
  <c r="H12" i="43"/>
  <c r="E6" i="24"/>
  <c r="Y26" i="50"/>
  <c r="X27" i="50"/>
  <c r="Y136" i="37"/>
  <c r="X135" i="37"/>
  <c r="AD5" i="50"/>
  <c r="AD6" i="50" s="1"/>
  <c r="AE7" i="50"/>
  <c r="AD3" i="50"/>
  <c r="AD4" i="50" s="1"/>
  <c r="AD105" i="50"/>
  <c r="AD107" i="50" s="1"/>
  <c r="AD110" i="50" s="1"/>
  <c r="AD61" i="50"/>
  <c r="L26" i="43"/>
  <c r="AA105" i="37"/>
  <c r="Z103" i="37"/>
  <c r="V75" i="24"/>
  <c r="X94" i="24"/>
  <c r="W17" i="24"/>
  <c r="V79" i="24"/>
  <c r="X28" i="50"/>
  <c r="W29" i="50"/>
  <c r="U135" i="50"/>
  <c r="L8" i="43" s="1"/>
  <c r="U54" i="50"/>
  <c r="O27" i="24"/>
  <c r="P172" i="24"/>
  <c r="P181" i="24" s="1"/>
  <c r="I11" i="43"/>
  <c r="W96" i="50"/>
  <c r="W97" i="50"/>
  <c r="W98" i="50" s="1"/>
  <c r="D6" i="36"/>
  <c r="J19" i="43"/>
  <c r="AA34" i="37"/>
  <c r="AB24" i="37"/>
  <c r="Y97" i="37"/>
  <c r="X96" i="37"/>
  <c r="T97" i="24"/>
  <c r="E5" i="36"/>
  <c r="K18" i="43"/>
  <c r="AC16" i="50"/>
  <c r="AC19" i="50" s="1"/>
  <c r="AD15" i="50"/>
  <c r="X54" i="37"/>
  <c r="Y51" i="37"/>
  <c r="X68" i="37"/>
  <c r="X76" i="37" s="1"/>
  <c r="AH92" i="50"/>
  <c r="V19" i="24"/>
  <c r="V80" i="24" s="1"/>
  <c r="Y64" i="50"/>
  <c r="X76" i="50"/>
  <c r="X75" i="50" s="1"/>
  <c r="X77" i="50" s="1"/>
  <c r="X79" i="50" s="1"/>
  <c r="X81" i="50" s="1"/>
  <c r="X83" i="50" s="1"/>
  <c r="X63" i="50"/>
  <c r="X66" i="50" s="1"/>
  <c r="X68" i="50" s="1"/>
  <c r="X70" i="50" s="1"/>
  <c r="X72" i="50" s="1"/>
  <c r="X87" i="50" s="1"/>
  <c r="X90" i="50" s="1"/>
  <c r="AA78" i="37"/>
  <c r="W128" i="37"/>
  <c r="W134" i="37" s="1"/>
  <c r="W142" i="37" s="1"/>
  <c r="V144" i="37"/>
  <c r="R41" i="24" s="1"/>
  <c r="R46" i="24" s="1"/>
  <c r="S21" i="37"/>
  <c r="S22" i="37" s="1"/>
  <c r="S12" i="37"/>
  <c r="S57" i="24"/>
  <c r="T55" i="24"/>
  <c r="W49" i="37"/>
  <c r="X48" i="37"/>
  <c r="V77" i="24"/>
  <c r="W16" i="24"/>
  <c r="R96" i="24"/>
  <c r="U27" i="43"/>
  <c r="T86" i="24"/>
  <c r="T48" i="24"/>
  <c r="V98" i="50"/>
  <c r="AA28" i="37"/>
  <c r="T45" i="37"/>
  <c r="S82" i="24"/>
  <c r="T18" i="24"/>
  <c r="AB127" i="50"/>
  <c r="AB128" i="50"/>
  <c r="AB129" i="50" s="1"/>
  <c r="S86" i="24"/>
  <c r="AG60" i="50"/>
  <c r="Q103" i="24"/>
  <c r="U44" i="37"/>
  <c r="AH48" i="50"/>
  <c r="Q20" i="43"/>
  <c r="K7" i="36"/>
  <c r="R52" i="43"/>
  <c r="R10" i="43"/>
  <c r="Z110" i="37"/>
  <c r="AA104" i="37" s="1"/>
  <c r="AA110" i="37" s="1"/>
  <c r="AB104" i="37" s="1"/>
  <c r="X23" i="50"/>
  <c r="W24" i="50"/>
  <c r="W31" i="50" s="1"/>
  <c r="W34" i="50" s="1"/>
  <c r="W37" i="50" s="1"/>
  <c r="W40" i="50" s="1"/>
  <c r="W43" i="50" s="1"/>
  <c r="W46" i="50" s="1"/>
  <c r="T100" i="24"/>
  <c r="U43" i="24"/>
  <c r="T27" i="43"/>
  <c r="T30" i="24"/>
  <c r="S85" i="24"/>
  <c r="V120" i="37"/>
  <c r="R42" i="24" s="1"/>
  <c r="W95" i="37"/>
  <c r="W102" i="37" s="1"/>
  <c r="W118" i="37" s="1"/>
  <c r="AC117" i="50"/>
  <c r="AC121" i="50" s="1"/>
  <c r="AC113" i="50"/>
  <c r="V31" i="50"/>
  <c r="V34" i="50" s="1"/>
  <c r="V37" i="50" s="1"/>
  <c r="V40" i="50" s="1"/>
  <c r="V43" i="50" s="1"/>
  <c r="V46" i="50" s="1"/>
  <c r="X22" i="50"/>
  <c r="Y21" i="50"/>
  <c r="U102" i="24"/>
  <c r="V33" i="24"/>
  <c r="T59" i="24"/>
  <c r="X79" i="37"/>
  <c r="S73" i="24"/>
  <c r="W77" i="37"/>
  <c r="W84" i="37" s="1"/>
  <c r="D5" i="36"/>
  <c r="J18" i="43"/>
  <c r="K28" i="43" l="1"/>
  <c r="AI48" i="50"/>
  <c r="W77" i="24"/>
  <c r="X16" i="24"/>
  <c r="T57" i="24"/>
  <c r="U55" i="24"/>
  <c r="AB78" i="37"/>
  <c r="X84" i="37"/>
  <c r="Y68" i="37"/>
  <c r="Y76" i="37" s="1"/>
  <c r="X87" i="37"/>
  <c r="T40" i="24" s="1"/>
  <c r="W19" i="24"/>
  <c r="W80" i="24" s="1"/>
  <c r="V137" i="50"/>
  <c r="M25" i="43" s="1"/>
  <c r="V52" i="50"/>
  <c r="V53" i="50"/>
  <c r="U59" i="24"/>
  <c r="V102" i="24"/>
  <c r="W33" i="24"/>
  <c r="U30" i="24"/>
  <c r="T85" i="24"/>
  <c r="U45" i="37"/>
  <c r="AD117" i="50"/>
  <c r="AD121" i="50" s="1"/>
  <c r="AD113" i="50"/>
  <c r="E6" i="36"/>
  <c r="K19" i="43"/>
  <c r="M26" i="43"/>
  <c r="W137" i="50"/>
  <c r="N25" i="43" s="1"/>
  <c r="W52" i="50"/>
  <c r="W53" i="50"/>
  <c r="AC127" i="50"/>
  <c r="AC128" i="50"/>
  <c r="AC129" i="50" s="1"/>
  <c r="X96" i="50"/>
  <c r="X97" i="50"/>
  <c r="X98" i="50" s="1"/>
  <c r="W87" i="37"/>
  <c r="S40" i="24" s="1"/>
  <c r="Q172" i="24"/>
  <c r="Q181" i="24" s="1"/>
  <c r="P27" i="24"/>
  <c r="U100" i="24"/>
  <c r="V43" i="24"/>
  <c r="L7" i="36"/>
  <c r="R20" i="43"/>
  <c r="U86" i="24"/>
  <c r="U48" i="24"/>
  <c r="AD16" i="50"/>
  <c r="AD19" i="50" s="1"/>
  <c r="AE15" i="50"/>
  <c r="Y22" i="50"/>
  <c r="Z21" i="50"/>
  <c r="T21" i="37"/>
  <c r="T22" i="37" s="1"/>
  <c r="T12" i="37"/>
  <c r="Z64" i="50"/>
  <c r="Y76" i="50"/>
  <c r="Y75" i="50" s="1"/>
  <c r="Y77" i="50" s="1"/>
  <c r="Y79" i="50" s="1"/>
  <c r="Y81" i="50" s="1"/>
  <c r="Y83" i="50" s="1"/>
  <c r="Y63" i="50"/>
  <c r="Y66" i="50" s="1"/>
  <c r="Y68" i="50" s="1"/>
  <c r="Y70" i="50" s="1"/>
  <c r="Y72" i="50" s="1"/>
  <c r="Y87" i="50" s="1"/>
  <c r="Y90" i="50" s="1"/>
  <c r="Y54" i="37"/>
  <c r="Z51" i="37"/>
  <c r="S52" i="43"/>
  <c r="S10" i="43"/>
  <c r="AE105" i="50"/>
  <c r="AE107" i="50" s="1"/>
  <c r="AE110" i="50" s="1"/>
  <c r="AF7" i="50"/>
  <c r="AE3" i="50"/>
  <c r="AE4" i="50" s="1"/>
  <c r="AE5" i="50"/>
  <c r="AE6" i="50" s="1"/>
  <c r="AE61" i="50"/>
  <c r="F5" i="36"/>
  <c r="L18" i="43"/>
  <c r="X17" i="24"/>
  <c r="W79" i="24"/>
  <c r="I29" i="37"/>
  <c r="E31" i="24"/>
  <c r="E7" i="24"/>
  <c r="C34" i="36"/>
  <c r="I46" i="37"/>
  <c r="Y15" i="24"/>
  <c r="Y78" i="24" s="1"/>
  <c r="X78" i="24"/>
  <c r="Y94" i="24"/>
  <c r="J11" i="43"/>
  <c r="X24" i="50"/>
  <c r="X31" i="50" s="1"/>
  <c r="X34" i="50" s="1"/>
  <c r="X37" i="50" s="1"/>
  <c r="X40" i="50" s="1"/>
  <c r="X43" i="50" s="1"/>
  <c r="X46" i="50" s="1"/>
  <c r="Y23" i="50"/>
  <c r="AH60" i="50"/>
  <c r="T82" i="24"/>
  <c r="U18" i="24"/>
  <c r="X128" i="37"/>
  <c r="X134" i="37" s="1"/>
  <c r="X142" i="37" s="1"/>
  <c r="W144" i="37"/>
  <c r="S41" i="24" s="1"/>
  <c r="Z97" i="37"/>
  <c r="Y96" i="37"/>
  <c r="U97" i="24"/>
  <c r="V27" i="43"/>
  <c r="AB105" i="37"/>
  <c r="AA103" i="37"/>
  <c r="W75" i="24"/>
  <c r="Z136" i="37"/>
  <c r="Y135" i="37"/>
  <c r="X95" i="37"/>
  <c r="X102" i="37" s="1"/>
  <c r="X118" i="37" s="1"/>
  <c r="W120" i="37"/>
  <c r="S42" i="24" s="1"/>
  <c r="Y79" i="37"/>
  <c r="T73" i="24"/>
  <c r="X77" i="37"/>
  <c r="U13" i="37"/>
  <c r="Y48" i="37"/>
  <c r="X49" i="37"/>
  <c r="Y28" i="50"/>
  <c r="X29" i="50"/>
  <c r="Y27" i="50"/>
  <c r="Z26" i="50"/>
  <c r="C57" i="36"/>
  <c r="C86" i="36" s="1"/>
  <c r="C88" i="36" s="1"/>
  <c r="E14" i="24"/>
  <c r="AB28" i="37"/>
  <c r="R103" i="24"/>
  <c r="V44" i="37"/>
  <c r="AI92" i="50"/>
  <c r="AB34" i="37"/>
  <c r="AC24" i="37"/>
  <c r="AC34" i="37" s="1"/>
  <c r="I21" i="43"/>
  <c r="I22" i="43" s="1"/>
  <c r="F8" i="24" s="1"/>
  <c r="C8" i="36"/>
  <c r="F6" i="24"/>
  <c r="I12" i="43"/>
  <c r="L9" i="43"/>
  <c r="V59" i="24" l="1"/>
  <c r="AC28" i="37"/>
  <c r="T96" i="24"/>
  <c r="K11" i="43"/>
  <c r="AE16" i="50"/>
  <c r="AE19" i="50" s="1"/>
  <c r="AF15" i="50"/>
  <c r="S96" i="24"/>
  <c r="S46" i="24"/>
  <c r="AD127" i="50"/>
  <c r="AD128" i="50"/>
  <c r="AD129" i="50" s="1"/>
  <c r="V135" i="50"/>
  <c r="M8" i="43" s="1"/>
  <c r="V54" i="50"/>
  <c r="Y49" i="37"/>
  <c r="Z48" i="37"/>
  <c r="E32" i="24"/>
  <c r="E52" i="24"/>
  <c r="AF105" i="50"/>
  <c r="AF107" i="50" s="1"/>
  <c r="AF110" i="50" s="1"/>
  <c r="AG7" i="50"/>
  <c r="AF5" i="50"/>
  <c r="AF6" i="50" s="1"/>
  <c r="AF61" i="50"/>
  <c r="Y84" i="37"/>
  <c r="Z68" i="37"/>
  <c r="Z76" i="37" s="1"/>
  <c r="Y87" i="37"/>
  <c r="U40" i="24" s="1"/>
  <c r="X19" i="24"/>
  <c r="X80" i="24" s="1"/>
  <c r="E22" i="24"/>
  <c r="Z79" i="37"/>
  <c r="U73" i="24"/>
  <c r="Y77" i="37"/>
  <c r="AI60" i="50"/>
  <c r="L28" i="43"/>
  <c r="Y96" i="50"/>
  <c r="Y97" i="50"/>
  <c r="Y98" i="50" s="1"/>
  <c r="F6" i="36"/>
  <c r="L19" i="43"/>
  <c r="Z27" i="50"/>
  <c r="AA26" i="50"/>
  <c r="E88" i="24"/>
  <c r="AE113" i="50"/>
  <c r="AE117" i="50"/>
  <c r="AE121" i="50" s="1"/>
  <c r="AA64" i="50"/>
  <c r="Z76" i="50"/>
  <c r="Z75" i="50" s="1"/>
  <c r="Z77" i="50" s="1"/>
  <c r="Z79" i="50" s="1"/>
  <c r="Z81" i="50" s="1"/>
  <c r="Z83" i="50" s="1"/>
  <c r="Z63" i="50"/>
  <c r="Z66" i="50" s="1"/>
  <c r="Z68" i="50" s="1"/>
  <c r="Z70" i="50" s="1"/>
  <c r="Z72" i="50" s="1"/>
  <c r="W135" i="50"/>
  <c r="N8" i="43" s="1"/>
  <c r="W54" i="50"/>
  <c r="AC105" i="37"/>
  <c r="AB103" i="37"/>
  <c r="X75" i="24"/>
  <c r="AJ92" i="50"/>
  <c r="V13" i="37"/>
  <c r="Y128" i="37"/>
  <c r="Y134" i="37" s="1"/>
  <c r="Y142" i="37" s="1"/>
  <c r="X144" i="37"/>
  <c r="T41" i="24" s="1"/>
  <c r="T46" i="24" s="1"/>
  <c r="Y24" i="50"/>
  <c r="Z23" i="50"/>
  <c r="M7" i="36"/>
  <c r="S20" i="43"/>
  <c r="U12" i="37"/>
  <c r="U21" i="37"/>
  <c r="U22" i="37" s="1"/>
  <c r="V48" i="24"/>
  <c r="X137" i="50"/>
  <c r="O25" i="43" s="1"/>
  <c r="X52" i="50"/>
  <c r="X53" i="50"/>
  <c r="V100" i="24"/>
  <c r="W43" i="24"/>
  <c r="AC78" i="37"/>
  <c r="AJ48" i="50"/>
  <c r="J29" i="37"/>
  <c r="F31" i="24"/>
  <c r="F7" i="24"/>
  <c r="D34" i="36"/>
  <c r="F13" i="24"/>
  <c r="P35" i="21"/>
  <c r="X40" i="21"/>
  <c r="N35" i="21"/>
  <c r="V40" i="21"/>
  <c r="J46" i="37"/>
  <c r="Y95" i="37"/>
  <c r="Y102" i="37" s="1"/>
  <c r="Y118" i="37" s="1"/>
  <c r="X120" i="37"/>
  <c r="T42" i="24" s="1"/>
  <c r="J21" i="43"/>
  <c r="J22" i="43" s="1"/>
  <c r="G8" i="24" s="1"/>
  <c r="D8" i="36"/>
  <c r="J12" i="43"/>
  <c r="G6" i="24"/>
  <c r="T52" i="43"/>
  <c r="T10" i="43"/>
  <c r="U57" i="24"/>
  <c r="V55" i="24"/>
  <c r="AB110" i="37"/>
  <c r="AC104" i="37" s="1"/>
  <c r="AC110" i="37" s="1"/>
  <c r="W27" i="43"/>
  <c r="Z22" i="50"/>
  <c r="AA21" i="50"/>
  <c r="W102" i="24"/>
  <c r="X33" i="24"/>
  <c r="N26" i="43"/>
  <c r="M9" i="43"/>
  <c r="V30" i="24"/>
  <c r="U85" i="24"/>
  <c r="U52" i="43"/>
  <c r="U10" i="43"/>
  <c r="D57" i="36"/>
  <c r="D86" i="36" s="1"/>
  <c r="D88" i="36" s="1"/>
  <c r="F14" i="24"/>
  <c r="Z28" i="50"/>
  <c r="Y29" i="50"/>
  <c r="R172" i="24"/>
  <c r="R181" i="24" s="1"/>
  <c r="Q27" i="24"/>
  <c r="X77" i="24"/>
  <c r="Y16" i="24"/>
  <c r="Y77" i="24" s="1"/>
  <c r="V45" i="37"/>
  <c r="X79" i="24"/>
  <c r="Y17" i="24"/>
  <c r="Y79" i="24" s="1"/>
  <c r="Z135" i="37"/>
  <c r="AA136" i="37"/>
  <c r="AA97" i="37"/>
  <c r="Z96" i="37"/>
  <c r="V97" i="24"/>
  <c r="U82" i="24"/>
  <c r="V18" i="24"/>
  <c r="Y19" i="24"/>
  <c r="Y80" i="24" s="1"/>
  <c r="Z54" i="37"/>
  <c r="AA51" i="37"/>
  <c r="E57" i="36" l="1"/>
  <c r="Z24" i="50"/>
  <c r="Z31" i="50" s="1"/>
  <c r="Z34" i="50" s="1"/>
  <c r="Z37" i="50" s="1"/>
  <c r="Z40" i="50" s="1"/>
  <c r="Z43" i="50" s="1"/>
  <c r="Z46" i="50" s="1"/>
  <c r="AA23" i="50"/>
  <c r="AA27" i="50"/>
  <c r="AB26" i="50"/>
  <c r="I6" i="21"/>
  <c r="I8" i="21" s="1"/>
  <c r="E70" i="24"/>
  <c r="E23" i="24"/>
  <c r="F91" i="24" s="1"/>
  <c r="X54" i="50"/>
  <c r="X135" i="50"/>
  <c r="O8" i="43" s="1"/>
  <c r="AJ60" i="50"/>
  <c r="K21" i="43"/>
  <c r="K22" i="43" s="1"/>
  <c r="H8" i="24" s="1"/>
  <c r="E8" i="36"/>
  <c r="H6" i="24"/>
  <c r="K12" i="43"/>
  <c r="M28" i="43"/>
  <c r="Y31" i="50"/>
  <c r="Y34" i="50" s="1"/>
  <c r="Y37" i="50" s="1"/>
  <c r="Y40" i="50" s="1"/>
  <c r="Y43" i="50" s="1"/>
  <c r="Y46" i="50" s="1"/>
  <c r="AC103" i="37"/>
  <c r="Y75" i="24"/>
  <c r="W55" i="24"/>
  <c r="V57" i="24"/>
  <c r="Z95" i="37"/>
  <c r="Z102" i="37" s="1"/>
  <c r="Z118" i="37" s="1"/>
  <c r="Y120" i="37"/>
  <c r="U42" i="24" s="1"/>
  <c r="F52" i="24"/>
  <c r="F32" i="24"/>
  <c r="W48" i="24"/>
  <c r="W86" i="24"/>
  <c r="M18" i="43"/>
  <c r="G5" i="36"/>
  <c r="Z29" i="50"/>
  <c r="AA28" i="50"/>
  <c r="F88" i="24"/>
  <c r="V86" i="24"/>
  <c r="Y144" i="37"/>
  <c r="U41" i="24" s="1"/>
  <c r="U46" i="24" s="1"/>
  <c r="Z128" i="37"/>
  <c r="Z134" i="37" s="1"/>
  <c r="Z142" i="37" s="1"/>
  <c r="AF3" i="50"/>
  <c r="AF4" i="50" s="1"/>
  <c r="AA54" i="37"/>
  <c r="AB51" i="37"/>
  <c r="M19" i="43"/>
  <c r="G6" i="36"/>
  <c r="AA96" i="37"/>
  <c r="AB97" i="37"/>
  <c r="W97" i="24"/>
  <c r="S172" i="24"/>
  <c r="S181" i="24" s="1"/>
  <c r="R27" i="24"/>
  <c r="AA22" i="50"/>
  <c r="AB21" i="50"/>
  <c r="H5" i="36"/>
  <c r="N18" i="43"/>
  <c r="U96" i="24"/>
  <c r="AG105" i="50"/>
  <c r="AG107" i="50" s="1"/>
  <c r="AG110" i="50" s="1"/>
  <c r="AG3" i="50"/>
  <c r="AG5" i="50"/>
  <c r="AG6" i="50" s="1"/>
  <c r="AH7" i="50"/>
  <c r="AG61" i="50"/>
  <c r="X43" i="24"/>
  <c r="W100" i="24"/>
  <c r="V12" i="37"/>
  <c r="V21" i="37"/>
  <c r="V22" i="37" s="1"/>
  <c r="V52" i="43"/>
  <c r="V10" i="43"/>
  <c r="Z87" i="50"/>
  <c r="Z90" i="50" s="1"/>
  <c r="AA79" i="37"/>
  <c r="V73" i="24"/>
  <c r="Z77" i="37"/>
  <c r="Z87" i="37" s="1"/>
  <c r="V40" i="24" s="1"/>
  <c r="AA68" i="37"/>
  <c r="AA76" i="37" s="1"/>
  <c r="Z84" i="37"/>
  <c r="AF113" i="50"/>
  <c r="AF117" i="50"/>
  <c r="AF121" i="50" s="1"/>
  <c r="T103" i="24"/>
  <c r="X44" i="37"/>
  <c r="W59" i="24"/>
  <c r="O26" i="43"/>
  <c r="X102" i="24"/>
  <c r="Y33" i="24"/>
  <c r="Y102" i="24" s="1"/>
  <c r="G7" i="24"/>
  <c r="E34" i="36"/>
  <c r="E35" i="36" s="1"/>
  <c r="G3" i="24"/>
  <c r="G13" i="24"/>
  <c r="G31" i="24"/>
  <c r="P36" i="21"/>
  <c r="K29" i="37"/>
  <c r="X41" i="21"/>
  <c r="V41" i="21"/>
  <c r="N36" i="21"/>
  <c r="K46" i="37"/>
  <c r="W13" i="37"/>
  <c r="X13" i="37" s="1"/>
  <c r="Z49" i="37"/>
  <c r="AA48" i="37"/>
  <c r="S103" i="24"/>
  <c r="W44" i="37"/>
  <c r="X27" i="43"/>
  <c r="AK92" i="50"/>
  <c r="AB64" i="50"/>
  <c r="AA76" i="50"/>
  <c r="AA75" i="50" s="1"/>
  <c r="AA77" i="50" s="1"/>
  <c r="AA79" i="50" s="1"/>
  <c r="AA81" i="50" s="1"/>
  <c r="AA83" i="50" s="1"/>
  <c r="AA63" i="50"/>
  <c r="AA66" i="50" s="1"/>
  <c r="AA68" i="50" s="1"/>
  <c r="AA70" i="50" s="1"/>
  <c r="AA72" i="50" s="1"/>
  <c r="AA87" i="50" s="1"/>
  <c r="AA90" i="50" s="1"/>
  <c r="E89" i="24"/>
  <c r="E87" i="24"/>
  <c r="AA135" i="37"/>
  <c r="AB136" i="37"/>
  <c r="T20" i="43"/>
  <c r="N7" i="36"/>
  <c r="AK48" i="50"/>
  <c r="AE127" i="50"/>
  <c r="AE128" i="50"/>
  <c r="AE129" i="50" s="1"/>
  <c r="L11" i="43"/>
  <c r="V82" i="24"/>
  <c r="W18" i="24"/>
  <c r="U20" i="43"/>
  <c r="O7" i="36"/>
  <c r="V85" i="24"/>
  <c r="W30" i="24"/>
  <c r="C134" i="36"/>
  <c r="AF16" i="50"/>
  <c r="AF19" i="50" s="1"/>
  <c r="AG15" i="50"/>
  <c r="I9" i="21" l="1"/>
  <c r="V96" i="24"/>
  <c r="AG16" i="50"/>
  <c r="AG19" i="50" s="1"/>
  <c r="AH15" i="50"/>
  <c r="W82" i="24"/>
  <c r="X18" i="24"/>
  <c r="AF127" i="50"/>
  <c r="AF128" i="50"/>
  <c r="AF129" i="50" s="1"/>
  <c r="Z96" i="50"/>
  <c r="Z97" i="50"/>
  <c r="Z98" i="50" s="1"/>
  <c r="AA95" i="37"/>
  <c r="AA102" i="37" s="1"/>
  <c r="AA118" i="37" s="1"/>
  <c r="Z120" i="37"/>
  <c r="V42" i="24" s="1"/>
  <c r="V46" i="24" s="1"/>
  <c r="I5" i="36"/>
  <c r="O18" i="43"/>
  <c r="AB27" i="50"/>
  <c r="AC26" i="50"/>
  <c r="D134" i="36"/>
  <c r="V20" i="43"/>
  <c r="P7" i="36"/>
  <c r="AG4" i="50"/>
  <c r="N28" i="43"/>
  <c r="G14" i="24"/>
  <c r="Z144" i="37"/>
  <c r="V41" i="24" s="1"/>
  <c r="AA128" i="37"/>
  <c r="AA134" i="37" s="1"/>
  <c r="AA142" i="37" s="1"/>
  <c r="X55" i="24"/>
  <c r="W57" i="24"/>
  <c r="F34" i="36"/>
  <c r="F35" i="36" s="1"/>
  <c r="H7" i="24"/>
  <c r="H13" i="24"/>
  <c r="E134" i="36" s="1"/>
  <c r="H31" i="24"/>
  <c r="L29" i="37"/>
  <c r="L46" i="37"/>
  <c r="P26" i="43"/>
  <c r="AH105" i="50"/>
  <c r="AH107" i="50" s="1"/>
  <c r="AH110" i="50" s="1"/>
  <c r="AH5" i="50"/>
  <c r="AH6" i="50" s="1"/>
  <c r="AI7" i="50"/>
  <c r="AH3" i="50"/>
  <c r="AH4" i="50" s="1"/>
  <c r="AH61" i="50"/>
  <c r="AC64" i="50"/>
  <c r="AB76" i="50"/>
  <c r="AB75" i="50" s="1"/>
  <c r="AB77" i="50" s="1"/>
  <c r="AB79" i="50" s="1"/>
  <c r="AB81" i="50" s="1"/>
  <c r="AB83" i="50" s="1"/>
  <c r="AB63" i="50"/>
  <c r="AB66" i="50" s="1"/>
  <c r="AB68" i="50" s="1"/>
  <c r="AB70" i="50" s="1"/>
  <c r="AB72" i="50" s="1"/>
  <c r="AG113" i="50"/>
  <c r="AG117" i="50"/>
  <c r="AG121" i="50" s="1"/>
  <c r="AB22" i="50"/>
  <c r="AC21" i="50"/>
  <c r="E58" i="36"/>
  <c r="E86" i="36"/>
  <c r="E88" i="36" s="1"/>
  <c r="U103" i="24"/>
  <c r="Y44" i="37"/>
  <c r="AB96" i="37"/>
  <c r="AC97" i="37"/>
  <c r="X97" i="24"/>
  <c r="W52" i="43"/>
  <c r="W10" i="43"/>
  <c r="L21" i="43"/>
  <c r="L22" i="43" s="1"/>
  <c r="I8" i="24" s="1"/>
  <c r="F8" i="36"/>
  <c r="L12" i="43"/>
  <c r="I6" i="24"/>
  <c r="AC136" i="37"/>
  <c r="AC135" i="37" s="1"/>
  <c r="AB135" i="37"/>
  <c r="W45" i="37"/>
  <c r="X59" i="24"/>
  <c r="AB68" i="37"/>
  <c r="AB76" i="37" s="1"/>
  <c r="AA87" i="37"/>
  <c r="W40" i="24" s="1"/>
  <c r="AA84" i="37"/>
  <c r="N51" i="43"/>
  <c r="N9" i="43"/>
  <c r="X48" i="24"/>
  <c r="H14" i="24"/>
  <c r="F57" i="36"/>
  <c r="AA24" i="50"/>
  <c r="AB23" i="50"/>
  <c r="G52" i="24"/>
  <c r="G32" i="24"/>
  <c r="W21" i="37"/>
  <c r="W22" i="37" s="1"/>
  <c r="W12" i="37"/>
  <c r="AB54" i="37"/>
  <c r="AC51" i="37"/>
  <c r="AC54" i="37" s="1"/>
  <c r="AA29" i="50"/>
  <c r="AB28" i="50"/>
  <c r="Y137" i="50"/>
  <c r="P25" i="43" s="1"/>
  <c r="Y52" i="50"/>
  <c r="Y53" i="50"/>
  <c r="Z137" i="50"/>
  <c r="Q25" i="43" s="1"/>
  <c r="Z52" i="50"/>
  <c r="Z53" i="50"/>
  <c r="G88" i="24"/>
  <c r="Y13" i="37"/>
  <c r="W85" i="24"/>
  <c r="X30" i="24"/>
  <c r="AA49" i="37"/>
  <c r="AB48" i="37"/>
  <c r="X45" i="37"/>
  <c r="E83" i="24"/>
  <c r="T172" i="24"/>
  <c r="T181" i="24" s="1"/>
  <c r="S27" i="24"/>
  <c r="F87" i="24"/>
  <c r="M11" i="43"/>
  <c r="AA96" i="50"/>
  <c r="AA97" i="50"/>
  <c r="AA98" i="50" s="1"/>
  <c r="E84" i="24"/>
  <c r="I12" i="21" s="1"/>
  <c r="I14" i="21" s="1"/>
  <c r="AB79" i="37"/>
  <c r="W73" i="24"/>
  <c r="AA77" i="37"/>
  <c r="Y43" i="24"/>
  <c r="Y100" i="24" s="1"/>
  <c r="X100" i="24"/>
  <c r="F89" i="24"/>
  <c r="AK60" i="50"/>
  <c r="E24" i="24"/>
  <c r="D110" i="36" l="1"/>
  <c r="G89" i="24"/>
  <c r="W96" i="24"/>
  <c r="G8" i="36"/>
  <c r="M21" i="43"/>
  <c r="M22" i="43" s="1"/>
  <c r="J8" i="24" s="1"/>
  <c r="J6" i="24"/>
  <c r="M12" i="43"/>
  <c r="Y30" i="24"/>
  <c r="X85" i="24"/>
  <c r="Y54" i="50"/>
  <c r="Y135" i="50"/>
  <c r="P8" i="43" s="1"/>
  <c r="AC68" i="37"/>
  <c r="AC76" i="37" s="1"/>
  <c r="G57" i="36"/>
  <c r="AD21" i="50"/>
  <c r="AC22" i="50"/>
  <c r="AC76" i="50"/>
  <c r="AC75" i="50" s="1"/>
  <c r="AC77" i="50" s="1"/>
  <c r="AC79" i="50" s="1"/>
  <c r="AC81" i="50" s="1"/>
  <c r="AC83" i="50" s="1"/>
  <c r="AD64" i="50"/>
  <c r="AC63" i="50"/>
  <c r="AC66" i="50" s="1"/>
  <c r="AC68" i="50" s="1"/>
  <c r="AC70" i="50" s="1"/>
  <c r="AC72" i="50" s="1"/>
  <c r="AC87" i="50" s="1"/>
  <c r="AC90" i="50" s="1"/>
  <c r="H52" i="24"/>
  <c r="H32" i="24"/>
  <c r="H87" i="24" s="1"/>
  <c r="E25" i="24"/>
  <c r="E61" i="24"/>
  <c r="T27" i="24"/>
  <c r="U172" i="24"/>
  <c r="U181" i="24" s="1"/>
  <c r="Y59" i="24"/>
  <c r="W20" i="43"/>
  <c r="Q7" i="36"/>
  <c r="V103" i="24"/>
  <c r="Z44" i="37"/>
  <c r="AH117" i="50"/>
  <c r="AH121" i="50" s="1"/>
  <c r="AH113" i="50"/>
  <c r="AG127" i="50"/>
  <c r="AG128" i="50"/>
  <c r="AG129" i="50" s="1"/>
  <c r="Z13" i="37"/>
  <c r="X82" i="24"/>
  <c r="Y18" i="24"/>
  <c r="Y82" i="24" s="1"/>
  <c r="F84" i="24"/>
  <c r="J12" i="21" s="1"/>
  <c r="E90" i="24"/>
  <c r="E92" i="24" s="1"/>
  <c r="X12" i="37"/>
  <c r="X21" i="37"/>
  <c r="X22" i="37" s="1"/>
  <c r="F58" i="36"/>
  <c r="F86" i="36"/>
  <c r="F88" i="36" s="1"/>
  <c r="AC96" i="37"/>
  <c r="Y97" i="24"/>
  <c r="O28" i="43"/>
  <c r="AB95" i="37"/>
  <c r="AB102" i="37" s="1"/>
  <c r="AB118" i="37" s="1"/>
  <c r="AA120" i="37"/>
  <c r="W42" i="24" s="1"/>
  <c r="AB49" i="37"/>
  <c r="AC48" i="37"/>
  <c r="AC49" i="37" s="1"/>
  <c r="AB24" i="50"/>
  <c r="AC23" i="50"/>
  <c r="AA31" i="50"/>
  <c r="AA34" i="50" s="1"/>
  <c r="AA37" i="50" s="1"/>
  <c r="AA40" i="50" s="1"/>
  <c r="AA43" i="50" s="1"/>
  <c r="AA46" i="50" s="1"/>
  <c r="X57" i="24"/>
  <c r="Y55" i="24"/>
  <c r="Y57" i="24" s="1"/>
  <c r="Q26" i="43"/>
  <c r="N19" i="43"/>
  <c r="H6" i="36"/>
  <c r="X52" i="43"/>
  <c r="X10" i="43"/>
  <c r="AI105" i="50"/>
  <c r="AI107" i="50" s="1"/>
  <c r="AI110" i="50" s="1"/>
  <c r="AI5" i="50"/>
  <c r="AI6" i="50" s="1"/>
  <c r="AJ7" i="50"/>
  <c r="AI61" i="50"/>
  <c r="AA144" i="37"/>
  <c r="W41" i="24" s="1"/>
  <c r="W46" i="24" s="1"/>
  <c r="AB128" i="37"/>
  <c r="AB134" i="37" s="1"/>
  <c r="AB142" i="37" s="1"/>
  <c r="AC27" i="50"/>
  <c r="AD26" i="50"/>
  <c r="O51" i="43"/>
  <c r="O9" i="43"/>
  <c r="AI15" i="50"/>
  <c r="AH16" i="50"/>
  <c r="AH19" i="50" s="1"/>
  <c r="G87" i="24"/>
  <c r="Y48" i="24"/>
  <c r="Y86" i="24" s="1"/>
  <c r="Y27" i="43"/>
  <c r="AC79" i="37"/>
  <c r="X73" i="24"/>
  <c r="AB77" i="37"/>
  <c r="AB84" i="37" s="1"/>
  <c r="Z135" i="50"/>
  <c r="Q8" i="43" s="1"/>
  <c r="Z54" i="50"/>
  <c r="AB29" i="50"/>
  <c r="AC28" i="50"/>
  <c r="X86" i="24"/>
  <c r="I7" i="24"/>
  <c r="I31" i="24"/>
  <c r="I13" i="24"/>
  <c r="F134" i="36" s="1"/>
  <c r="G34" i="36"/>
  <c r="G35" i="36" s="1"/>
  <c r="M29" i="37"/>
  <c r="M46" i="37"/>
  <c r="Y45" i="37"/>
  <c r="AB87" i="50"/>
  <c r="AB90" i="50" s="1"/>
  <c r="H88" i="24"/>
  <c r="N11" i="43"/>
  <c r="R26" i="43" l="1"/>
  <c r="AI16" i="50"/>
  <c r="AI19" i="50" s="1"/>
  <c r="AJ15" i="50"/>
  <c r="Z45" i="37"/>
  <c r="AB87" i="37"/>
  <c r="X40" i="24" s="1"/>
  <c r="E26" i="24"/>
  <c r="C78" i="36"/>
  <c r="C79" i="36" s="1"/>
  <c r="C87" i="36"/>
  <c r="C89" i="36" s="1"/>
  <c r="AC96" i="50"/>
  <c r="AC97" i="50"/>
  <c r="H57" i="36"/>
  <c r="Q18" i="43"/>
  <c r="K5" i="36"/>
  <c r="AD76" i="50"/>
  <c r="AD75" i="50" s="1"/>
  <c r="AD77" i="50" s="1"/>
  <c r="AD79" i="50" s="1"/>
  <c r="AD81" i="50" s="1"/>
  <c r="AD83" i="50" s="1"/>
  <c r="AE64" i="50"/>
  <c r="AD63" i="50"/>
  <c r="AD66" i="50" s="1"/>
  <c r="AD68" i="50" s="1"/>
  <c r="AD70" i="50" s="1"/>
  <c r="AD72" i="50" s="1"/>
  <c r="AD87" i="50" s="1"/>
  <c r="AD90" i="50" s="1"/>
  <c r="AI117" i="50"/>
  <c r="AI121" i="50" s="1"/>
  <c r="AI113" i="50"/>
  <c r="R7" i="36"/>
  <c r="X20" i="43"/>
  <c r="AC24" i="50"/>
  <c r="AC31" i="50" s="1"/>
  <c r="AC34" i="50" s="1"/>
  <c r="AC37" i="50" s="1"/>
  <c r="AC40" i="50" s="1"/>
  <c r="AC43" i="50" s="1"/>
  <c r="AC46" i="50" s="1"/>
  <c r="AD23" i="50"/>
  <c r="H8" i="36"/>
  <c r="N21" i="43"/>
  <c r="N22" i="43" s="1"/>
  <c r="K8" i="24" s="1"/>
  <c r="Y73" i="24"/>
  <c r="AC77" i="37"/>
  <c r="AC87" i="37" s="1"/>
  <c r="Y40" i="24" s="1"/>
  <c r="AD27" i="50"/>
  <c r="AE26" i="50"/>
  <c r="J5" i="36"/>
  <c r="P18" i="43"/>
  <c r="I88" i="24"/>
  <c r="V172" i="24"/>
  <c r="V181" i="24" s="1"/>
  <c r="U27" i="24"/>
  <c r="AE21" i="50"/>
  <c r="AD22" i="50"/>
  <c r="P28" i="43"/>
  <c r="O19" i="43"/>
  <c r="I6" i="36"/>
  <c r="L6" i="24"/>
  <c r="Z27" i="43"/>
  <c r="O11" i="43"/>
  <c r="O12" i="43" s="1"/>
  <c r="AB31" i="50"/>
  <c r="AB34" i="50" s="1"/>
  <c r="AB37" i="50" s="1"/>
  <c r="AB40" i="50" s="1"/>
  <c r="AB43" i="50" s="1"/>
  <c r="AB46" i="50" s="1"/>
  <c r="I32" i="24"/>
  <c r="I87" i="24" s="1"/>
  <c r="I52" i="24"/>
  <c r="AB144" i="37"/>
  <c r="X41" i="24" s="1"/>
  <c r="AC128" i="37"/>
  <c r="AC134" i="37" s="1"/>
  <c r="AC142" i="37" s="1"/>
  <c r="AC144" i="37" s="1"/>
  <c r="Y41" i="24" s="1"/>
  <c r="AB96" i="50"/>
  <c r="AB97" i="50"/>
  <c r="AB98" i="50" s="1"/>
  <c r="AC29" i="50"/>
  <c r="AD28" i="50"/>
  <c r="N12" i="43"/>
  <c r="AH127" i="50"/>
  <c r="AH128" i="50"/>
  <c r="AH129" i="50" s="1"/>
  <c r="H84" i="24"/>
  <c r="L12" i="21" s="1"/>
  <c r="G86" i="36"/>
  <c r="G88" i="36" s="1"/>
  <c r="G58" i="36"/>
  <c r="Y85" i="24"/>
  <c r="AJ5" i="50"/>
  <c r="AJ6" i="50" s="1"/>
  <c r="AK7" i="50"/>
  <c r="AJ105" i="50"/>
  <c r="AJ107" i="50" s="1"/>
  <c r="AJ110" i="50" s="1"/>
  <c r="AJ61" i="50"/>
  <c r="K6" i="24"/>
  <c r="AB120" i="37"/>
  <c r="X42" i="24" s="1"/>
  <c r="AC95" i="37"/>
  <c r="AC102" i="37" s="1"/>
  <c r="AC118" i="37" s="1"/>
  <c r="AC120" i="37" s="1"/>
  <c r="Y42" i="24" s="1"/>
  <c r="Y21" i="37"/>
  <c r="Y22" i="37" s="1"/>
  <c r="Y12" i="37"/>
  <c r="E62" i="24"/>
  <c r="H89" i="24"/>
  <c r="I14" i="24"/>
  <c r="G84" i="24"/>
  <c r="K12" i="21" s="1"/>
  <c r="AI3" i="50"/>
  <c r="AI4" i="50" s="1"/>
  <c r="AA52" i="50"/>
  <c r="AA137" i="50"/>
  <c r="R25" i="43" s="1"/>
  <c r="AA53" i="50"/>
  <c r="AA27" i="43"/>
  <c r="E112" i="24"/>
  <c r="P51" i="43"/>
  <c r="AC84" i="37"/>
  <c r="J31" i="24"/>
  <c r="J13" i="24"/>
  <c r="K13" i="24" s="1"/>
  <c r="L13" i="24" s="1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J7" i="24"/>
  <c r="H34" i="36"/>
  <c r="H35" i="36" s="1"/>
  <c r="N37" i="21"/>
  <c r="N29" i="37"/>
  <c r="N46" i="37"/>
  <c r="W103" i="24"/>
  <c r="AA44" i="37"/>
  <c r="K14" i="24" l="1"/>
  <c r="I57" i="36"/>
  <c r="Y46" i="24"/>
  <c r="Y96" i="24"/>
  <c r="W172" i="24"/>
  <c r="W181" i="24" s="1"/>
  <c r="V27" i="24"/>
  <c r="S26" i="43"/>
  <c r="AA45" i="37"/>
  <c r="E114" i="24"/>
  <c r="AB52" i="50"/>
  <c r="AB137" i="50"/>
  <c r="S25" i="43" s="1"/>
  <c r="AB53" i="50"/>
  <c r="AF21" i="50"/>
  <c r="AE22" i="50"/>
  <c r="Y52" i="43"/>
  <c r="Y10" i="43"/>
  <c r="P9" i="43"/>
  <c r="AB27" i="43"/>
  <c r="G46" i="43" s="1"/>
  <c r="E153" i="36" s="1"/>
  <c r="AJ117" i="50"/>
  <c r="AJ121" i="50" s="1"/>
  <c r="AJ113" i="50"/>
  <c r="AD29" i="50"/>
  <c r="AE28" i="50"/>
  <c r="K31" i="24"/>
  <c r="I34" i="36"/>
  <c r="I35" i="36" s="1"/>
  <c r="K7" i="24"/>
  <c r="O29" i="37"/>
  <c r="O46" i="37"/>
  <c r="L31" i="24"/>
  <c r="L1" i="24"/>
  <c r="P37" i="21"/>
  <c r="J34" i="36"/>
  <c r="P29" i="37"/>
  <c r="P46" i="37"/>
  <c r="I89" i="24"/>
  <c r="I84" i="24" s="1"/>
  <c r="M12" i="21" s="1"/>
  <c r="J32" i="24"/>
  <c r="J87" i="24" s="1"/>
  <c r="J52" i="24"/>
  <c r="AA135" i="50"/>
  <c r="R8" i="43" s="1"/>
  <c r="AA54" i="50"/>
  <c r="H86" i="36"/>
  <c r="H88" i="36" s="1"/>
  <c r="H58" i="36"/>
  <c r="AI127" i="50"/>
  <c r="AI128" i="50"/>
  <c r="AI129" i="50" s="1"/>
  <c r="Q28" i="43"/>
  <c r="J26" i="21"/>
  <c r="J27" i="21" s="1"/>
  <c r="AK105" i="50"/>
  <c r="AK107" i="50" s="1"/>
  <c r="AK110" i="50" s="1"/>
  <c r="AK5" i="50"/>
  <c r="AK6" i="50" s="1"/>
  <c r="AK61" i="50"/>
  <c r="J88" i="24"/>
  <c r="AJ3" i="50"/>
  <c r="AJ4" i="50" s="1"/>
  <c r="P11" i="43"/>
  <c r="J14" i="24"/>
  <c r="AJ16" i="50"/>
  <c r="AJ19" i="50" s="1"/>
  <c r="AK15" i="50"/>
  <c r="AK16" i="50" s="1"/>
  <c r="AK19" i="50" s="1"/>
  <c r="AA13" i="37"/>
  <c r="Q51" i="43"/>
  <c r="O22" i="43"/>
  <c r="L8" i="24" s="1"/>
  <c r="O21" i="43"/>
  <c r="I8" i="36"/>
  <c r="AD96" i="50"/>
  <c r="AD97" i="50"/>
  <c r="AD98" i="50" s="1"/>
  <c r="X46" i="24"/>
  <c r="X96" i="24"/>
  <c r="Z12" i="37"/>
  <c r="Z21" i="37"/>
  <c r="Z22" i="37" s="1"/>
  <c r="AE23" i="50"/>
  <c r="AD24" i="50"/>
  <c r="AE76" i="50"/>
  <c r="AE75" i="50" s="1"/>
  <c r="AE77" i="50" s="1"/>
  <c r="AE79" i="50" s="1"/>
  <c r="AE81" i="50" s="1"/>
  <c r="AE83" i="50" s="1"/>
  <c r="AF64" i="50"/>
  <c r="AE63" i="50"/>
  <c r="AE66" i="50" s="1"/>
  <c r="AE68" i="50" s="1"/>
  <c r="AE70" i="50" s="1"/>
  <c r="AE72" i="50" s="1"/>
  <c r="AC137" i="50"/>
  <c r="T25" i="43" s="1"/>
  <c r="AC52" i="50"/>
  <c r="AC53" i="50"/>
  <c r="AC98" i="50"/>
  <c r="AE27" i="50"/>
  <c r="AF26" i="50"/>
  <c r="J35" i="36" l="1"/>
  <c r="K88" i="24"/>
  <c r="J6" i="36"/>
  <c r="P19" i="43"/>
  <c r="P22" i="43" s="1"/>
  <c r="M8" i="24" s="1"/>
  <c r="M6" i="24"/>
  <c r="P12" i="43"/>
  <c r="Q9" i="43"/>
  <c r="Y20" i="43"/>
  <c r="S7" i="36"/>
  <c r="AE24" i="50"/>
  <c r="AF23" i="50"/>
  <c r="R28" i="43"/>
  <c r="R18" i="43"/>
  <c r="L5" i="36"/>
  <c r="AA52" i="43"/>
  <c r="AA10" i="43"/>
  <c r="J89" i="24"/>
  <c r="L88" i="24"/>
  <c r="AE29" i="50"/>
  <c r="AF28" i="50"/>
  <c r="P21" i="43"/>
  <c r="J8" i="36"/>
  <c r="R51" i="43"/>
  <c r="R9" i="43"/>
  <c r="AE87" i="50"/>
  <c r="AE90" i="50" s="1"/>
  <c r="X103" i="24"/>
  <c r="AB44" i="37"/>
  <c r="Q11" i="43"/>
  <c r="J84" i="24"/>
  <c r="N12" i="21" s="1"/>
  <c r="AK3" i="50"/>
  <c r="AK4" i="50" s="1"/>
  <c r="AF22" i="50"/>
  <c r="AG21" i="50"/>
  <c r="E38" i="24"/>
  <c r="F113" i="24"/>
  <c r="AK117" i="50"/>
  <c r="AK121" i="50" s="1"/>
  <c r="AK113" i="50"/>
  <c r="Y103" i="24"/>
  <c r="AC44" i="37"/>
  <c r="T26" i="43"/>
  <c r="Z52" i="43"/>
  <c r="Z10" i="43"/>
  <c r="L14" i="24"/>
  <c r="J57" i="36"/>
  <c r="AF76" i="50"/>
  <c r="AF75" i="50" s="1"/>
  <c r="AF77" i="50" s="1"/>
  <c r="AF79" i="50" s="1"/>
  <c r="AF81" i="50" s="1"/>
  <c r="AF83" i="50" s="1"/>
  <c r="AG64" i="50"/>
  <c r="AF63" i="50"/>
  <c r="AF66" i="50" s="1"/>
  <c r="AF68" i="50" s="1"/>
  <c r="AF70" i="50" s="1"/>
  <c r="AF72" i="50" s="1"/>
  <c r="AF87" i="50" s="1"/>
  <c r="AF90" i="50" s="1"/>
  <c r="H16" i="21"/>
  <c r="I16" i="21"/>
  <c r="K52" i="24"/>
  <c r="K32" i="24"/>
  <c r="K87" i="24" s="1"/>
  <c r="AB135" i="50"/>
  <c r="S8" i="43" s="1"/>
  <c r="AB54" i="50"/>
  <c r="X172" i="24"/>
  <c r="X181" i="24" s="1"/>
  <c r="W27" i="24"/>
  <c r="I86" i="36"/>
  <c r="I88" i="36" s="1"/>
  <c r="I58" i="36"/>
  <c r="AF27" i="50"/>
  <c r="AG26" i="50"/>
  <c r="AA12" i="37"/>
  <c r="AA21" i="37"/>
  <c r="AA22" i="37" s="1"/>
  <c r="AC135" i="50"/>
  <c r="T8" i="43" s="1"/>
  <c r="AC54" i="50"/>
  <c r="AD31" i="50"/>
  <c r="AD34" i="50" s="1"/>
  <c r="AD37" i="50" s="1"/>
  <c r="AD40" i="50" s="1"/>
  <c r="AD43" i="50" s="1"/>
  <c r="AD46" i="50" s="1"/>
  <c r="L7" i="24"/>
  <c r="AJ127" i="50"/>
  <c r="AJ128" i="50"/>
  <c r="AJ129" i="50" s="1"/>
  <c r="AD137" i="50" l="1"/>
  <c r="U25" i="43" s="1"/>
  <c r="AD52" i="50"/>
  <c r="AD53" i="50"/>
  <c r="AB45" i="37"/>
  <c r="AK127" i="50"/>
  <c r="AK128" i="50"/>
  <c r="AK129" i="50" s="1"/>
  <c r="AB13" i="37"/>
  <c r="AC13" i="37" s="1"/>
  <c r="M31" i="24"/>
  <c r="K34" i="36"/>
  <c r="K35" i="36" s="1"/>
  <c r="M7" i="24"/>
  <c r="Q29" i="37"/>
  <c r="Q46" i="37"/>
  <c r="R11" i="43"/>
  <c r="M14" i="24"/>
  <c r="K57" i="36"/>
  <c r="AH64" i="50"/>
  <c r="AG76" i="50"/>
  <c r="AG75" i="50" s="1"/>
  <c r="AG77" i="50" s="1"/>
  <c r="AG79" i="50" s="1"/>
  <c r="AG81" i="50" s="1"/>
  <c r="AG83" i="50" s="1"/>
  <c r="AG63" i="50"/>
  <c r="AG66" i="50" s="1"/>
  <c r="AG68" i="50" s="1"/>
  <c r="AG70" i="50" s="1"/>
  <c r="AG72" i="50" s="1"/>
  <c r="AG87" i="50" s="1"/>
  <c r="AG90" i="50" s="1"/>
  <c r="J86" i="36"/>
  <c r="J88" i="36" s="1"/>
  <c r="J58" i="36"/>
  <c r="AB52" i="43"/>
  <c r="AB10" i="43"/>
  <c r="AG22" i="50"/>
  <c r="AH21" i="50"/>
  <c r="AF29" i="50"/>
  <c r="AG28" i="50"/>
  <c r="AA20" i="43"/>
  <c r="U7" i="36"/>
  <c r="AE31" i="50"/>
  <c r="AE34" i="50" s="1"/>
  <c r="AE37" i="50" s="1"/>
  <c r="AE40" i="50" s="1"/>
  <c r="AE43" i="50" s="1"/>
  <c r="AE46" i="50" s="1"/>
  <c r="K89" i="24"/>
  <c r="AF96" i="50"/>
  <c r="AF97" i="50"/>
  <c r="AC45" i="37"/>
  <c r="AE96" i="50"/>
  <c r="AE97" i="50"/>
  <c r="AE98" i="50" s="1"/>
  <c r="L32" i="24"/>
  <c r="L52" i="24"/>
  <c r="R19" i="43"/>
  <c r="L6" i="36"/>
  <c r="Y172" i="24"/>
  <c r="Y181" i="24" s="1"/>
  <c r="Y27" i="24" s="1"/>
  <c r="X27" i="24"/>
  <c r="I27" i="37"/>
  <c r="J35" i="37" s="1"/>
  <c r="E39" i="24"/>
  <c r="AF24" i="50"/>
  <c r="AF31" i="50" s="1"/>
  <c r="AF34" i="50" s="1"/>
  <c r="AF37" i="50" s="1"/>
  <c r="AF40" i="50" s="1"/>
  <c r="AF43" i="50" s="1"/>
  <c r="AF46" i="50" s="1"/>
  <c r="AG23" i="50"/>
  <c r="AB12" i="37"/>
  <c r="AB21" i="37"/>
  <c r="AB22" i="37" s="1"/>
  <c r="AH26" i="50"/>
  <c r="AG27" i="50"/>
  <c r="M5" i="36"/>
  <c r="S18" i="43"/>
  <c r="Q21" i="43"/>
  <c r="K8" i="36"/>
  <c r="S51" i="43"/>
  <c r="S9" i="43"/>
  <c r="T18" i="43"/>
  <c r="N5" i="36"/>
  <c r="K84" i="24"/>
  <c r="O12" i="21" s="1"/>
  <c r="S28" i="43"/>
  <c r="T7" i="36"/>
  <c r="Z20" i="43"/>
  <c r="U26" i="43"/>
  <c r="K6" i="36"/>
  <c r="Q19" i="43"/>
  <c r="Q22" i="43" s="1"/>
  <c r="N8" i="24" s="1"/>
  <c r="Q12" i="43"/>
  <c r="N6" i="24"/>
  <c r="T28" i="43" l="1"/>
  <c r="R22" i="43"/>
  <c r="O8" i="24" s="1"/>
  <c r="M32" i="24"/>
  <c r="M87" i="24" s="1"/>
  <c r="M52" i="24"/>
  <c r="K86" i="36"/>
  <c r="K88" i="36" s="1"/>
  <c r="K58" i="36"/>
  <c r="AI21" i="50"/>
  <c r="AH22" i="50"/>
  <c r="M88" i="24"/>
  <c r="AD54" i="50"/>
  <c r="AD135" i="50"/>
  <c r="U8" i="43" s="1"/>
  <c r="AC21" i="37"/>
  <c r="AC22" i="37" s="1"/>
  <c r="AC12" i="37"/>
  <c r="AE137" i="50"/>
  <c r="V25" i="43" s="1"/>
  <c r="AE52" i="50"/>
  <c r="AE53" i="50"/>
  <c r="J37" i="37"/>
  <c r="F72" i="24"/>
  <c r="F71" i="24" s="1"/>
  <c r="F20" i="24"/>
  <c r="S19" i="43"/>
  <c r="M6" i="36"/>
  <c r="AB20" i="43"/>
  <c r="V7" i="36"/>
  <c r="G37" i="43"/>
  <c r="D153" i="36" s="1"/>
  <c r="P6" i="24"/>
  <c r="L87" i="24"/>
  <c r="L84" i="24" s="1"/>
  <c r="P12" i="21" s="1"/>
  <c r="AH23" i="50"/>
  <c r="AG24" i="50"/>
  <c r="AF137" i="50"/>
  <c r="W25" i="43" s="1"/>
  <c r="AF52" i="50"/>
  <c r="AF53" i="50"/>
  <c r="AG96" i="50"/>
  <c r="AG97" i="50"/>
  <c r="AG98" i="50" s="1"/>
  <c r="R21" i="43"/>
  <c r="L8" i="36"/>
  <c r="R12" i="43"/>
  <c r="AI26" i="50"/>
  <c r="AH27" i="50"/>
  <c r="T51" i="43"/>
  <c r="T9" i="43"/>
  <c r="S12" i="43"/>
  <c r="L89" i="24"/>
  <c r="AF98" i="50"/>
  <c r="N31" i="24"/>
  <c r="N7" i="24"/>
  <c r="L34" i="36"/>
  <c r="L35" i="36" s="1"/>
  <c r="R29" i="37"/>
  <c r="R46" i="37"/>
  <c r="N14" i="24"/>
  <c r="L57" i="36"/>
  <c r="S11" i="43"/>
  <c r="V26" i="43"/>
  <c r="E47" i="24"/>
  <c r="AG29" i="50"/>
  <c r="AH28" i="50"/>
  <c r="AI64" i="50"/>
  <c r="AH76" i="50"/>
  <c r="AH75" i="50" s="1"/>
  <c r="AH77" i="50" s="1"/>
  <c r="AH79" i="50" s="1"/>
  <c r="AH81" i="50" s="1"/>
  <c r="AH83" i="50" s="1"/>
  <c r="AH63" i="50"/>
  <c r="AH66" i="50" s="1"/>
  <c r="AH68" i="50" s="1"/>
  <c r="AH70" i="50" s="1"/>
  <c r="AH72" i="50" s="1"/>
  <c r="O6" i="24"/>
  <c r="U28" i="43" l="1"/>
  <c r="AJ64" i="50"/>
  <c r="AI76" i="50"/>
  <c r="AI75" i="50" s="1"/>
  <c r="AI77" i="50" s="1"/>
  <c r="AI79" i="50" s="1"/>
  <c r="AI81" i="50" s="1"/>
  <c r="AI83" i="50" s="1"/>
  <c r="AI63" i="50"/>
  <c r="AI66" i="50" s="1"/>
  <c r="AI68" i="50" s="1"/>
  <c r="AI70" i="50" s="1"/>
  <c r="AI72" i="50" s="1"/>
  <c r="AJ21" i="50"/>
  <c r="AI22" i="50"/>
  <c r="AF135" i="50"/>
  <c r="W8" i="43" s="1"/>
  <c r="AF54" i="50"/>
  <c r="F21" i="24"/>
  <c r="P31" i="24"/>
  <c r="T29" i="37"/>
  <c r="T46" i="37"/>
  <c r="S21" i="43"/>
  <c r="S22" i="43" s="1"/>
  <c r="P8" i="24" s="1"/>
  <c r="M8" i="36"/>
  <c r="AI28" i="50"/>
  <c r="AH29" i="50"/>
  <c r="N52" i="24"/>
  <c r="N32" i="24"/>
  <c r="N87" i="24" s="1"/>
  <c r="AJ26" i="50"/>
  <c r="AI27" i="50"/>
  <c r="U51" i="43"/>
  <c r="N88" i="24"/>
  <c r="AG31" i="50"/>
  <c r="AG34" i="50" s="1"/>
  <c r="AG37" i="50" s="1"/>
  <c r="AG40" i="50" s="1"/>
  <c r="AG43" i="50" s="1"/>
  <c r="AG46" i="50" s="1"/>
  <c r="W26" i="43"/>
  <c r="M57" i="36"/>
  <c r="O14" i="24"/>
  <c r="O7" i="24"/>
  <c r="M34" i="36"/>
  <c r="M35" i="36" s="1"/>
  <c r="O31" i="24"/>
  <c r="S29" i="37"/>
  <c r="S46" i="37"/>
  <c r="L58" i="36"/>
  <c r="L86" i="36"/>
  <c r="L88" i="36" s="1"/>
  <c r="T30" i="21"/>
  <c r="R30" i="21"/>
  <c r="AI23" i="50"/>
  <c r="AH24" i="50"/>
  <c r="AH31" i="50" s="1"/>
  <c r="AH34" i="50" s="1"/>
  <c r="AH37" i="50" s="1"/>
  <c r="AH40" i="50" s="1"/>
  <c r="AH43" i="50" s="1"/>
  <c r="AH46" i="50" s="1"/>
  <c r="M89" i="24"/>
  <c r="M84" i="24" s="1"/>
  <c r="Q12" i="21" s="1"/>
  <c r="T19" i="43"/>
  <c r="N6" i="36"/>
  <c r="U18" i="43"/>
  <c r="O5" i="36"/>
  <c r="AH87" i="50"/>
  <c r="AH90" i="50" s="1"/>
  <c r="E53" i="24"/>
  <c r="E54" i="24" s="1"/>
  <c r="AE54" i="50"/>
  <c r="AE135" i="50"/>
  <c r="V8" i="43" s="1"/>
  <c r="T11" i="43"/>
  <c r="P14" i="24" l="1"/>
  <c r="P7" i="24"/>
  <c r="O88" i="24"/>
  <c r="AH137" i="50"/>
  <c r="Y25" i="43" s="1"/>
  <c r="AH52" i="50"/>
  <c r="AH53" i="50"/>
  <c r="T21" i="43"/>
  <c r="N8" i="36"/>
  <c r="AH96" i="50"/>
  <c r="AH97" i="50"/>
  <c r="AH98" i="50" s="1"/>
  <c r="P88" i="24"/>
  <c r="AI87" i="50"/>
  <c r="AI90" i="50" s="1"/>
  <c r="AG137" i="50"/>
  <c r="X25" i="43" s="1"/>
  <c r="AG52" i="50"/>
  <c r="AG53" i="50"/>
  <c r="X26" i="43"/>
  <c r="V51" i="43"/>
  <c r="AK64" i="50"/>
  <c r="AJ76" i="50"/>
  <c r="AJ75" i="50" s="1"/>
  <c r="AJ77" i="50" s="1"/>
  <c r="AJ79" i="50" s="1"/>
  <c r="AJ81" i="50" s="1"/>
  <c r="AJ83" i="50" s="1"/>
  <c r="AJ63" i="50"/>
  <c r="AJ66" i="50" s="1"/>
  <c r="AJ68" i="50" s="1"/>
  <c r="AJ70" i="50" s="1"/>
  <c r="AJ72" i="50" s="1"/>
  <c r="AJ87" i="50" s="1"/>
  <c r="AJ90" i="50" s="1"/>
  <c r="V18" i="43"/>
  <c r="P5" i="36"/>
  <c r="O52" i="24"/>
  <c r="O32" i="24"/>
  <c r="O87" i="24" s="1"/>
  <c r="J7" i="21"/>
  <c r="F22" i="24"/>
  <c r="Q6" i="24"/>
  <c r="U9" i="43"/>
  <c r="W18" i="43"/>
  <c r="Q5" i="36"/>
  <c r="AK26" i="50"/>
  <c r="AK27" i="50" s="1"/>
  <c r="AJ27" i="50"/>
  <c r="AJ28" i="50"/>
  <c r="AI29" i="50"/>
  <c r="U11" i="43"/>
  <c r="V28" i="43"/>
  <c r="AJ23" i="50"/>
  <c r="AI24" i="50"/>
  <c r="AI31" i="50" s="1"/>
  <c r="AI34" i="50" s="1"/>
  <c r="AI37" i="50" s="1"/>
  <c r="AI40" i="50" s="1"/>
  <c r="AI43" i="50" s="1"/>
  <c r="AI46" i="50" s="1"/>
  <c r="T12" i="43"/>
  <c r="M58" i="36"/>
  <c r="M86" i="36"/>
  <c r="M88" i="36" s="1"/>
  <c r="T22" i="43"/>
  <c r="Q8" i="24" s="1"/>
  <c r="Q14" i="24" s="1"/>
  <c r="N84" i="24"/>
  <c r="AK21" i="50"/>
  <c r="AK22" i="50" s="1"/>
  <c r="AJ22" i="50"/>
  <c r="E58" i="24"/>
  <c r="N89" i="24"/>
  <c r="W28" i="43" l="1"/>
  <c r="AI137" i="50"/>
  <c r="Z25" i="43" s="1"/>
  <c r="AI52" i="50"/>
  <c r="AI53" i="50"/>
  <c r="O89" i="24"/>
  <c r="O84" i="24" s="1"/>
  <c r="AK23" i="50"/>
  <c r="AK24" i="50" s="1"/>
  <c r="AJ24" i="50"/>
  <c r="W51" i="43"/>
  <c r="AG135" i="50"/>
  <c r="X8" i="43" s="1"/>
  <c r="AG54" i="50"/>
  <c r="U19" i="43"/>
  <c r="U22" i="43" s="1"/>
  <c r="R8" i="24" s="1"/>
  <c r="R14" i="24" s="1"/>
  <c r="O6" i="36"/>
  <c r="U12" i="43"/>
  <c r="R6" i="24"/>
  <c r="E63" i="24"/>
  <c r="Q31" i="24"/>
  <c r="Q7" i="24"/>
  <c r="U29" i="37"/>
  <c r="U46" i="37"/>
  <c r="AI96" i="50"/>
  <c r="AI97" i="50"/>
  <c r="AI98" i="50" s="1"/>
  <c r="V9" i="43"/>
  <c r="AH135" i="50"/>
  <c r="Y8" i="43" s="1"/>
  <c r="AH54" i="50"/>
  <c r="AK28" i="50"/>
  <c r="AK29" i="50" s="1"/>
  <c r="AJ29" i="50"/>
  <c r="Y26" i="43"/>
  <c r="P52" i="24"/>
  <c r="P32" i="24"/>
  <c r="U21" i="43"/>
  <c r="O8" i="36"/>
  <c r="AJ96" i="50"/>
  <c r="AJ97" i="50"/>
  <c r="AJ98" i="50" s="1"/>
  <c r="AK76" i="50"/>
  <c r="AK75" i="50" s="1"/>
  <c r="AK77" i="50" s="1"/>
  <c r="AK79" i="50" s="1"/>
  <c r="AK81" i="50" s="1"/>
  <c r="AK83" i="50" s="1"/>
  <c r="AK63" i="50"/>
  <c r="AK66" i="50" s="1"/>
  <c r="AK68" i="50" s="1"/>
  <c r="AK70" i="50" s="1"/>
  <c r="AK72" i="50" s="1"/>
  <c r="AK87" i="50" s="1"/>
  <c r="AK90" i="50" s="1"/>
  <c r="J6" i="21"/>
  <c r="J8" i="21" s="1"/>
  <c r="F23" i="24"/>
  <c r="G91" i="24" s="1"/>
  <c r="F70" i="24"/>
  <c r="V11" i="43"/>
  <c r="P89" i="24" l="1"/>
  <c r="Q52" i="24"/>
  <c r="Q32" i="24"/>
  <c r="Q87" i="24" s="1"/>
  <c r="F83" i="24"/>
  <c r="F90" i="24" s="1"/>
  <c r="F92" i="24" s="1"/>
  <c r="V19" i="43"/>
  <c r="V22" i="43" s="1"/>
  <c r="S8" i="24" s="1"/>
  <c r="S14" i="24" s="1"/>
  <c r="P6" i="36"/>
  <c r="S6" i="24"/>
  <c r="V12" i="43"/>
  <c r="X51" i="43"/>
  <c r="P8" i="36"/>
  <c r="V21" i="43"/>
  <c r="P87" i="24"/>
  <c r="AK96" i="50"/>
  <c r="AK97" i="50"/>
  <c r="AK98" i="50" s="1"/>
  <c r="Z26" i="43"/>
  <c r="S5" i="36"/>
  <c r="Y18" i="43"/>
  <c r="W9" i="43"/>
  <c r="X28" i="43"/>
  <c r="AK31" i="50"/>
  <c r="AK34" i="50" s="1"/>
  <c r="AK37" i="50" s="1"/>
  <c r="AK40" i="50" s="1"/>
  <c r="AK43" i="50" s="1"/>
  <c r="AK46" i="50" s="1"/>
  <c r="R5" i="36"/>
  <c r="X18" i="43"/>
  <c r="R31" i="24"/>
  <c r="R7" i="24"/>
  <c r="V29" i="37"/>
  <c r="V46" i="37"/>
  <c r="Q88" i="24"/>
  <c r="AI135" i="50"/>
  <c r="Z8" i="43" s="1"/>
  <c r="AI54" i="50"/>
  <c r="J9" i="21"/>
  <c r="J14" i="21" s="1"/>
  <c r="W11" i="43"/>
  <c r="AJ31" i="50"/>
  <c r="AJ34" i="50" s="1"/>
  <c r="AJ37" i="50" s="1"/>
  <c r="AJ40" i="50" s="1"/>
  <c r="AJ43" i="50" s="1"/>
  <c r="AJ46" i="50" s="1"/>
  <c r="E64" i="24"/>
  <c r="F24" i="24"/>
  <c r="Y28" i="43" l="1"/>
  <c r="R52" i="24"/>
  <c r="R32" i="24"/>
  <c r="R87" i="24" s="1"/>
  <c r="F25" i="24"/>
  <c r="F61" i="24"/>
  <c r="Q8" i="36"/>
  <c r="W21" i="43"/>
  <c r="R88" i="24"/>
  <c r="F112" i="24"/>
  <c r="W19" i="43"/>
  <c r="Q6" i="36"/>
  <c r="W12" i="43"/>
  <c r="T6" i="24"/>
  <c r="Q84" i="24"/>
  <c r="Q89" i="24"/>
  <c r="S7" i="24"/>
  <c r="S31" i="24"/>
  <c r="W29" i="37"/>
  <c r="W46" i="37"/>
  <c r="AK52" i="50"/>
  <c r="AK137" i="50"/>
  <c r="AB25" i="43" s="1"/>
  <c r="AK53" i="50"/>
  <c r="AB26" i="43"/>
  <c r="AA26" i="43"/>
  <c r="T5" i="36"/>
  <c r="Z18" i="43"/>
  <c r="X9" i="43"/>
  <c r="Y51" i="43"/>
  <c r="Y9" i="43"/>
  <c r="X11" i="43"/>
  <c r="E110" i="36"/>
  <c r="J16" i="21"/>
  <c r="AJ137" i="50"/>
  <c r="AA25" i="43" s="1"/>
  <c r="AJ52" i="50"/>
  <c r="AJ53" i="50"/>
  <c r="P84" i="24"/>
  <c r="Y19" i="43" l="1"/>
  <c r="S6" i="36"/>
  <c r="Y12" i="43"/>
  <c r="V6" i="24"/>
  <c r="F26" i="24"/>
  <c r="D78" i="36"/>
  <c r="D79" i="36" s="1"/>
  <c r="D87" i="36"/>
  <c r="D89" i="36" s="1"/>
  <c r="X19" i="43"/>
  <c r="R6" i="36"/>
  <c r="X12" i="43"/>
  <c r="U6" i="24"/>
  <c r="F62" i="24"/>
  <c r="T31" i="24"/>
  <c r="X29" i="37"/>
  <c r="X46" i="37"/>
  <c r="S88" i="24"/>
  <c r="Y11" i="43"/>
  <c r="F114" i="24"/>
  <c r="Z28" i="43"/>
  <c r="W22" i="43"/>
  <c r="T8" i="24" s="1"/>
  <c r="T14" i="24" s="1"/>
  <c r="Z51" i="43"/>
  <c r="R89" i="24"/>
  <c r="R84" i="24" s="1"/>
  <c r="S32" i="24"/>
  <c r="S87" i="24" s="1"/>
  <c r="S52" i="24"/>
  <c r="G45" i="43"/>
  <c r="E152" i="36" s="1"/>
  <c r="X21" i="43"/>
  <c r="R8" i="36"/>
  <c r="AK135" i="50"/>
  <c r="AB8" i="43" s="1"/>
  <c r="AK54" i="50"/>
  <c r="G44" i="43"/>
  <c r="E151" i="36" s="1"/>
  <c r="AJ135" i="50"/>
  <c r="AA8" i="43" s="1"/>
  <c r="AJ54" i="50"/>
  <c r="AA28" i="43" l="1"/>
  <c r="S89" i="24"/>
  <c r="AB51" i="43"/>
  <c r="AA18" i="43"/>
  <c r="U5" i="36"/>
  <c r="U31" i="24"/>
  <c r="Y29" i="37"/>
  <c r="Y46" i="37"/>
  <c r="V5" i="36"/>
  <c r="AB18" i="43"/>
  <c r="G35" i="43"/>
  <c r="D151" i="36" s="1"/>
  <c r="T88" i="24"/>
  <c r="F38" i="24"/>
  <c r="G113" i="24"/>
  <c r="X22" i="43"/>
  <c r="U8" i="24" s="1"/>
  <c r="U14" i="24" s="1"/>
  <c r="S84" i="24"/>
  <c r="AA9" i="43"/>
  <c r="AA51" i="43"/>
  <c r="Z11" i="43"/>
  <c r="T7" i="24"/>
  <c r="V31" i="24"/>
  <c r="Z29" i="37"/>
  <c r="Z46" i="37"/>
  <c r="Z9" i="43"/>
  <c r="Y21" i="43"/>
  <c r="S8" i="36"/>
  <c r="Y22" i="43"/>
  <c r="V8" i="24" s="1"/>
  <c r="V14" i="24" s="1"/>
  <c r="V7" i="24" l="1"/>
  <c r="U6" i="36"/>
  <c r="AA19" i="43"/>
  <c r="V52" i="24"/>
  <c r="V32" i="24"/>
  <c r="V88" i="24"/>
  <c r="AB28" i="43"/>
  <c r="G47" i="43" s="1"/>
  <c r="E154" i="36" s="1"/>
  <c r="Z21" i="43"/>
  <c r="T8" i="36"/>
  <c r="J27" i="37"/>
  <c r="K35" i="37" s="1"/>
  <c r="F39" i="24"/>
  <c r="U7" i="24"/>
  <c r="AA12" i="43"/>
  <c r="T32" i="24"/>
  <c r="T52" i="24"/>
  <c r="AB9" i="43"/>
  <c r="T6" i="36"/>
  <c r="Z19" i="43"/>
  <c r="Z22" i="43" s="1"/>
  <c r="W8" i="24" s="1"/>
  <c r="W14" i="24" s="1"/>
  <c r="W6" i="24"/>
  <c r="Z12" i="43"/>
  <c r="U88" i="24"/>
  <c r="AA11" i="43"/>
  <c r="U32" i="24" l="1"/>
  <c r="U52" i="24"/>
  <c r="AB19" i="43"/>
  <c r="V6" i="36"/>
  <c r="G36" i="43"/>
  <c r="D152" i="36" s="1"/>
  <c r="W31" i="24"/>
  <c r="W7" i="24"/>
  <c r="AA29" i="37"/>
  <c r="AA46" i="37"/>
  <c r="F47" i="24"/>
  <c r="V87" i="24"/>
  <c r="G72" i="24"/>
  <c r="G71" i="24" s="1"/>
  <c r="G20" i="24"/>
  <c r="K37" i="37"/>
  <c r="V89" i="24"/>
  <c r="AA21" i="43"/>
  <c r="AA22" i="43" s="1"/>
  <c r="X8" i="24" s="1"/>
  <c r="X14" i="24" s="1"/>
  <c r="U8" i="36"/>
  <c r="X6" i="24"/>
  <c r="T89" i="24"/>
  <c r="T87" i="24"/>
  <c r="T84" i="24" s="1"/>
  <c r="AB11" i="43"/>
  <c r="AB12" i="43" s="1"/>
  <c r="G21" i="24" l="1"/>
  <c r="Y6" i="24"/>
  <c r="X31" i="24"/>
  <c r="X7" i="24"/>
  <c r="AB29" i="37"/>
  <c r="AB46" i="37"/>
  <c r="W52" i="24"/>
  <c r="W32" i="24"/>
  <c r="W87" i="24" s="1"/>
  <c r="W88" i="24"/>
  <c r="V84" i="24"/>
  <c r="F53" i="24"/>
  <c r="F54" i="24" s="1"/>
  <c r="U89" i="24"/>
  <c r="V8" i="36"/>
  <c r="AB21" i="43"/>
  <c r="AB22" i="43" s="1"/>
  <c r="Y8" i="24" s="1"/>
  <c r="Y14" i="24" s="1"/>
  <c r="G38" i="43"/>
  <c r="D154" i="36" s="1"/>
  <c r="U87" i="24"/>
  <c r="F58" i="24" l="1"/>
  <c r="Y7" i="24"/>
  <c r="Y31" i="24"/>
  <c r="AC29" i="37"/>
  <c r="AC46" i="37"/>
  <c r="W89" i="24"/>
  <c r="W84" i="24" s="1"/>
  <c r="X52" i="24"/>
  <c r="X32" i="24"/>
  <c r="X87" i="24" s="1"/>
  <c r="X88" i="24"/>
  <c r="U84" i="24"/>
  <c r="K7" i="21"/>
  <c r="G22" i="24"/>
  <c r="G23" i="24" l="1"/>
  <c r="H91" i="24" s="1"/>
  <c r="G70" i="24"/>
  <c r="K6" i="21"/>
  <c r="K8" i="21" s="1"/>
  <c r="K9" i="21" s="1"/>
  <c r="K14" i="21" s="1"/>
  <c r="Y88" i="24"/>
  <c r="F63" i="24"/>
  <c r="Y32" i="24"/>
  <c r="Y87" i="24" s="1"/>
  <c r="Y52" i="24"/>
  <c r="X89" i="24"/>
  <c r="X84" i="24" s="1"/>
  <c r="F64" i="24" l="1"/>
  <c r="K16" i="21"/>
  <c r="F110" i="36"/>
  <c r="Y89" i="24"/>
  <c r="Y84" i="24" s="1"/>
  <c r="G83" i="24"/>
  <c r="G90" i="24" s="1"/>
  <c r="G92" i="24" s="1"/>
  <c r="G24" i="24"/>
  <c r="G112" i="24" l="1"/>
  <c r="G25" i="24"/>
  <c r="G61" i="24"/>
  <c r="G62" i="24" l="1"/>
  <c r="E87" i="36"/>
  <c r="E89" i="36" s="1"/>
  <c r="G26" i="24"/>
  <c r="E78" i="36"/>
  <c r="E79" i="36" s="1"/>
  <c r="G114" i="24"/>
  <c r="G38" i="24" l="1"/>
  <c r="H113" i="24"/>
  <c r="K27" i="37" l="1"/>
  <c r="L35" i="37" s="1"/>
  <c r="G39" i="24"/>
  <c r="G47" i="24" l="1"/>
  <c r="H20" i="24"/>
  <c r="H21" i="24" s="1"/>
  <c r="H72" i="24"/>
  <c r="H71" i="24" s="1"/>
  <c r="L37" i="37"/>
  <c r="L7" i="21" l="1"/>
  <c r="H22" i="24"/>
  <c r="G53" i="24"/>
  <c r="G54" i="24" s="1"/>
  <c r="G58" i="24" l="1"/>
  <c r="H70" i="24"/>
  <c r="H83" i="24" s="1"/>
  <c r="H90" i="24" s="1"/>
  <c r="H92" i="24" s="1"/>
  <c r="H112" i="24" s="1"/>
  <c r="H114" i="24" s="1"/>
  <c r="H23" i="24"/>
  <c r="I91" i="24" s="1"/>
  <c r="L6" i="21"/>
  <c r="L8" i="21" s="1"/>
  <c r="L9" i="21" l="1"/>
  <c r="L14" i="21" s="1"/>
  <c r="L16" i="21"/>
  <c r="G110" i="36"/>
  <c r="I113" i="24"/>
  <c r="H38" i="24"/>
  <c r="H24" i="24"/>
  <c r="G63" i="24"/>
  <c r="H25" i="24" l="1"/>
  <c r="H61" i="24"/>
  <c r="G64" i="24"/>
  <c r="L27" i="37"/>
  <c r="M35" i="37" s="1"/>
  <c r="H39" i="24"/>
  <c r="H47" i="24" s="1"/>
  <c r="I72" i="24" l="1"/>
  <c r="I71" i="24" s="1"/>
  <c r="I20" i="24"/>
  <c r="I21" i="24" s="1"/>
  <c r="M37" i="37"/>
  <c r="H62" i="24"/>
  <c r="H53" i="24" s="1"/>
  <c r="H54" i="24" s="1"/>
  <c r="H58" i="24" s="1"/>
  <c r="H63" i="24" s="1"/>
  <c r="H64" i="24" s="1"/>
  <c r="F87" i="36"/>
  <c r="F89" i="36" s="1"/>
  <c r="H26" i="24"/>
  <c r="F78" i="36"/>
  <c r="F79" i="36" s="1"/>
  <c r="M7" i="21" l="1"/>
  <c r="I22" i="24"/>
  <c r="I70" i="24" l="1"/>
  <c r="I83" i="24" s="1"/>
  <c r="I90" i="24" s="1"/>
  <c r="I92" i="24" s="1"/>
  <c r="I112" i="24" s="1"/>
  <c r="I114" i="24" s="1"/>
  <c r="I23" i="24"/>
  <c r="J91" i="24" s="1"/>
  <c r="M6" i="21"/>
  <c r="M8" i="21" s="1"/>
  <c r="M9" i="21" s="1"/>
  <c r="M14" i="21" s="1"/>
  <c r="I24" i="24" l="1"/>
  <c r="M16" i="21"/>
  <c r="H110" i="36"/>
  <c r="I25" i="24"/>
  <c r="I61" i="24"/>
  <c r="J113" i="24"/>
  <c r="I38" i="24"/>
  <c r="M27" i="37" l="1"/>
  <c r="N35" i="37" s="1"/>
  <c r="I39" i="24"/>
  <c r="I47" i="24" s="1"/>
  <c r="I62" i="24"/>
  <c r="I26" i="24"/>
  <c r="G87" i="36"/>
  <c r="G89" i="36" s="1"/>
  <c r="G78" i="36"/>
  <c r="G79" i="36" s="1"/>
  <c r="I53" i="24" l="1"/>
  <c r="I54" i="24" s="1"/>
  <c r="I58" i="24" s="1"/>
  <c r="I63" i="24" s="1"/>
  <c r="I64" i="24" s="1"/>
  <c r="J72" i="24"/>
  <c r="J71" i="24" s="1"/>
  <c r="J20" i="24"/>
  <c r="J21" i="24" s="1"/>
  <c r="N37" i="37"/>
  <c r="N7" i="21" l="1"/>
  <c r="J22" i="24"/>
  <c r="J70" i="24" l="1"/>
  <c r="J83" i="24" s="1"/>
  <c r="J90" i="24" s="1"/>
  <c r="J92" i="24" s="1"/>
  <c r="J112" i="24" s="1"/>
  <c r="J114" i="24" s="1"/>
  <c r="J23" i="24"/>
  <c r="K91" i="24" s="1"/>
  <c r="N6" i="21"/>
  <c r="N8" i="21" s="1"/>
  <c r="N9" i="21" l="1"/>
  <c r="N14" i="21" s="1"/>
  <c r="J24" i="24"/>
  <c r="I110" i="36"/>
  <c r="N16" i="21"/>
  <c r="J25" i="24"/>
  <c r="J61" i="24"/>
  <c r="K113" i="24"/>
  <c r="J38" i="24"/>
  <c r="N27" i="37" l="1"/>
  <c r="O35" i="37" s="1"/>
  <c r="J39" i="24"/>
  <c r="J47" i="24" s="1"/>
  <c r="J62" i="24"/>
  <c r="J26" i="24"/>
  <c r="H87" i="36"/>
  <c r="H89" i="36" s="1"/>
  <c r="H78" i="36"/>
  <c r="H79" i="36" s="1"/>
  <c r="J53" i="24" l="1"/>
  <c r="J54" i="24" s="1"/>
  <c r="J58" i="24" s="1"/>
  <c r="J63" i="24" s="1"/>
  <c r="J64" i="24" s="1"/>
  <c r="K72" i="24"/>
  <c r="K71" i="24" s="1"/>
  <c r="K20" i="24"/>
  <c r="K21" i="24" s="1"/>
  <c r="O37" i="37"/>
  <c r="O7" i="21" l="1"/>
  <c r="K22" i="24"/>
  <c r="O6" i="21" l="1"/>
  <c r="O8" i="21" s="1"/>
  <c r="K23" i="24"/>
  <c r="L91" i="24" s="1"/>
  <c r="K70" i="24"/>
  <c r="K83" i="24" s="1"/>
  <c r="K90" i="24" s="1"/>
  <c r="K92" i="24" s="1"/>
  <c r="K112" i="24" s="1"/>
  <c r="K114" i="24" s="1"/>
  <c r="K24" i="24"/>
  <c r="K25" i="24" l="1"/>
  <c r="K61" i="24"/>
  <c r="L113" i="24"/>
  <c r="K38" i="24"/>
  <c r="O9" i="21"/>
  <c r="O14" i="21" s="1"/>
  <c r="O16" i="21" l="1"/>
  <c r="J110" i="36"/>
  <c r="O27" i="37"/>
  <c r="P35" i="37" s="1"/>
  <c r="K39" i="24"/>
  <c r="K47" i="24" s="1"/>
  <c r="K62" i="24"/>
  <c r="K26" i="24"/>
  <c r="I87" i="36"/>
  <c r="I89" i="36" s="1"/>
  <c r="I78" i="36"/>
  <c r="I79" i="36" s="1"/>
  <c r="K53" i="24" l="1"/>
  <c r="K54" i="24" s="1"/>
  <c r="K58" i="24" s="1"/>
  <c r="K63" i="24" s="1"/>
  <c r="K64" i="24" s="1"/>
  <c r="L72" i="24"/>
  <c r="L71" i="24" s="1"/>
  <c r="L20" i="24"/>
  <c r="L21" i="24" s="1"/>
  <c r="P37" i="37"/>
  <c r="P7" i="21" l="1"/>
  <c r="L22" i="24"/>
  <c r="L23" i="24" l="1"/>
  <c r="M91" i="24" s="1"/>
  <c r="P6" i="21"/>
  <c r="P8" i="21" s="1"/>
  <c r="P9" i="21" s="1"/>
  <c r="P14" i="21" s="1"/>
  <c r="L70" i="24"/>
  <c r="L83" i="24" s="1"/>
  <c r="L90" i="24" s="1"/>
  <c r="L92" i="24" s="1"/>
  <c r="L112" i="24" s="1"/>
  <c r="L114" i="24" s="1"/>
  <c r="L24" i="24"/>
  <c r="L25" i="24" l="1"/>
  <c r="L61" i="24"/>
  <c r="M113" i="24"/>
  <c r="L38" i="24"/>
  <c r="K110" i="36"/>
  <c r="P16" i="21"/>
  <c r="P27" i="37" l="1"/>
  <c r="Q35" i="37" s="1"/>
  <c r="L39" i="24"/>
  <c r="L47" i="24" s="1"/>
  <c r="L62" i="24"/>
  <c r="L2" i="24"/>
  <c r="J87" i="36"/>
  <c r="J89" i="36" s="1"/>
  <c r="J78" i="36"/>
  <c r="J79" i="36" s="1"/>
  <c r="L26" i="24"/>
  <c r="L53" i="24" l="1"/>
  <c r="L54" i="24" s="1"/>
  <c r="L58" i="24" s="1"/>
  <c r="L63" i="24" s="1"/>
  <c r="L64" i="24" s="1"/>
  <c r="M72" i="24"/>
  <c r="M71" i="24" s="1"/>
  <c r="M20" i="24"/>
  <c r="M21" i="24" s="1"/>
  <c r="Q37" i="37"/>
  <c r="Q7" i="21" l="1"/>
  <c r="M22" i="24"/>
  <c r="M70" i="24" l="1"/>
  <c r="M83" i="24" s="1"/>
  <c r="M90" i="24" s="1"/>
  <c r="M92" i="24" s="1"/>
  <c r="M112" i="24" s="1"/>
  <c r="M114" i="24" s="1"/>
  <c r="Q6" i="21"/>
  <c r="Q8" i="21" s="1"/>
  <c r="M23" i="24"/>
  <c r="N91" i="24" s="1"/>
  <c r="M24" i="24" l="1"/>
  <c r="Q9" i="21"/>
  <c r="Q14" i="21" s="1"/>
  <c r="M38" i="24"/>
  <c r="N113" i="24"/>
  <c r="Q27" i="37" l="1"/>
  <c r="R35" i="37" s="1"/>
  <c r="M39" i="24"/>
  <c r="M47" i="24" s="1"/>
  <c r="Q16" i="21"/>
  <c r="G19" i="21" s="1"/>
  <c r="L110" i="36"/>
  <c r="G20" i="21"/>
  <c r="M25" i="24"/>
  <c r="M61" i="24"/>
  <c r="M62" i="24" l="1"/>
  <c r="K87" i="36"/>
  <c r="K89" i="36" s="1"/>
  <c r="M26" i="24"/>
  <c r="K78" i="36"/>
  <c r="K79" i="36" s="1"/>
  <c r="G21" i="21"/>
  <c r="G24" i="21" s="1"/>
  <c r="M53" i="24"/>
  <c r="M54" i="24" s="1"/>
  <c r="M58" i="24" s="1"/>
  <c r="M63" i="24" s="1"/>
  <c r="M64" i="24" s="1"/>
  <c r="N20" i="24"/>
  <c r="N21" i="24" s="1"/>
  <c r="N22" i="24" s="1"/>
  <c r="N72" i="24"/>
  <c r="N71" i="24" s="1"/>
  <c r="R37" i="37"/>
  <c r="N70" i="24" l="1"/>
  <c r="N83" i="24" s="1"/>
  <c r="N90" i="24" s="1"/>
  <c r="N92" i="24" s="1"/>
  <c r="N112" i="24" s="1"/>
  <c r="N114" i="24" s="1"/>
  <c r="N23" i="24"/>
  <c r="O91" i="24" s="1"/>
  <c r="N24" i="24"/>
  <c r="L19" i="21"/>
  <c r="W35" i="21"/>
  <c r="G25" i="21"/>
  <c r="G27" i="21" s="1"/>
  <c r="O43" i="21" l="1"/>
  <c r="W33" i="21"/>
  <c r="W28" i="21"/>
  <c r="W34" i="21"/>
  <c r="W29" i="21" s="1"/>
  <c r="O44" i="21"/>
  <c r="S30" i="21"/>
  <c r="N25" i="24"/>
  <c r="N61" i="24"/>
  <c r="G29" i="21"/>
  <c r="O113" i="24"/>
  <c r="N38" i="24"/>
  <c r="N62" i="24" l="1"/>
  <c r="N26" i="24"/>
  <c r="L78" i="36"/>
  <c r="L79" i="36" s="1"/>
  <c r="L87" i="36"/>
  <c r="L89" i="36" s="1"/>
  <c r="R27" i="37"/>
  <c r="S35" i="37" s="1"/>
  <c r="N39" i="24"/>
  <c r="N47" i="24" s="1"/>
  <c r="N53" i="24" s="1"/>
  <c r="N54" i="24" s="1"/>
  <c r="N58" i="24" s="1"/>
  <c r="N63" i="24" s="1"/>
  <c r="N64" i="24" s="1"/>
  <c r="W40" i="21"/>
  <c r="O36" i="21"/>
  <c r="O37" i="21"/>
  <c r="O35" i="21"/>
  <c r="W41" i="21"/>
  <c r="O20" i="24" l="1"/>
  <c r="O21" i="24" s="1"/>
  <c r="O22" i="24" s="1"/>
  <c r="O72" i="24"/>
  <c r="O71" i="24" s="1"/>
  <c r="S37" i="37"/>
  <c r="O70" i="24" l="1"/>
  <c r="O83" i="24" s="1"/>
  <c r="O90" i="24" s="1"/>
  <c r="O92" i="24" s="1"/>
  <c r="O112" i="24" s="1"/>
  <c r="O114" i="24" s="1"/>
  <c r="O23" i="24"/>
  <c r="P91" i="24" s="1"/>
  <c r="O24" i="24" l="1"/>
  <c r="O38" i="24"/>
  <c r="P113" i="24"/>
  <c r="S27" i="37" l="1"/>
  <c r="T35" i="37" s="1"/>
  <c r="O39" i="24"/>
  <c r="O47" i="24" s="1"/>
  <c r="O25" i="24"/>
  <c r="O61" i="24"/>
  <c r="O62" i="24" l="1"/>
  <c r="O26" i="24"/>
  <c r="M78" i="36"/>
  <c r="M79" i="36" s="1"/>
  <c r="M87" i="36"/>
  <c r="M89" i="36" s="1"/>
  <c r="O53" i="24"/>
  <c r="O54" i="24" s="1"/>
  <c r="O58" i="24" s="1"/>
  <c r="O63" i="24" s="1"/>
  <c r="O64" i="24" s="1"/>
  <c r="P72" i="24"/>
  <c r="P71" i="24" s="1"/>
  <c r="P20" i="24"/>
  <c r="P21" i="24" s="1"/>
  <c r="P22" i="24" s="1"/>
  <c r="T37" i="37"/>
  <c r="P70" i="24" l="1"/>
  <c r="P83" i="24" s="1"/>
  <c r="P90" i="24" s="1"/>
  <c r="P92" i="24" s="1"/>
  <c r="P112" i="24" s="1"/>
  <c r="P114" i="24" s="1"/>
  <c r="P23" i="24"/>
  <c r="Q91" i="24" s="1"/>
  <c r="P24" i="24" l="1"/>
  <c r="P38" i="24"/>
  <c r="Q113" i="24"/>
  <c r="T27" i="37" l="1"/>
  <c r="U35" i="37" s="1"/>
  <c r="P39" i="24"/>
  <c r="P47" i="24" s="1"/>
  <c r="P25" i="24"/>
  <c r="P26" i="24" s="1"/>
  <c r="P61" i="24"/>
  <c r="P62" i="24" l="1"/>
  <c r="P53" i="24"/>
  <c r="P54" i="24" s="1"/>
  <c r="P58" i="24" s="1"/>
  <c r="P63" i="24" s="1"/>
  <c r="P64" i="24" s="1"/>
  <c r="Q72" i="24"/>
  <c r="Q71" i="24" s="1"/>
  <c r="Q20" i="24"/>
  <c r="Q21" i="24" s="1"/>
  <c r="Q22" i="24" s="1"/>
  <c r="U37" i="37"/>
  <c r="Q70" i="24" l="1"/>
  <c r="Q83" i="24" s="1"/>
  <c r="Q90" i="24" s="1"/>
  <c r="Q92" i="24" s="1"/>
  <c r="Q112" i="24" s="1"/>
  <c r="Q114" i="24" s="1"/>
  <c r="Q23" i="24"/>
  <c r="R91" i="24" s="1"/>
  <c r="Q24" i="24" l="1"/>
  <c r="Q25" i="24"/>
  <c r="Q26" i="24" s="1"/>
  <c r="Q61" i="24"/>
  <c r="Q38" i="24"/>
  <c r="R113" i="24"/>
  <c r="U27" i="37" l="1"/>
  <c r="V35" i="37" s="1"/>
  <c r="Q39" i="24"/>
  <c r="Q47" i="24" s="1"/>
  <c r="Q62" i="24"/>
  <c r="Q53" i="24" l="1"/>
  <c r="Q54" i="24" s="1"/>
  <c r="Q58" i="24" s="1"/>
  <c r="Q63" i="24" s="1"/>
  <c r="Q64" i="24" s="1"/>
  <c r="R20" i="24"/>
  <c r="R21" i="24" s="1"/>
  <c r="R22" i="24" s="1"/>
  <c r="R72" i="24"/>
  <c r="R71" i="24" s="1"/>
  <c r="V37" i="37"/>
  <c r="R70" i="24" l="1"/>
  <c r="R83" i="24" s="1"/>
  <c r="R90" i="24" s="1"/>
  <c r="R92" i="24" s="1"/>
  <c r="R112" i="24" s="1"/>
  <c r="R114" i="24" s="1"/>
  <c r="R23" i="24"/>
  <c r="S91" i="24" s="1"/>
  <c r="R38" i="24" l="1"/>
  <c r="S113" i="24"/>
  <c r="R24" i="24"/>
  <c r="R25" i="24" l="1"/>
  <c r="R26" i="24" s="1"/>
  <c r="R61" i="24"/>
  <c r="V27" i="37"/>
  <c r="W35" i="37" s="1"/>
  <c r="R39" i="24"/>
  <c r="R47" i="24" s="1"/>
  <c r="S20" i="24" l="1"/>
  <c r="S21" i="24" s="1"/>
  <c r="S22" i="24" s="1"/>
  <c r="S72" i="24"/>
  <c r="S71" i="24" s="1"/>
  <c r="W37" i="37"/>
  <c r="R62" i="24"/>
  <c r="R53" i="24" s="1"/>
  <c r="R54" i="24" s="1"/>
  <c r="R58" i="24" s="1"/>
  <c r="R63" i="24" s="1"/>
  <c r="R64" i="24" s="1"/>
  <c r="S70" i="24" l="1"/>
  <c r="S83" i="24" s="1"/>
  <c r="S90" i="24" s="1"/>
  <c r="S92" i="24" s="1"/>
  <c r="S112" i="24" s="1"/>
  <c r="S114" i="24" s="1"/>
  <c r="S23" i="24"/>
  <c r="T91" i="24" s="1"/>
  <c r="S24" i="24" l="1"/>
  <c r="S25" i="24"/>
  <c r="S26" i="24" s="1"/>
  <c r="S61" i="24"/>
  <c r="T113" i="24"/>
  <c r="S38" i="24"/>
  <c r="W27" i="37" l="1"/>
  <c r="X35" i="37" s="1"/>
  <c r="S39" i="24"/>
  <c r="S47" i="24" s="1"/>
  <c r="S62" i="24"/>
  <c r="S53" i="24" l="1"/>
  <c r="S54" i="24" s="1"/>
  <c r="S58" i="24" s="1"/>
  <c r="S63" i="24" s="1"/>
  <c r="S64" i="24" s="1"/>
  <c r="T72" i="24"/>
  <c r="T71" i="24" s="1"/>
  <c r="T20" i="24"/>
  <c r="T21" i="24" s="1"/>
  <c r="T22" i="24" s="1"/>
  <c r="X37" i="37"/>
  <c r="T70" i="24" l="1"/>
  <c r="T83" i="24" s="1"/>
  <c r="T90" i="24" s="1"/>
  <c r="T92" i="24" s="1"/>
  <c r="T112" i="24" s="1"/>
  <c r="T114" i="24" s="1"/>
  <c r="T23" i="24"/>
  <c r="U91" i="24" s="1"/>
  <c r="T24" i="24" l="1"/>
  <c r="T25" i="24"/>
  <c r="T26" i="24" s="1"/>
  <c r="T61" i="24"/>
  <c r="U113" i="24"/>
  <c r="T38" i="24"/>
  <c r="X27" i="37" l="1"/>
  <c r="Y35" i="37" s="1"/>
  <c r="T39" i="24"/>
  <c r="T47" i="24" s="1"/>
  <c r="T62" i="24"/>
  <c r="T53" i="24" l="1"/>
  <c r="T54" i="24" s="1"/>
  <c r="T58" i="24" s="1"/>
  <c r="T63" i="24" s="1"/>
  <c r="T64" i="24" s="1"/>
  <c r="U72" i="24"/>
  <c r="U71" i="24" s="1"/>
  <c r="U20" i="24"/>
  <c r="U21" i="24" s="1"/>
  <c r="U22" i="24" s="1"/>
  <c r="Y37" i="37"/>
  <c r="U23" i="24" l="1"/>
  <c r="V91" i="24" s="1"/>
  <c r="U70" i="24"/>
  <c r="U83" i="24" s="1"/>
  <c r="U90" i="24" s="1"/>
  <c r="U92" i="24" s="1"/>
  <c r="U112" i="24" s="1"/>
  <c r="U114" i="24" s="1"/>
  <c r="V113" i="24" l="1"/>
  <c r="U38" i="24"/>
  <c r="U24" i="24"/>
  <c r="U25" i="24" l="1"/>
  <c r="U26" i="24" s="1"/>
  <c r="U61" i="24"/>
  <c r="Y27" i="37"/>
  <c r="Z35" i="37" s="1"/>
  <c r="U39" i="24"/>
  <c r="U47" i="24" s="1"/>
  <c r="V72" i="24" l="1"/>
  <c r="V71" i="24" s="1"/>
  <c r="V20" i="24"/>
  <c r="V21" i="24" s="1"/>
  <c r="V22" i="24" s="1"/>
  <c r="Z37" i="37"/>
  <c r="U62" i="24"/>
  <c r="U53" i="24" s="1"/>
  <c r="U54" i="24" s="1"/>
  <c r="U58" i="24" s="1"/>
  <c r="U63" i="24" s="1"/>
  <c r="U64" i="24" s="1"/>
  <c r="V70" i="24" l="1"/>
  <c r="V83" i="24" s="1"/>
  <c r="V90" i="24" s="1"/>
  <c r="V92" i="24" s="1"/>
  <c r="V112" i="24" s="1"/>
  <c r="V114" i="24" s="1"/>
  <c r="V23" i="24"/>
  <c r="W91" i="24" s="1"/>
  <c r="W113" i="24" l="1"/>
  <c r="V38" i="24"/>
  <c r="V24" i="24"/>
  <c r="V25" i="24" l="1"/>
  <c r="V26" i="24" s="1"/>
  <c r="V61" i="24"/>
  <c r="Z27" i="37"/>
  <c r="AA35" i="37" s="1"/>
  <c r="V39" i="24"/>
  <c r="V47" i="24" s="1"/>
  <c r="W20" i="24" l="1"/>
  <c r="W21" i="24" s="1"/>
  <c r="W22" i="24" s="1"/>
  <c r="W72" i="24"/>
  <c r="W71" i="24" s="1"/>
  <c r="AA37" i="37"/>
  <c r="V62" i="24"/>
  <c r="V53" i="24" s="1"/>
  <c r="V54" i="24" s="1"/>
  <c r="V58" i="24" s="1"/>
  <c r="V63" i="24" s="1"/>
  <c r="V64" i="24" s="1"/>
  <c r="W70" i="24" l="1"/>
  <c r="W83" i="24" s="1"/>
  <c r="W90" i="24" s="1"/>
  <c r="W92" i="24" s="1"/>
  <c r="W112" i="24" s="1"/>
  <c r="W114" i="24" s="1"/>
  <c r="W23" i="24"/>
  <c r="X91" i="24" s="1"/>
  <c r="W24" i="24" l="1"/>
  <c r="X113" i="24"/>
  <c r="W38" i="24"/>
  <c r="AA27" i="37" l="1"/>
  <c r="AB35" i="37" s="1"/>
  <c r="W39" i="24"/>
  <c r="W47" i="24" s="1"/>
  <c r="W25" i="24"/>
  <c r="W26" i="24" s="1"/>
  <c r="W61" i="24"/>
  <c r="W62" i="24" l="1"/>
  <c r="W53" i="24" s="1"/>
  <c r="W54" i="24" s="1"/>
  <c r="W58" i="24" s="1"/>
  <c r="W63" i="24" s="1"/>
  <c r="W64" i="24" s="1"/>
  <c r="X72" i="24"/>
  <c r="X71" i="24" s="1"/>
  <c r="X20" i="24"/>
  <c r="X21" i="24" s="1"/>
  <c r="X22" i="24" s="1"/>
  <c r="AB37" i="37"/>
  <c r="X70" i="24" l="1"/>
  <c r="X83" i="24" s="1"/>
  <c r="X90" i="24" s="1"/>
  <c r="X92" i="24" s="1"/>
  <c r="X112" i="24" s="1"/>
  <c r="X114" i="24" s="1"/>
  <c r="X23" i="24"/>
  <c r="Y91" i="24" s="1"/>
  <c r="Y113" i="24" l="1"/>
  <c r="X38" i="24"/>
  <c r="X24" i="24"/>
  <c r="X25" i="24" l="1"/>
  <c r="X26" i="24" s="1"/>
  <c r="X61" i="24"/>
  <c r="AB27" i="37"/>
  <c r="AC35" i="37" s="1"/>
  <c r="X39" i="24"/>
  <c r="X47" i="24" s="1"/>
  <c r="Y20" i="24" l="1"/>
  <c r="Y21" i="24" s="1"/>
  <c r="Y22" i="24" s="1"/>
  <c r="Y72" i="24"/>
  <c r="Y71" i="24" s="1"/>
  <c r="AC37" i="37"/>
  <c r="X62" i="24"/>
  <c r="X53" i="24" s="1"/>
  <c r="X54" i="24" s="1"/>
  <c r="X58" i="24" s="1"/>
  <c r="X63" i="24" s="1"/>
  <c r="X64" i="24" s="1"/>
  <c r="Y70" i="24" l="1"/>
  <c r="Y83" i="24" s="1"/>
  <c r="Y90" i="24" s="1"/>
  <c r="Y92" i="24" s="1"/>
  <c r="Y112" i="24" s="1"/>
  <c r="Y114" i="24" s="1"/>
  <c r="Y38" i="24" s="1"/>
  <c r="Y23" i="24"/>
  <c r="Y24" i="24" s="1"/>
  <c r="Y25" i="24" l="1"/>
  <c r="Y26" i="24" s="1"/>
  <c r="Y61" i="24"/>
  <c r="Y62" i="24" s="1"/>
  <c r="AC27" i="37"/>
  <c r="Y39" i="24"/>
  <c r="Y47" i="24" s="1"/>
  <c r="Y53" i="24" s="1"/>
  <c r="Y54" i="24" s="1"/>
  <c r="Y58" i="24" s="1"/>
  <c r="Y63" i="24" s="1"/>
  <c r="Y6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徐浩瀚_HJ_Research</author>
    <author>Claire WANG</author>
  </authors>
  <commentList>
    <comment ref="B26" authorId="0" shapeId="0" xr:uid="{00000000-0006-0000-0700-000001000000}">
      <text>
        <r>
          <rPr>
            <sz val="11"/>
            <color theme="1"/>
            <rFont val="等线"/>
            <family val="4"/>
            <charset val="134"/>
          </rPr>
          <t>报表类型：财务报表(港美,原始公布报表)</t>
        </r>
      </text>
    </comment>
    <comment ref="D104" authorId="1" shapeId="0" xr:uid="{00000000-0006-0000-0700-000002000000}">
      <text>
        <r>
          <rPr>
            <sz val="11"/>
            <color theme="1"/>
            <rFont val="等线"/>
            <family val="4"/>
            <charset val="134"/>
          </rPr>
          <t>Proceeds from issuance of convertible preferred shares</t>
        </r>
      </text>
    </comment>
    <comment ref="F140" authorId="1" shapeId="0" xr:uid="{00000000-0006-0000-0700-000003000000}">
      <text>
        <r>
          <rPr>
            <sz val="11"/>
            <color theme="1"/>
            <rFont val="等线"/>
            <family val="4"/>
            <charset val="134"/>
          </rPr>
          <t>Shares of par value of US$0.0001 each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w</author>
  </authors>
  <commentList>
    <comment ref="F51" authorId="0" shapeId="0" xr:uid="{00000000-0006-0000-0800-000001000000}">
      <text>
        <r>
          <rPr>
            <sz val="11"/>
            <color theme="1"/>
            <rFont val="等线"/>
            <family val="4"/>
            <charset val="134"/>
          </rPr>
          <t>l w:
Assume 6-10 months</t>
        </r>
      </text>
    </comment>
    <comment ref="F95" authorId="0" shapeId="0" xr:uid="{00000000-0006-0000-0800-000002000000}">
      <text>
        <r>
          <rPr>
            <sz val="11"/>
            <color theme="1"/>
            <rFont val="等线"/>
            <family val="4"/>
            <charset val="134"/>
          </rPr>
          <t>l w:
Assume 6-10 months</t>
        </r>
      </text>
    </comment>
    <comment ref="F126" authorId="0" shapeId="0" xr:uid="{00000000-0006-0000-0800-000003000000}">
      <text>
        <r>
          <rPr>
            <sz val="11"/>
            <color theme="1"/>
            <rFont val="等线"/>
            <family val="4"/>
            <charset val="134"/>
          </rPr>
          <t>l w:
Assume 6-10 months</t>
        </r>
      </text>
    </comment>
  </commentList>
</comments>
</file>

<file path=xl/sharedStrings.xml><?xml version="1.0" encoding="utf-8"?>
<sst xmlns="http://schemas.openxmlformats.org/spreadsheetml/2006/main" count="1121" uniqueCount="635">
  <si>
    <t>2020E</t>
  </si>
  <si>
    <t>2021E</t>
  </si>
  <si>
    <t>2022E</t>
  </si>
  <si>
    <t>EBIT</t>
  </si>
  <si>
    <t>Others</t>
  </si>
  <si>
    <t>FCF</t>
  </si>
  <si>
    <t>Annual treatment cost (RMB)</t>
  </si>
  <si>
    <t>For prostate cancer China/US mkt mono: RMB111K/336K per year;
For prostate cancer China mkt combo: RMB225K per year; 
For breast cancer US/China mkt: RMB420/421K per year.</t>
  </si>
  <si>
    <t xml:space="preserve">For AGA China/US mkt: RMB6.5K/8.5K per year;
For acne China/US mkt: RMB8.1K/4.0K per year. </t>
  </si>
  <si>
    <t>For HCC Taiwan/China/US mkts: RMB335K per year.</t>
  </si>
  <si>
    <t xml:space="preserve">For prostate cancer/TNBC/HCC treatments: RMB278K per year. </t>
  </si>
  <si>
    <t>GT0918</t>
  </si>
  <si>
    <t>40mg</t>
  </si>
  <si>
    <t>For prostate cancer mono treatment China mkt (200mg)</t>
  </si>
  <si>
    <t>For prostate cancer mono treatment US mkt (400mg)</t>
  </si>
  <si>
    <t>For prostate cancer combo treatment China mkt (400mg)</t>
  </si>
  <si>
    <t>For breast cancer China mkt (320mg)</t>
  </si>
  <si>
    <t>For breast cancer US mkt (320mg)</t>
  </si>
  <si>
    <t xml:space="preserve">Unit Price (from 2021 to 2022, promotion of buy one get one free; NRDL inclusion in 2023 with price cut of 50%) calculate according to 40mg XTANDI </t>
  </si>
  <si>
    <t>Unit Price</t>
  </si>
  <si>
    <t>Dosage</t>
  </si>
  <si>
    <t>Duration (China: 8 months, once daily;US: 6 Months once daily)</t>
  </si>
  <si>
    <t>Duration (12months, once daily)</t>
  </si>
  <si>
    <t>Duration (12 months, once daily)</t>
  </si>
  <si>
    <t>KX826</t>
  </si>
  <si>
    <t xml:space="preserve">For AGA China mkt </t>
  </si>
  <si>
    <t xml:space="preserve">For AGA US mkt </t>
  </si>
  <si>
    <t>For acne China mkt</t>
  </si>
  <si>
    <t>For acne US mkt</t>
  </si>
  <si>
    <t xml:space="preserve">Unit Price (proxy: Finasteride,buy 1 get 1 free) </t>
  </si>
  <si>
    <t xml:space="preserve">Unit Price (proxy: Yousiming) </t>
  </si>
  <si>
    <t>Dosage (Tube)</t>
  </si>
  <si>
    <t>-</t>
  </si>
  <si>
    <t>Duration (12 months)</t>
  </si>
  <si>
    <t>GT90001</t>
  </si>
  <si>
    <t>200mg</t>
  </si>
  <si>
    <t>For HCC (Taiwan, US, China mkts)</t>
  </si>
  <si>
    <t>GT0486</t>
  </si>
  <si>
    <t>150mg</t>
  </si>
  <si>
    <t>For prostate cancer, TNBC, HCC</t>
  </si>
  <si>
    <t>Unit Price (proxy: Nexavar)</t>
  </si>
  <si>
    <t>Unit Price (proxy: Lynparza)</t>
  </si>
  <si>
    <t>Dosage (60k*13.3mg/200mg)</t>
  </si>
  <si>
    <t>Dosage (60kg*10mg/150mg)</t>
  </si>
  <si>
    <t>Duration (6 months, daily for 28 days)</t>
  </si>
  <si>
    <t>Duration (8 months, twice daily)</t>
  </si>
  <si>
    <t xml:space="preserve">Indication </t>
  </si>
  <si>
    <t>Market</t>
  </si>
  <si>
    <t>Annual treatment cost ('000, RMB)</t>
  </si>
  <si>
    <t xml:space="preserve">Prostate cancer </t>
  </si>
  <si>
    <t xml:space="preserve">China mkt (monotherapy) </t>
  </si>
  <si>
    <t xml:space="preserve">US mkt (monotherapy) </t>
  </si>
  <si>
    <t xml:space="preserve">China mkt (combotherapy) </t>
  </si>
  <si>
    <t>Breast cancer</t>
  </si>
  <si>
    <t xml:space="preserve">China mkt </t>
  </si>
  <si>
    <t xml:space="preserve">US mkt </t>
  </si>
  <si>
    <t>AGA</t>
  </si>
  <si>
    <t>Acne</t>
  </si>
  <si>
    <t> Product</t>
  </si>
  <si>
    <r>
      <t xml:space="preserve">GT0918 </t>
    </r>
    <r>
      <rPr>
        <sz val="8"/>
        <color theme="1"/>
        <rFont val="Arial Narrow"/>
        <family val="2"/>
      </rPr>
      <t>(Proxalutamide)</t>
    </r>
  </si>
  <si>
    <t xml:space="preserve">China (monotherapy) </t>
  </si>
  <si>
    <t xml:space="preserve">US (monotherapy) </t>
  </si>
  <si>
    <t xml:space="preserve">China (combo therapy) </t>
  </si>
  <si>
    <t xml:space="preserve">China </t>
  </si>
  <si>
    <t xml:space="preserve">US </t>
  </si>
  <si>
    <r>
      <t xml:space="preserve">KX826 </t>
    </r>
    <r>
      <rPr>
        <sz val="8"/>
        <color theme="1"/>
        <rFont val="Arial Narrow"/>
        <family val="2"/>
      </rPr>
      <t>(Pyrilutamide)</t>
    </r>
  </si>
  <si>
    <t xml:space="preserve">China  </t>
  </si>
  <si>
    <r>
      <t xml:space="preserve">GT90001 </t>
    </r>
    <r>
      <rPr>
        <sz val="8"/>
        <color theme="1"/>
        <rFont val="Arial Narrow"/>
        <family val="2"/>
      </rPr>
      <t>(</t>
    </r>
    <r>
      <rPr>
        <sz val="8"/>
        <color theme="1"/>
        <rFont val="Arial"/>
        <family val="2"/>
      </rPr>
      <t>ALK-1)</t>
    </r>
  </si>
  <si>
    <t>HCC</t>
  </si>
  <si>
    <t xml:space="preserve">Taiwan, US, China </t>
  </si>
  <si>
    <r>
      <t xml:space="preserve">GT0486 </t>
    </r>
    <r>
      <rPr>
        <sz val="8"/>
        <color theme="1"/>
        <rFont val="Arial Narrow"/>
        <family val="2"/>
      </rPr>
      <t>(Detorsertib)</t>
    </r>
  </si>
  <si>
    <t>Prostate cancer, TNBC, HCC</t>
  </si>
  <si>
    <t>US$ mn</t>
  </si>
  <si>
    <t>Revenue</t>
  </si>
  <si>
    <t>Gross profit</t>
  </si>
  <si>
    <t>Administrative expenses</t>
  </si>
  <si>
    <t>Research and development expenses</t>
  </si>
  <si>
    <t>Selling expenses</t>
  </si>
  <si>
    <t>Loss before income tax</t>
  </si>
  <si>
    <t>Net (loss)/profit</t>
  </si>
  <si>
    <t>GPM</t>
  </si>
  <si>
    <t>Cash and cash equivalents</t>
  </si>
  <si>
    <t>Total current assets</t>
  </si>
  <si>
    <t>Plant and equipment</t>
  </si>
  <si>
    <t>Intangible assets</t>
  </si>
  <si>
    <t>Right-of-use assets</t>
  </si>
  <si>
    <t>Total assets</t>
  </si>
  <si>
    <t>Trade payables</t>
  </si>
  <si>
    <t>Total current liabilities</t>
  </si>
  <si>
    <t>Total liabilities</t>
  </si>
  <si>
    <t>Total shareholders’ equity</t>
  </si>
  <si>
    <t>Total liabilities and Shareholders'Equity</t>
  </si>
  <si>
    <t>Net loss</t>
  </si>
  <si>
    <t xml:space="preserve">Net cash (used in) operating activities </t>
  </si>
  <si>
    <t>Net cash (used in) investing activities</t>
  </si>
  <si>
    <t>Net cash provided by financing activities</t>
  </si>
  <si>
    <t xml:space="preserve">Net (decrease) increases in cash and cash equivalents </t>
  </si>
  <si>
    <t>Cash at beginning of period</t>
  </si>
  <si>
    <t>Cash at end of period</t>
  </si>
  <si>
    <t>2023E</t>
  </si>
  <si>
    <t>2024E</t>
  </si>
  <si>
    <t>2025E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</si>
  <si>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</si>
  <si>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</si>
  <si>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</si>
  <si>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</si>
  <si>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</si>
  <si>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</si>
  <si>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</si>
  <si>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</si>
  <si>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</si>
  <si>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</si>
  <si>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2036E</t>
  </si>
  <si>
    <t>2037E</t>
  </si>
  <si>
    <t>2038E</t>
  </si>
  <si>
    <t>2039E</t>
  </si>
  <si>
    <t>2040E</t>
  </si>
  <si>
    <t>APL101</t>
  </si>
  <si>
    <t>APL121</t>
  </si>
  <si>
    <t>APL106</t>
  </si>
  <si>
    <t>APL501</t>
  </si>
  <si>
    <t>2019E</t>
  </si>
  <si>
    <t>Revenue (LHS)</t>
  </si>
  <si>
    <t>Revenue YoY (RHS)</t>
  </si>
  <si>
    <t>Exhibit 30: Apollomics’s gross profit (RMB mn)</t>
  </si>
  <si>
    <t>Gross profit (LHS)</t>
  </si>
  <si>
    <t>Gross profit YoY (RHS)</t>
  </si>
  <si>
    <t>Exhibit 30: Apollomics’s net income (RMB mn)</t>
  </si>
  <si>
    <t>Net income to common shareholders (LHS)</t>
  </si>
  <si>
    <t>Net income YoY (RHS)</t>
  </si>
  <si>
    <t>Exhibit 31: Apollomics’s GPM and NPM</t>
  </si>
  <si>
    <t>Net profit</t>
  </si>
  <si>
    <t>NPM</t>
  </si>
  <si>
    <t>Exhibit 32: Apollomics’s FCF trend (US$ mn)</t>
  </si>
  <si>
    <t>Exhibit 33: Apollomics’s cash expenses (US$ mn)</t>
  </si>
  <si>
    <t>R&amp;D expenses</t>
  </si>
  <si>
    <t>Selling expense</t>
  </si>
  <si>
    <t>Admin expense</t>
  </si>
  <si>
    <t>Cap Ex</t>
  </si>
  <si>
    <t xml:space="preserve"> </t>
  </si>
  <si>
    <t>Product</t>
  </si>
  <si>
    <t>Expected launch year</t>
  </si>
  <si>
    <t>Peak sales (US$ mn)</t>
  </si>
  <si>
    <r>
      <t xml:space="preserve">Peak # of patients treated </t>
    </r>
    <r>
      <rPr>
        <b/>
        <sz val="8"/>
        <color rgb="FFFFFFFF"/>
        <rFont val="微软雅黑"/>
        <family val="2"/>
      </rPr>
      <t>（</t>
    </r>
    <r>
      <rPr>
        <b/>
        <sz val="8"/>
        <color rgb="FFFFFFFF"/>
        <rFont val="Arial"/>
        <family val="2"/>
      </rPr>
      <t>000s</t>
    </r>
    <r>
      <rPr>
        <b/>
        <sz val="8"/>
        <color rgb="FFFFFFFF"/>
        <rFont val="微软雅黑"/>
        <family val="2"/>
      </rPr>
      <t>）</t>
    </r>
  </si>
  <si>
    <t>Year of peak sales</t>
  </si>
  <si>
    <t>9M20</t>
  </si>
  <si>
    <t>R&amp;D Third-Party Service Fees</t>
  </si>
  <si>
    <t>R&amp;D Employee Compensations and Benefits</t>
  </si>
  <si>
    <t>R&amp;D Contractor Expenses</t>
  </si>
  <si>
    <t>Total</t>
  </si>
  <si>
    <t>YoY</t>
  </si>
  <si>
    <t>Non-small cell lung cancer (NSCLC)</t>
  </si>
  <si>
    <t>Renal cell carcinoma (RCC)</t>
  </si>
  <si>
    <t>Glioblastoma</t>
  </si>
  <si>
    <t>Acute myeloid leukemia (AML)</t>
  </si>
  <si>
    <t>Colerectal Cancer (CRC)</t>
  </si>
  <si>
    <t xml:space="preserve">Hepatocellular carcinoma </t>
  </si>
  <si>
    <t>PMBCL</t>
  </si>
  <si>
    <t>PTCL</t>
  </si>
  <si>
    <t>Cervical Cancer</t>
  </si>
  <si>
    <t>ASPS Sarcoma</t>
  </si>
  <si>
    <t>Year</t>
  </si>
  <si>
    <t>T =</t>
  </si>
  <si>
    <t>Expected revenue (US$ mn)</t>
  </si>
  <si>
    <t>Expected gross profit (US$ mn)</t>
  </si>
  <si>
    <t># of patients treated ('000)</t>
  </si>
  <si>
    <t>Peak # of patients treated ('000)</t>
  </si>
  <si>
    <t>Royalty fees (US$ mn)</t>
  </si>
  <si>
    <t>R&amp;D expenses as a % of revenue</t>
  </si>
  <si>
    <t>Mgmt expenses as a % of revenue</t>
  </si>
  <si>
    <t>EBIT*(1-t)</t>
  </si>
  <si>
    <t>2019A</t>
  </si>
  <si>
    <t>Profit before tax</t>
  </si>
  <si>
    <t>Finance costs</t>
  </si>
  <si>
    <t>Depreciation of PP&amp;E</t>
  </si>
  <si>
    <t>Amortization of intangible assets</t>
  </si>
  <si>
    <t>Net change in WC</t>
  </si>
  <si>
    <t>CapEx</t>
  </si>
  <si>
    <t>Discount factor</t>
  </si>
  <si>
    <t>PV of FCF</t>
  </si>
  <si>
    <t>Valuation summary</t>
  </si>
  <si>
    <t>as of 2021 YE</t>
  </si>
  <si>
    <t>WACC derivation</t>
  </si>
  <si>
    <t>Equity Value sensitivity analysis on terminal growth rate (line) and WACC (row)</t>
  </si>
  <si>
    <t>PV of DCF (2021E-2028E)</t>
  </si>
  <si>
    <t>Risk-free rate</t>
  </si>
  <si>
    <t>PV of terminal value  (Tg =3.0%)</t>
  </si>
  <si>
    <t>Equity risk premium</t>
  </si>
  <si>
    <t>Total enterprise value</t>
  </si>
  <si>
    <t>Beta</t>
  </si>
  <si>
    <t>( -）Net debt</t>
  </si>
  <si>
    <t>Cost of equity</t>
  </si>
  <si>
    <t>( -）Minority interests</t>
  </si>
  <si>
    <t>Cost of debt</t>
  </si>
  <si>
    <t>Equity value (US$ mn)</t>
  </si>
  <si>
    <t>Marginal tax rate</t>
  </si>
  <si>
    <t>Equity value (HK$ mn)</t>
  </si>
  <si>
    <t>After tax cost of debt</t>
  </si>
  <si>
    <t>Shares outstanding (mn)</t>
  </si>
  <si>
    <t>Debt / total capital</t>
  </si>
  <si>
    <t>Target price (HK$)</t>
  </si>
  <si>
    <t>WACC</t>
  </si>
  <si>
    <t>Low-end</t>
  </si>
  <si>
    <t xml:space="preserve">Base case </t>
  </si>
  <si>
    <t>High-end</t>
  </si>
  <si>
    <t>Current stock price</t>
  </si>
  <si>
    <t>post-money</t>
  </si>
  <si>
    <t>upside/(downside) %</t>
  </si>
  <si>
    <t>Terminal growth rate</t>
  </si>
  <si>
    <t>pre-money</t>
  </si>
  <si>
    <t>DCF-based valuation range (2020E)</t>
  </si>
  <si>
    <t>Equity value (RMB mn)</t>
  </si>
  <si>
    <t>EV/sales</t>
  </si>
  <si>
    <t xml:space="preserve">Equity value (HK$ mn) </t>
  </si>
  <si>
    <t xml:space="preserve">Equity value (US$ mn) </t>
  </si>
  <si>
    <t>Implied 2021E PS ratio</t>
  </si>
  <si>
    <t>Implied 2022E EV/Sales ratio</t>
  </si>
  <si>
    <t>Note: Assume HKD:RMB exchange rate of 1.11; and RMB:USD exchange rate of 7</t>
  </si>
  <si>
    <t>in US$ mn</t>
  </si>
  <si>
    <t>Breakeven</t>
  </si>
  <si>
    <r>
      <rPr>
        <b/>
        <sz val="8"/>
        <color theme="0"/>
        <rFont val="微软雅黑"/>
        <family val="2"/>
      </rPr>
      <t>利润表</t>
    </r>
    <r>
      <rPr>
        <b/>
        <sz val="8"/>
        <color theme="0"/>
        <rFont val="Arial"/>
        <family val="2"/>
      </rPr>
      <t>(ORIG,</t>
    </r>
    <r>
      <rPr>
        <b/>
        <sz val="8"/>
        <color theme="0"/>
        <rFont val="微软雅黑"/>
        <family val="2"/>
      </rPr>
      <t>百万元</t>
    </r>
    <r>
      <rPr>
        <b/>
        <sz val="8"/>
        <color theme="0"/>
        <rFont val="Arial"/>
        <family val="2"/>
      </rPr>
      <t>)</t>
    </r>
  </si>
  <si>
    <t>3</t>
  </si>
  <si>
    <t>Income Statement (US$ mn)</t>
  </si>
  <si>
    <t xml:space="preserve">link </t>
  </si>
  <si>
    <t>营业收入</t>
  </si>
  <si>
    <t>营业成本</t>
  </si>
  <si>
    <t>Cost of sales</t>
  </si>
  <si>
    <t>毛利</t>
  </si>
  <si>
    <t>其他收益</t>
  </si>
  <si>
    <t>Other income</t>
  </si>
  <si>
    <t>其他（亏损）/收益净额</t>
  </si>
  <si>
    <t>Other gains and losses</t>
  </si>
  <si>
    <t>研发费用</t>
  </si>
  <si>
    <t>行政开支</t>
  </si>
  <si>
    <t>销售费用</t>
  </si>
  <si>
    <t>经营亏损</t>
  </si>
  <si>
    <t>Operating profits/(losses)</t>
  </si>
  <si>
    <t>Fair value change of financial assets at fair value through profit or loss (FVTPL)</t>
  </si>
  <si>
    <t>Fair value change of financial liabilities at FVTPL</t>
  </si>
  <si>
    <t>Fair value change of convertible preferred shares</t>
  </si>
  <si>
    <t>Issuance cost of convertible preferred shares</t>
  </si>
  <si>
    <t>财务费用</t>
  </si>
  <si>
    <t>Finance cost</t>
  </si>
  <si>
    <t>财务收益</t>
  </si>
  <si>
    <t>Finance income</t>
  </si>
  <si>
    <t>财务成本净额</t>
  </si>
  <si>
    <t>Finance income/(costs) — net</t>
  </si>
  <si>
    <t>除税前亏损</t>
  </si>
  <si>
    <t>所得税</t>
  </si>
  <si>
    <t>Income tax (expense) credit</t>
  </si>
  <si>
    <t>净亏损</t>
  </si>
  <si>
    <t>归属普通股东净利润</t>
  </si>
  <si>
    <t>Net (loss)/profit attributable to common shareholders</t>
  </si>
  <si>
    <t>每股收益</t>
  </si>
  <si>
    <t>EPS</t>
  </si>
  <si>
    <t>Shares O/S (mn)</t>
  </si>
  <si>
    <t>ARD.资产负债表(ORIG,百万元)</t>
  </si>
  <si>
    <t>Balance sheet</t>
  </si>
  <si>
    <t>其他应收款项、按金及预付款项</t>
  </si>
  <si>
    <t>Deposits, prepayments and deferred
expenses</t>
  </si>
  <si>
    <t>link forecast</t>
  </si>
  <si>
    <t>贸易应收款项</t>
  </si>
  <si>
    <t>Trade receivables</t>
  </si>
  <si>
    <t>存货</t>
  </si>
  <si>
    <t>Inventories</t>
  </si>
  <si>
    <t>Loan to a director</t>
  </si>
  <si>
    <t>应收关联方款项</t>
  </si>
  <si>
    <t>Amount due from subsidiaries</t>
  </si>
  <si>
    <t>合同成本</t>
  </si>
  <si>
    <t>Tax recoverable</t>
  </si>
  <si>
    <t>Financial assets at FVTPL</t>
  </si>
  <si>
    <t>Time deposits with original maturity over three months</t>
  </si>
  <si>
    <t>现金及现金等价物</t>
  </si>
  <si>
    <t>流动资产合计</t>
  </si>
  <si>
    <t>物业、厂房及设备</t>
  </si>
  <si>
    <t>使用权资产</t>
  </si>
  <si>
    <t>无形资产</t>
  </si>
  <si>
    <t>Rental deposits</t>
  </si>
  <si>
    <t>递延所得税资产</t>
  </si>
  <si>
    <t>Deferred income tax assets</t>
  </si>
  <si>
    <t>Investments in subsidiaries</t>
  </si>
  <si>
    <t>非流动资产合计</t>
  </si>
  <si>
    <t>Total non-current assets</t>
  </si>
  <si>
    <t>资产总计</t>
  </si>
  <si>
    <t>其他应付款和应计项目</t>
  </si>
  <si>
    <t>Other payables and accruals</t>
  </si>
  <si>
    <t>合同负债</t>
  </si>
  <si>
    <t>Financial liabilities arising from unvested restricted shares</t>
  </si>
  <si>
    <t>递延收入</t>
  </si>
  <si>
    <t>Tax payable</t>
  </si>
  <si>
    <t>租赁负债</t>
  </si>
  <si>
    <t xml:space="preserve">Lease liabilities </t>
  </si>
  <si>
    <t>贸易及其他应付款项</t>
  </si>
  <si>
    <t xml:space="preserve">Other current liabilities </t>
  </si>
  <si>
    <t>流动负债合计</t>
  </si>
  <si>
    <t>Lease liabilities</t>
  </si>
  <si>
    <t>应付关联方款项</t>
  </si>
  <si>
    <t>Convertible preferred shares</t>
  </si>
  <si>
    <t>非流动负债合计</t>
  </si>
  <si>
    <t>Total non-current liabilities</t>
  </si>
  <si>
    <t xml:space="preserve"> 负债合计</t>
  </si>
  <si>
    <t>股本</t>
  </si>
  <si>
    <t>Share capital</t>
  </si>
  <si>
    <t>股本溢价</t>
  </si>
  <si>
    <t>Treasury shares</t>
  </si>
  <si>
    <t>储备</t>
  </si>
  <si>
    <t>Reserves</t>
  </si>
  <si>
    <t>股东权益合计</t>
  </si>
  <si>
    <t>总负债及股东权益总额</t>
  </si>
  <si>
    <t>Balance check</t>
  </si>
  <si>
    <t>ARD.现金流量表(ORIG,百万元)</t>
  </si>
  <si>
    <t>Cash flow statement</t>
  </si>
  <si>
    <t xml:space="preserve"> 净利润</t>
  </si>
  <si>
    <r>
      <rPr>
        <b/>
        <sz val="8"/>
        <color theme="1"/>
        <rFont val="宋体"/>
        <family val="2"/>
      </rPr>
      <t>非现金支付</t>
    </r>
    <r>
      <rPr>
        <b/>
        <sz val="8"/>
        <color theme="1"/>
        <rFont val="Arial"/>
        <family val="2"/>
      </rPr>
      <t>:</t>
    </r>
  </si>
  <si>
    <t>Adjustments for non-cash charges</t>
  </si>
  <si>
    <t>利息收入</t>
  </si>
  <si>
    <t>Interest income</t>
  </si>
  <si>
    <t>物业、厂房及设备折旧</t>
  </si>
  <si>
    <t>Depreciation of property, plant and equipment</t>
  </si>
  <si>
    <t>Depreciation of right-of-use assets</t>
  </si>
  <si>
    <r>
      <rPr>
        <sz val="8"/>
        <color theme="1"/>
        <rFont val="微软雅黑"/>
        <family val="2"/>
      </rPr>
      <t>使用权资产和无形资产摊销</t>
    </r>
  </si>
  <si>
    <t>Impairment loss of intangible assets</t>
  </si>
  <si>
    <t>Fair value change of financial asset at FVTPL</t>
  </si>
  <si>
    <r>
      <rPr>
        <sz val="8"/>
        <color theme="1"/>
        <rFont val="微软雅黑"/>
        <family val="2"/>
      </rPr>
      <t>财务费用</t>
    </r>
  </si>
  <si>
    <t>Financial cost</t>
  </si>
  <si>
    <r>
      <rPr>
        <sz val="8"/>
        <color theme="1"/>
        <rFont val="宋体"/>
        <family val="2"/>
      </rPr>
      <t>非现金股份支付费用</t>
    </r>
  </si>
  <si>
    <t>Non-cash share-based payment expense</t>
  </si>
  <si>
    <t>Issuance costs for convertible preferred shares</t>
  </si>
  <si>
    <t>Operating cash flows before movements in working capital</t>
  </si>
  <si>
    <t>营业资金变动：</t>
  </si>
  <si>
    <t>Changes in working capital:</t>
  </si>
  <si>
    <r>
      <rPr>
        <sz val="8"/>
        <color theme="1"/>
        <rFont val="宋体"/>
        <family val="2"/>
      </rPr>
      <t>其他应收款项、押金和预付款项</t>
    </r>
  </si>
  <si>
    <t>(Increase) decrease in deposits, prepayments and deferred expenses</t>
  </si>
  <si>
    <r>
      <rPr>
        <sz val="8"/>
        <color theme="1"/>
        <rFont val="宋体"/>
        <family val="2"/>
      </rPr>
      <t>应计项目和其他应付款项</t>
    </r>
  </si>
  <si>
    <t>Increase in other payables and accruals</t>
  </si>
  <si>
    <r>
      <rPr>
        <sz val="8"/>
        <color theme="1"/>
        <rFont val="宋体"/>
        <family val="2"/>
      </rPr>
      <t>存货</t>
    </r>
  </si>
  <si>
    <t>应收账款</t>
  </si>
  <si>
    <r>
      <rPr>
        <sz val="8"/>
        <color theme="1"/>
        <rFont val="微软雅黑"/>
        <family val="2"/>
      </rPr>
      <t>贸易应付款项</t>
    </r>
  </si>
  <si>
    <t>经营活动产生的现金流</t>
  </si>
  <si>
    <t>Cash (used in)/generated from operating activities</t>
  </si>
  <si>
    <t>所得税支出</t>
  </si>
  <si>
    <t>Income tax paid</t>
  </si>
  <si>
    <t>经营活动产生的现金流量净额</t>
  </si>
  <si>
    <t>Interest received</t>
  </si>
  <si>
    <t>Proceeds from redemption of time deposits with original maturity over three months</t>
  </si>
  <si>
    <t>购买物业、厂房及设备</t>
  </si>
  <si>
    <t>Payments for property, plant and equipment</t>
  </si>
  <si>
    <r>
      <rPr>
        <sz val="8"/>
        <color theme="1"/>
        <rFont val="Arial"/>
        <family val="2"/>
      </rPr>
      <t>购买无形资产</t>
    </r>
  </si>
  <si>
    <t>Payments of intangible assets</t>
  </si>
  <si>
    <t>Payment for acquisition of financial asset at FVTPL</t>
  </si>
  <si>
    <t>出售物业、厂房及设备所得款项</t>
  </si>
  <si>
    <t>Proceeds from disposal of financial asset at FVTPL</t>
  </si>
  <si>
    <t>Payment for rental deposits</t>
  </si>
  <si>
    <t>Placement of time deposits with original maturity over three months</t>
  </si>
  <si>
    <t>Repayment of loan to a director</t>
  </si>
  <si>
    <t>投资活动产生的现金流量净额</t>
  </si>
  <si>
    <r>
      <rPr>
        <sz val="8"/>
        <color theme="1"/>
        <rFont val="宋体"/>
        <family val="3"/>
      </rPr>
      <t>发行股份所得款项</t>
    </r>
  </si>
  <si>
    <t>Other proceeds</t>
  </si>
  <si>
    <t>Proceeds from issue of shares upon exercise of share options</t>
  </si>
  <si>
    <t>支付给关联方的利息</t>
  </si>
  <si>
    <t>Interest paid</t>
  </si>
  <si>
    <t>Accrued issuance costs paid</t>
  </si>
  <si>
    <t>Issuance costs paid for convertible preferred shares</t>
  </si>
  <si>
    <t>Repayment of lease payment</t>
  </si>
  <si>
    <t>筹资活动产生的现金流量净额</t>
  </si>
  <si>
    <t>现金及现金等价物净增加额</t>
  </si>
  <si>
    <t>期初现金及现金等价物余额</t>
  </si>
  <si>
    <t>期末现金及现金等价物余额</t>
  </si>
  <si>
    <t>二、股权融资</t>
  </si>
  <si>
    <t>(1)IPO发行股本股数(单位：百万股）</t>
  </si>
  <si>
    <t>预测值</t>
  </si>
  <si>
    <t xml:space="preserve">  发行价格（单位：元）</t>
  </si>
  <si>
    <t xml:space="preserve">  费用率</t>
  </si>
  <si>
    <t>黄色框内数字为预设值，可修改</t>
  </si>
  <si>
    <t xml:space="preserve">  募集资金总额</t>
  </si>
  <si>
    <t>发行股本股数*发行价格</t>
  </si>
  <si>
    <t xml:space="preserve">  股本变动金额</t>
  </si>
  <si>
    <t>发行股本股数*1</t>
  </si>
  <si>
    <t xml:space="preserve">  资本公积变动金额</t>
  </si>
  <si>
    <t>募集总额*(1-费用率）-股本变动金额</t>
  </si>
  <si>
    <t>(2)增发股本股数(单位：百万股）</t>
  </si>
  <si>
    <t xml:space="preserve">  增发价格（单位：元）</t>
  </si>
  <si>
    <t>增发股本股数*增发价格</t>
  </si>
  <si>
    <t>增发股本股数*1</t>
  </si>
  <si>
    <t>(3)配股股本股数(单位：百万股）</t>
  </si>
  <si>
    <t xml:space="preserve">  配股价格（单位：元)</t>
  </si>
  <si>
    <t>配股股本股数*配股价格</t>
  </si>
  <si>
    <t>配股股本股数*1</t>
  </si>
  <si>
    <t>(4)期权行权数量(单位：百万股）</t>
  </si>
  <si>
    <t xml:space="preserve">  行权价格(单位：元)</t>
  </si>
  <si>
    <t xml:space="preserve">  行权总金额</t>
  </si>
  <si>
    <t>行权数量*行权价格</t>
  </si>
  <si>
    <t xml:space="preserve">  转股本金额</t>
  </si>
  <si>
    <t>期权行权数量*1</t>
  </si>
  <si>
    <t xml:space="preserve">  转资本公积金额</t>
  </si>
  <si>
    <t>行权总金额-转股本金额</t>
  </si>
  <si>
    <t>(5)回购股本股数(单位：百万股）</t>
  </si>
  <si>
    <t xml:space="preserve">  回购价格(单位：元)</t>
  </si>
  <si>
    <t xml:space="preserve">  回购资金总额</t>
  </si>
  <si>
    <t>回购股本股数*回购价格</t>
  </si>
  <si>
    <t>回购股本股数*1</t>
  </si>
  <si>
    <t>募集总额*(1+费用率）-股本变动金额</t>
  </si>
  <si>
    <t>三、股东权益变动</t>
  </si>
  <si>
    <t>（一）股本变动</t>
  </si>
  <si>
    <t xml:space="preserve">  期初总股本</t>
  </si>
  <si>
    <t>上期期末总股本</t>
  </si>
  <si>
    <t xml:space="preserve">    加：送股</t>
  </si>
  <si>
    <t>上期每股送股*上期期末总股本</t>
  </si>
  <si>
    <t xml:space="preserve">    加：转增股</t>
  </si>
  <si>
    <t>上期每股转增*上期期末总股本</t>
  </si>
  <si>
    <t xml:space="preserve">    加：可转债转股</t>
  </si>
  <si>
    <t xml:space="preserve">    加：IPO发行</t>
  </si>
  <si>
    <t xml:space="preserve">    加：增发</t>
  </si>
  <si>
    <t xml:space="preserve">    加：配股</t>
  </si>
  <si>
    <t xml:space="preserve">    加：期权行权</t>
  </si>
  <si>
    <t xml:space="preserve">    减：股本回购</t>
  </si>
  <si>
    <t xml:space="preserve">  期末总股本(单位：百万股）</t>
  </si>
  <si>
    <t>勾稽关系</t>
  </si>
  <si>
    <t xml:space="preserve">  假定稀释性潜在普通股</t>
  </si>
  <si>
    <t xml:space="preserve">  稀释性潜在普通股转换收益/（费用）</t>
  </si>
  <si>
    <t>（二）资本公积变动</t>
  </si>
  <si>
    <t xml:space="preserve">  期初资本公积</t>
  </si>
  <si>
    <t>上期期末资本公积</t>
  </si>
  <si>
    <t xml:space="preserve">    减：转增股利</t>
  </si>
  <si>
    <t>上期每股转增*上期期末总股本*1</t>
  </si>
  <si>
    <t xml:space="preserve">    加：可转债</t>
  </si>
  <si>
    <t>计算结果</t>
  </si>
  <si>
    <t xml:space="preserve">    加：增发募集</t>
  </si>
  <si>
    <t xml:space="preserve">    加：配股募集</t>
  </si>
  <si>
    <t xml:space="preserve">  期末资本公积</t>
  </si>
  <si>
    <t>Unit</t>
  </si>
  <si>
    <t>US</t>
  </si>
  <si>
    <t>mn</t>
  </si>
  <si>
    <t>Female population</t>
  </si>
  <si>
    <t>y/y growth</t>
  </si>
  <si>
    <t>Male population</t>
  </si>
  <si>
    <t>Inputs</t>
  </si>
  <si>
    <t>Total population</t>
  </si>
  <si>
    <t>Sex ration</t>
  </si>
  <si>
    <t>Non-Small Cell Lung Cancer</t>
  </si>
  <si>
    <t>Ph 2 CT</t>
  </si>
  <si>
    <t>Incidence rate (per 100 000) lung cancer</t>
  </si>
  <si>
    <t>Annual Incidence ('000)</t>
  </si>
  <si>
    <t>NSCLC as % of lung cancer</t>
  </si>
  <si>
    <t>Stage completed</t>
  </si>
  <si>
    <t>NSCLC Incidence ('000)</t>
  </si>
  <si>
    <t>Commercialization timeline (stage starts on Year)</t>
  </si>
  <si>
    <t>Stage IIIb &amp; IV as % of total NSCLC</t>
  </si>
  <si>
    <t>Stage No.</t>
  </si>
  <si>
    <t># of Stage IIIb &amp; IV case ('000)</t>
  </si>
  <si>
    <t>Pre-clinical</t>
  </si>
  <si>
    <t>% of late stage patient with PS&lt;= 2</t>
  </si>
  <si>
    <t>IND Filing</t>
  </si>
  <si>
    <t># of late-stage patient suitable for chemo ('000)</t>
  </si>
  <si>
    <t>Phase 1</t>
  </si>
  <si>
    <t>Phase 2</t>
  </si>
  <si>
    <t>Stage I, II &amp; IIIa as % of total NSCLC</t>
  </si>
  <si>
    <t>Phase 3</t>
  </si>
  <si>
    <t># of Stage I, II &amp; IIIa case - Surgery ('000)</t>
  </si>
  <si>
    <t>Regulatory Approval</t>
  </si>
  <si>
    <t>% of early stage patient receive chemo</t>
  </si>
  <si>
    <t>Commercialization</t>
  </si>
  <si>
    <t># of post-surgery chemo case ('000)</t>
  </si>
  <si>
    <t>Patient pool for chemo/targeted therapies ('000)</t>
  </si>
  <si>
    <t>EGFR mutation (- or unclear) as % of total patient</t>
  </si>
  <si>
    <t>Conditional Probabilities of Success</t>
  </si>
  <si>
    <t>Treatment rate</t>
  </si>
  <si>
    <t>Treated patients ('000)</t>
  </si>
  <si>
    <t>% of patients received EGFR-TKIs</t>
  </si>
  <si>
    <t># of patients received EGFR-TKIs</t>
  </si>
  <si>
    <t>% of patients develped MET amplification</t>
  </si>
  <si>
    <t># of patients develped MET amplification</t>
  </si>
  <si>
    <t>Apollomics's c-met inhibitor's mkt share</t>
  </si>
  <si>
    <t>Cumulative Probabilities of cash outflow</t>
  </si>
  <si>
    <t># of exChina patients on APL101 ('000)</t>
  </si>
  <si>
    <t>PoS:</t>
  </si>
  <si>
    <t>Total # of exChina patients on APL101 ('000)</t>
  </si>
  <si>
    <t>200mg (2 dosages) daily (proxy: Tabrecta)</t>
  </si>
  <si>
    <t xml:space="preserve">Dosage </t>
  </si>
  <si>
    <t>Duration (1 year)</t>
  </si>
  <si>
    <t>Total # of dosages</t>
  </si>
  <si>
    <t>Sales of APL101 (US$ mn)</t>
  </si>
  <si>
    <t>Valuation progress</t>
  </si>
  <si>
    <t>Stage</t>
  </si>
  <si>
    <t>Prob of Commercialized</t>
  </si>
  <si>
    <t>Annual treatment cost (US$)</t>
  </si>
  <si>
    <t>Renal cell cancer (RCC)</t>
  </si>
  <si>
    <t>2017A</t>
  </si>
  <si>
    <t>2018A</t>
  </si>
  <si>
    <t>RCC incidence rate (per 100 000)</t>
  </si>
  <si>
    <t>Early stage I, II, III ('000)</t>
  </si>
  <si>
    <t>% of patients diagnosed at early stage</t>
  </si>
  <si>
    <t># of patients on surgery ('000)</t>
  </si>
  <si>
    <t>Relapse ('000)</t>
  </si>
  <si>
    <t>Relapse rate</t>
  </si>
  <si>
    <t># of patients on follow-up treatment - anti-angiogenic therapy ('000)</t>
  </si>
  <si>
    <t>Advanced stage IV ('000)</t>
  </si>
  <si>
    <t>% of patients diagnosed at advanced stage</t>
  </si>
  <si>
    <t>2018E</t>
  </si>
  <si>
    <t>Incidence rate of brain cancer (per 100 000)</t>
  </si>
  <si>
    <t># of Glioblastoma (GBM) ('000)</t>
  </si>
  <si>
    <t>GBM % of brain cancer</t>
  </si>
  <si>
    <t>Treatment - Radiation treatment (RT) + temozolomide (TMZ) ('000)</t>
  </si>
  <si>
    <t xml:space="preserve">Relapse </t>
  </si>
  <si>
    <t xml:space="preserve">% of R/R patients on APL101 w/RT and/or w/SRS/SRT and/or TMZ in combination with radiation therapy (RT) </t>
  </si>
  <si>
    <t># of China patients on APL101 ('000)</t>
  </si>
  <si>
    <t>Total sales of APL101 (US$ mn)</t>
  </si>
  <si>
    <t>Total # of patients treated ('000)</t>
  </si>
  <si>
    <t>start to generate sales in 2020</t>
  </si>
  <si>
    <r>
      <rPr>
        <sz val="12"/>
        <color theme="1"/>
        <rFont val="微软雅黑"/>
        <family val="2"/>
      </rPr>
      <t>销售费用</t>
    </r>
    <r>
      <rPr>
        <sz val="12"/>
        <color theme="1"/>
        <rFont val="Arial"/>
        <family val="2"/>
      </rPr>
      <t>/</t>
    </r>
    <r>
      <rPr>
        <sz val="12"/>
        <color theme="1"/>
        <rFont val="微软雅黑"/>
        <family val="2"/>
      </rPr>
      <t>营收</t>
    </r>
  </si>
  <si>
    <t>Selling expenses as a % of revenue</t>
  </si>
  <si>
    <r>
      <rPr>
        <sz val="12"/>
        <color theme="1"/>
        <rFont val="微软雅黑"/>
        <family val="2"/>
      </rPr>
      <t>研发费用</t>
    </r>
    <r>
      <rPr>
        <sz val="12"/>
        <color theme="1"/>
        <rFont val="Arial"/>
        <family val="2"/>
      </rPr>
      <t>/</t>
    </r>
    <r>
      <rPr>
        <sz val="12"/>
        <color theme="1"/>
        <rFont val="微软雅黑"/>
        <family val="2"/>
      </rPr>
      <t>营收</t>
    </r>
  </si>
  <si>
    <r>
      <rPr>
        <sz val="12"/>
        <color theme="1"/>
        <rFont val="微软雅黑"/>
        <family val="2"/>
      </rPr>
      <t>管理费用</t>
    </r>
    <r>
      <rPr>
        <sz val="12"/>
        <color theme="1"/>
        <rFont val="Arial"/>
        <family val="2"/>
      </rPr>
      <t>/</t>
    </r>
    <r>
      <rPr>
        <sz val="12"/>
        <color theme="1"/>
        <rFont val="微软雅黑"/>
        <family val="2"/>
      </rPr>
      <t>营收</t>
    </r>
  </si>
  <si>
    <t>税率</t>
  </si>
  <si>
    <t>Tax rate</t>
  </si>
  <si>
    <t>Debt</t>
  </si>
  <si>
    <t>Debt mix</t>
  </si>
  <si>
    <t>Assumed ST borrowings to repay within a year</t>
  </si>
  <si>
    <t>Debt repayment</t>
  </si>
  <si>
    <t>Issuance for CapEx</t>
  </si>
  <si>
    <t>Debt issuance</t>
  </si>
  <si>
    <t>Interest income %</t>
  </si>
  <si>
    <t>Cash</t>
  </si>
  <si>
    <t>Forecast min cash balance as a % of revenue</t>
  </si>
  <si>
    <t>Cash as a % of revenue</t>
  </si>
  <si>
    <t>Min cash balance required</t>
  </si>
  <si>
    <r>
      <rPr>
        <b/>
        <sz val="12"/>
        <color rgb="FFFF0000"/>
        <rFont val="等线"/>
        <family val="3"/>
      </rPr>
      <t>财务费用</t>
    </r>
  </si>
  <si>
    <t xml:space="preserve">  Financial expenses</t>
  </si>
  <si>
    <r>
      <rPr>
        <sz val="12"/>
        <color theme="1"/>
        <rFont val="等线"/>
        <family val="2"/>
      </rPr>
      <t>利息支出</t>
    </r>
  </si>
  <si>
    <t>Interest expense</t>
  </si>
  <si>
    <r>
      <rPr>
        <sz val="12"/>
        <color theme="1"/>
        <rFont val="等线"/>
        <family val="2"/>
      </rPr>
      <t>减：利息收入</t>
    </r>
  </si>
  <si>
    <t>其他</t>
  </si>
  <si>
    <r>
      <rPr>
        <b/>
        <sz val="12"/>
        <color theme="1"/>
        <rFont val="等线"/>
        <family val="3"/>
      </rPr>
      <t>合计</t>
    </r>
  </si>
  <si>
    <t xml:space="preserve">Total </t>
  </si>
  <si>
    <t>as a % of PPE, intangible assets and LT deferred expenses</t>
  </si>
  <si>
    <t>as a % of revenue</t>
  </si>
  <si>
    <t>CapEx from cash</t>
  </si>
  <si>
    <t>CapEx from debt</t>
  </si>
  <si>
    <t>Account receivable days</t>
  </si>
  <si>
    <t>Inventory days</t>
  </si>
  <si>
    <t>Account payable days</t>
  </si>
  <si>
    <t>Cash conversion days</t>
  </si>
  <si>
    <r>
      <rPr>
        <b/>
        <sz val="12"/>
        <color rgb="FFFF0000"/>
        <rFont val="等线"/>
        <family val="3"/>
      </rPr>
      <t>固定资产</t>
    </r>
  </si>
  <si>
    <t>fixed assets</t>
  </si>
  <si>
    <r>
      <rPr>
        <b/>
        <sz val="12"/>
        <color theme="1"/>
        <rFont val="等线"/>
        <family val="3"/>
      </rPr>
      <t>一、账面原值：</t>
    </r>
  </si>
  <si>
    <t>beginning value</t>
  </si>
  <si>
    <r>
      <t>1.</t>
    </r>
    <r>
      <rPr>
        <sz val="12"/>
        <color rgb="FF0070C0"/>
        <rFont val="等线"/>
        <family val="2"/>
      </rPr>
      <t>期初余额</t>
    </r>
  </si>
  <si>
    <t>beginning balance</t>
  </si>
  <si>
    <r>
      <t>2.</t>
    </r>
    <r>
      <rPr>
        <sz val="12"/>
        <color rgb="FF0070C0"/>
        <rFont val="等线"/>
        <family val="2"/>
      </rPr>
      <t>本期增加金额</t>
    </r>
  </si>
  <si>
    <t>increase in this period</t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</si>
  <si>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1</t>
    </r>
    <r>
      <rPr>
        <sz val="12"/>
        <color theme="1"/>
        <rFont val="等线"/>
        <family val="2"/>
      </rPr>
      <t>）购置</t>
    </r>
  </si>
  <si>
    <t xml:space="preserve">increase by purchasing </t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</si>
  <si>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2</t>
    </r>
    <r>
      <rPr>
        <sz val="12"/>
        <color theme="1"/>
        <rFont val="等线"/>
        <family val="2"/>
      </rPr>
      <t>）在建工程转入</t>
    </r>
  </si>
  <si>
    <t xml:space="preserve">increase by transfering from constrution in process </t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</si>
  <si>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3</t>
    </r>
    <r>
      <rPr>
        <sz val="12"/>
        <color theme="1"/>
        <rFont val="等线"/>
        <family val="2"/>
      </rPr>
      <t>）企业合并增加</t>
    </r>
  </si>
  <si>
    <t>increase by M&amp;A</t>
  </si>
  <si>
    <r>
      <t xml:space="preserve">  (4)   </t>
    </r>
    <r>
      <rPr>
        <sz val="12"/>
        <color theme="1"/>
        <rFont val="等线"/>
        <family val="2"/>
      </rPr>
      <t>汇率影响</t>
    </r>
  </si>
  <si>
    <t>influences of exchange rate movements</t>
  </si>
  <si>
    <r>
      <t>3.</t>
    </r>
    <r>
      <rPr>
        <sz val="12"/>
        <color rgb="FF0070C0"/>
        <rFont val="等线"/>
        <family val="2"/>
      </rPr>
      <t>本期减少金额</t>
    </r>
  </si>
  <si>
    <t>decrease in this period</t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</si>
  <si>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1)</t>
    </r>
    <r>
      <rPr>
        <sz val="12"/>
        <color theme="1"/>
        <rFont val="等线"/>
        <family val="2"/>
      </rPr>
      <t>处置或报废</t>
    </r>
  </si>
  <si>
    <t>disposal or scrap</t>
  </si>
  <si>
    <r>
      <t>4.</t>
    </r>
    <r>
      <rPr>
        <sz val="12"/>
        <color rgb="FF0070C0"/>
        <rFont val="等线"/>
        <family val="2"/>
      </rPr>
      <t>期末余额</t>
    </r>
  </si>
  <si>
    <t>ending balance</t>
  </si>
  <si>
    <r>
      <rPr>
        <b/>
        <sz val="12"/>
        <color theme="1"/>
        <rFont val="等线"/>
        <family val="3"/>
      </rPr>
      <t>二、累计折旧</t>
    </r>
  </si>
  <si>
    <t>Accumulated depreciation</t>
  </si>
  <si>
    <r>
      <t>2.</t>
    </r>
    <r>
      <rPr>
        <sz val="12"/>
        <color rgb="FF0070C0"/>
        <rFont val="等线"/>
        <family val="2"/>
      </rPr>
      <t>本期增加额</t>
    </r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</si>
  <si>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1</t>
    </r>
    <r>
      <rPr>
        <sz val="12"/>
        <color theme="1"/>
        <rFont val="等线"/>
        <family val="2"/>
      </rPr>
      <t>）计提</t>
    </r>
  </si>
  <si>
    <t>provision</t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</si>
  <si>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2)</t>
    </r>
    <r>
      <rPr>
        <sz val="12"/>
        <color theme="1"/>
        <rFont val="等线"/>
        <family val="2"/>
      </rPr>
      <t>汇率影响</t>
    </r>
  </si>
  <si>
    <r>
      <rPr>
        <b/>
        <sz val="12"/>
        <color theme="1"/>
        <rFont val="等线"/>
        <family val="3"/>
      </rPr>
      <t>三、减值准备</t>
    </r>
  </si>
  <si>
    <t xml:space="preserve">increased provision </t>
  </si>
  <si>
    <r>
      <rPr>
        <b/>
        <sz val="12"/>
        <color theme="1"/>
        <rFont val="等线"/>
        <family val="3"/>
      </rPr>
      <t>四、账面价值</t>
    </r>
  </si>
  <si>
    <t>book value</t>
  </si>
  <si>
    <r>
      <t>1.</t>
    </r>
    <r>
      <rPr>
        <sz val="12"/>
        <color theme="1"/>
        <rFont val="等线"/>
        <family val="2"/>
      </rPr>
      <t>期末账面价值</t>
    </r>
  </si>
  <si>
    <t>end-of-term book value</t>
  </si>
  <si>
    <r>
      <t>2.</t>
    </r>
    <r>
      <rPr>
        <sz val="12"/>
        <color theme="1"/>
        <rFont val="等线"/>
        <family val="2"/>
      </rPr>
      <t>期初账面价值</t>
    </r>
  </si>
  <si>
    <t>opening book value</t>
  </si>
  <si>
    <t>Depreciation as % of gross fixed assets</t>
  </si>
  <si>
    <r>
      <rPr>
        <b/>
        <sz val="12"/>
        <color rgb="FFFF0000"/>
        <rFont val="等线"/>
        <family val="3"/>
      </rPr>
      <t>无形资产</t>
    </r>
  </si>
  <si>
    <t xml:space="preserve">    Intangible assets</t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</si>
  <si>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2</t>
    </r>
    <r>
      <rPr>
        <sz val="12"/>
        <color theme="1"/>
        <rFont val="等线"/>
        <family val="2"/>
      </rPr>
      <t>）内部研发</t>
    </r>
  </si>
  <si>
    <t>Internal R&amp;D</t>
  </si>
  <si>
    <t>increase by M&amp;A in this period</t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</si>
  <si>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 xml:space="preserve">1)   </t>
    </r>
    <r>
      <rPr>
        <sz val="12"/>
        <color theme="1"/>
        <rFont val="等线"/>
        <family val="2"/>
      </rPr>
      <t>处置</t>
    </r>
  </si>
  <si>
    <t>disposal</t>
  </si>
  <si>
    <r>
      <rPr>
        <b/>
        <sz val="12"/>
        <color theme="1"/>
        <rFont val="等线"/>
        <family val="3"/>
      </rPr>
      <t>二、累计摊销</t>
    </r>
  </si>
  <si>
    <t>accumulated amortization</t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</si>
  <si>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1)</t>
    </r>
    <r>
      <rPr>
        <sz val="12"/>
        <color theme="1"/>
        <rFont val="等线"/>
        <family val="2"/>
      </rPr>
      <t>处置</t>
    </r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</si>
  <si>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1)</t>
    </r>
    <r>
      <rPr>
        <sz val="12"/>
        <color theme="1"/>
        <rFont val="等线"/>
        <family val="2"/>
      </rPr>
      <t>计提</t>
    </r>
  </si>
  <si>
    <t>Amortization as % of gross intangible assets</t>
  </si>
  <si>
    <t>土地所有权</t>
  </si>
  <si>
    <t>一、账面原值</t>
  </si>
  <si>
    <r>
      <t>1.</t>
    </r>
    <r>
      <rPr>
        <sz val="12"/>
        <color rgb="FF0070C0"/>
        <rFont val="等线"/>
        <family val="3"/>
      </rPr>
      <t>期初余额</t>
    </r>
  </si>
  <si>
    <r>
      <t>2.</t>
    </r>
    <r>
      <rPr>
        <sz val="12"/>
        <color rgb="FF0070C0"/>
        <rFont val="等线"/>
        <family val="3"/>
      </rPr>
      <t>本期增加</t>
    </r>
  </si>
  <si>
    <r>
      <rPr>
        <sz val="12"/>
        <color theme="1"/>
        <rFont val="等线"/>
        <family val="2"/>
      </rPr>
      <t>（</t>
    </r>
    <r>
      <rPr>
        <sz val="12"/>
        <color theme="1"/>
        <rFont val="Arial"/>
        <family val="2"/>
      </rPr>
      <t>1)</t>
    </r>
    <r>
      <rPr>
        <sz val="12"/>
        <color theme="1"/>
        <rFont val="等线"/>
        <family val="2"/>
      </rPr>
      <t>企业合并形成的</t>
    </r>
  </si>
  <si>
    <r>
      <t xml:space="preserve">  (2) </t>
    </r>
    <r>
      <rPr>
        <sz val="12"/>
        <color theme="1"/>
        <rFont val="等线"/>
        <family val="2"/>
      </rPr>
      <t>汇率变动影响</t>
    </r>
  </si>
  <si>
    <r>
      <t>3.</t>
    </r>
    <r>
      <rPr>
        <sz val="12"/>
        <color rgb="FF0070C0"/>
        <rFont val="等线"/>
        <family val="3"/>
      </rPr>
      <t>本期减少</t>
    </r>
  </si>
  <si>
    <r>
      <t xml:space="preserve"> (1) </t>
    </r>
    <r>
      <rPr>
        <sz val="12"/>
        <color theme="1"/>
        <rFont val="等线"/>
        <family val="2"/>
      </rPr>
      <t>处置</t>
    </r>
  </si>
  <si>
    <r>
      <t>4.</t>
    </r>
    <r>
      <rPr>
        <sz val="12"/>
        <color rgb="FF0070C0"/>
        <rFont val="等线"/>
        <family val="3"/>
      </rPr>
      <t>期末余额</t>
    </r>
  </si>
  <si>
    <r>
      <rPr>
        <b/>
        <sz val="12"/>
        <color theme="1"/>
        <rFont val="等线"/>
        <family val="3"/>
      </rPr>
      <t>三、账面价值</t>
    </r>
  </si>
  <si>
    <t>Portfolio copy — employer attribution removed; modeling structure preserved.</t>
  </si>
  <si>
    <t>Exhibit 28: Illustrative Biotech Co. 2020E-40E revenue (RMB mn)</t>
  </si>
  <si>
    <t>Exhibit 29: Illustrative Biotech Co. revenue (RMB mn)</t>
  </si>
  <si>
    <t>Healthcare Equity Research &amp; Financial Modeling</t>
  </si>
  <si>
    <t>Selected modeling work adapted for portfolio presentation. The workbook preserves the original modeling structure (DCF, integrated financial statements, pipeline forecasts, and financial analysis) while removing employer attribution.</t>
  </si>
  <si>
    <t>START HERE — WHAT TO LOOK AT</t>
  </si>
  <si>
    <t>Tab</t>
  </si>
  <si>
    <t>What it demonstrates</t>
  </si>
  <si>
    <t>Best portfolio use</t>
  </si>
  <si>
    <t>Financial Analysis</t>
  </si>
  <si>
    <t>Revenue, gross profit, net income and operating trend exhibits.</t>
  </si>
  <si>
    <t>Visual proof of financial analysis and presentation.</t>
  </si>
  <si>
    <t>DCF</t>
  </si>
  <si>
    <t>Free cash flow build, WACC, terminal value, equity value and sensitivity analysis.</t>
  </si>
  <si>
    <t>Core valuation/modeling project.</t>
  </si>
  <si>
    <t>ISBSCF</t>
  </si>
  <si>
    <t>Integrated Income Statement, Balance Sheet and Cash Flow forecast.</t>
  </si>
  <si>
    <t>Three-statement modeling capability.</t>
  </si>
  <si>
    <t>Summary</t>
  </si>
  <si>
    <t>Pipeline-level revenue, gross profit, treated-patient and peak-sales outputs.</t>
  </si>
  <si>
    <t>Healthcare forecasting methodology.</t>
  </si>
  <si>
    <t>APL101 / APL121 / APL106 / APL501</t>
  </si>
  <si>
    <t>Product-level patient, penetration, pricing and revenue build.</t>
  </si>
  <si>
    <t>Detailed pharmaceutical pipeline modeling.</t>
  </si>
  <si>
    <t>Forecast</t>
  </si>
  <si>
    <t>Operating assumptions and forecast drivers feeding the financial statements.</t>
  </si>
  <si>
    <t>Shows model linkage and forecasting logic.</t>
  </si>
  <si>
    <t>Key Financial Ratios</t>
  </si>
  <si>
    <t>Selected profitability, liquidity and operating ratios.</t>
  </si>
  <si>
    <t>Supporting analytical output.</t>
  </si>
  <si>
    <t>PORTFOLIO DESCRIPTION</t>
  </si>
  <si>
    <t>Built and analyzed a healthcare equity-research model incorporating product-level revenue forecasting, integrated financial statements, free-cash-flow valuation, WACC and terminal-value assumptions, sensitivity analysis, and financial-performance exhibits. The model links patient/population assumptions and product forecasts to company-level financial statements and valuation outputs.</t>
  </si>
  <si>
    <t>PUBLIC-SHARING NOTE</t>
  </si>
  <si>
    <t>This portfolio copy is intended to demonstrate modeling methodology. Employer attribution has been removed. Before publishing the workbook publicly, confirm that the underlying company/model data and template are permitted to be shared; otherwise use screenshots or a further anonymized recreation on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</si>
</sst>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_-* #,##0_-;\-* #,##0_-;_-* &quot;-&quot;??_-;_-@_-"/>
    <numFmt numFmtId="167" formatCode="_-* #,##0.0_-;\-* #,##0.0_-;_-* &quot;-&quot;??_-;_-@_-"/>
    <numFmt numFmtId="168" formatCode="0.0%"/>
    <numFmt numFmtId="169" formatCode="0\A"/>
    <numFmt numFmtId="170" formatCode="0&quot;E&quot;"/>
    <numFmt numFmtId="171" formatCode="#,##0.00_ ;[Red]\-#,##0.00\ "/>
    <numFmt numFmtId="172" formatCode="0.0"/>
    <numFmt numFmtId="173" formatCode="yyyy\-mm\-dd"/>
    <numFmt numFmtId="174" formatCode="_ * #,##0_ ;_ * \-#,##0_ ;_ * &quot;-&quot;??_ ;_ @_ "/>
    <numFmt numFmtId="175" formatCode="_ * #,##0.0_ ;_ * \-#,##0.0_ ;_ * &quot;-&quot;??_ ;_ @_ "/>
    <numFmt numFmtId="176" formatCode="0.00_);[Red]\(0.00\)"/>
    <numFmt numFmtId="177" formatCode="[Blue]#,##0;[Red]\-#,##0"/>
    <numFmt numFmtId="178" formatCode="[$-F800]dddd\,\ mmmm\ dd\,\ yyyy"/>
    <numFmt numFmtId="179" formatCode="0.0;;"/>
    <numFmt numFmtId="180" formatCode="0_ "/>
    <numFmt numFmtId="181" formatCode="0_);[Red]\(0\)"/>
    <numFmt numFmtId="182" formatCode="&quot;HK$&quot;0.00"/>
    <numFmt numFmtId="183" formatCode="#,##0.000"/>
    <numFmt numFmtId="184" formatCode="0;[Red]0"/>
    <numFmt numFmtId="185" formatCode="#,##0.0_ "/>
    <numFmt numFmtId="186" formatCode="#,##0.0_);[Red]\(#,##0.0\)"/>
    <numFmt numFmtId="187" formatCode="0.000"/>
    <numFmt numFmtId="188" formatCode="0.000000%"/>
    <numFmt numFmtId="189" formatCode="#,##0.0"/>
    <numFmt numFmtId="190" formatCode="0.0_ "/>
    <numFmt numFmtId="191" formatCode="0.0\x"/>
  </numFmts>
  <fonts count="134">
    <font>
      <sz val="11"/>
      <color theme="1"/>
      <name val="等线"/>
    </font>
    <font>
      <sz val="11"/>
      <color theme="1"/>
      <name val="等线"/>
      <family val="4"/>
      <charset val="134"/>
    </font>
    <font>
      <sz val="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b/>
      <sz val="8"/>
      <name val="Arial"/>
      <family val="2"/>
    </font>
    <font>
      <sz val="12"/>
      <color theme="1"/>
      <name val="等线"/>
      <family val="4"/>
      <charset val="134"/>
    </font>
    <font>
      <sz val="12"/>
      <color theme="1"/>
      <name val="Arial"/>
      <family val="2"/>
    </font>
    <font>
      <sz val="12"/>
      <color theme="1"/>
      <name val="等线"/>
      <family val="4"/>
      <charset val="134"/>
    </font>
    <font>
      <sz val="11"/>
      <color theme="1"/>
      <name val="Arial"/>
      <family val="2"/>
    </font>
    <font>
      <b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name val="Arial"/>
      <family val="2"/>
    </font>
    <font>
      <sz val="11"/>
      <color theme="1"/>
      <name val="等线"/>
      <family val="4"/>
      <charset val="134"/>
    </font>
    <font>
      <sz val="11"/>
      <color theme="10"/>
      <name val="宋体"/>
      <charset val="134"/>
    </font>
    <font>
      <sz val="10"/>
      <color rgb="FF0000FF"/>
      <name val="Arial"/>
      <family val="2"/>
    </font>
    <font>
      <sz val="12"/>
      <name val="宋体"/>
      <charset val="134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7"/>
      <name val="Arial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4"/>
      <color indexed="50"/>
      <name val="Arial"/>
      <family val="2"/>
    </font>
    <font>
      <sz val="6"/>
      <name val="Arial"/>
      <family val="2"/>
    </font>
    <font>
      <b/>
      <sz val="8"/>
      <color indexed="50"/>
      <name val="Arial"/>
      <family val="2"/>
    </font>
    <font>
      <sz val="8"/>
      <color indexed="8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"/>
      <name val="Arial"/>
      <family val="2"/>
    </font>
    <font>
      <sz val="11"/>
      <color indexed="8"/>
      <name val="Calibri"/>
      <family val="2"/>
    </font>
    <font>
      <sz val="9"/>
      <name val="Geneva"/>
      <family val="2"/>
    </font>
    <font>
      <b/>
      <sz val="15"/>
      <color indexed="56"/>
      <name val="宋体"/>
      <charset val="134"/>
    </font>
    <font>
      <b/>
      <sz val="15"/>
      <color indexed="54"/>
      <name val="宋体"/>
      <charset val="134"/>
    </font>
    <font>
      <b/>
      <sz val="13"/>
      <color indexed="56"/>
      <name val="宋体"/>
      <charset val="134"/>
    </font>
    <font>
      <b/>
      <sz val="13"/>
      <color indexed="54"/>
      <name val="宋体"/>
      <charset val="134"/>
    </font>
    <font>
      <b/>
      <sz val="11"/>
      <color indexed="56"/>
      <name val="宋体"/>
      <charset val="134"/>
    </font>
    <font>
      <b/>
      <sz val="11"/>
      <color indexed="54"/>
      <name val="宋体"/>
      <charset val="134"/>
    </font>
    <font>
      <b/>
      <sz val="18"/>
      <color indexed="56"/>
      <name val="宋体"/>
      <charset val="134"/>
    </font>
    <font>
      <sz val="18"/>
      <color indexed="54"/>
      <name val="宋体"/>
      <charset val="134"/>
    </font>
    <font>
      <sz val="11"/>
      <color indexed="20"/>
      <name val="宋体"/>
      <charset val="134"/>
    </font>
    <font>
      <sz val="12"/>
      <color indexed="20"/>
      <name val="宋体"/>
      <charset val="134"/>
    </font>
    <font>
      <sz val="11"/>
      <color indexed="17"/>
      <name val="宋体"/>
      <charset val="134"/>
    </font>
    <font>
      <sz val="12"/>
      <color indexed="17"/>
      <name val="宋体"/>
      <charset val="134"/>
    </font>
    <font>
      <b/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color indexed="52"/>
      <name val="宋体"/>
      <charset val="134"/>
    </font>
    <font>
      <b/>
      <sz val="12"/>
      <color indexed="52"/>
      <name val="宋体"/>
      <charset val="134"/>
    </font>
    <font>
      <b/>
      <sz val="11"/>
      <color indexed="9"/>
      <name val="宋体"/>
      <charset val="134"/>
    </font>
    <font>
      <b/>
      <sz val="12"/>
      <color indexed="9"/>
      <name val="宋体"/>
      <charset val="134"/>
    </font>
    <font>
      <i/>
      <sz val="11"/>
      <color indexed="23"/>
      <name val="宋体"/>
      <charset val="134"/>
    </font>
    <font>
      <i/>
      <sz val="12"/>
      <color indexed="23"/>
      <name val="宋体"/>
      <charset val="134"/>
    </font>
    <font>
      <sz val="11"/>
      <color indexed="10"/>
      <name val="宋体"/>
      <charset val="134"/>
    </font>
    <font>
      <sz val="12"/>
      <color indexed="10"/>
      <name val="宋体"/>
      <charset val="134"/>
    </font>
    <font>
      <sz val="11"/>
      <color indexed="52"/>
      <name val="宋体"/>
      <charset val="134"/>
    </font>
    <font>
      <sz val="12"/>
      <color indexed="52"/>
      <name val="宋体"/>
      <charset val="134"/>
    </font>
    <font>
      <sz val="11"/>
      <color indexed="60"/>
      <name val="宋体"/>
      <charset val="134"/>
    </font>
    <font>
      <sz val="12"/>
      <color indexed="60"/>
      <name val="宋体"/>
      <charset val="134"/>
    </font>
    <font>
      <b/>
      <sz val="11"/>
      <color indexed="63"/>
      <name val="宋体"/>
      <charset val="134"/>
    </font>
    <font>
      <b/>
      <sz val="12"/>
      <color indexed="63"/>
      <name val="宋体"/>
      <charset val="134"/>
    </font>
    <font>
      <sz val="11"/>
      <color indexed="62"/>
      <name val="宋体"/>
      <charset val="134"/>
    </font>
    <font>
      <sz val="12"/>
      <color indexed="62"/>
      <name val="宋体"/>
      <charset val="134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Microsoft YaHei"/>
      <family val="2"/>
      <charset val="134"/>
    </font>
    <font>
      <sz val="8"/>
      <color rgb="FFFF0000"/>
      <name val="Arial"/>
      <family val="2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color rgb="FF0000FF"/>
      <name val="等线"/>
      <family val="4"/>
      <charset val="134"/>
    </font>
    <font>
      <sz val="8"/>
      <color rgb="FF1D41D5"/>
      <name val="Arial"/>
      <family val="2"/>
    </font>
    <font>
      <b/>
      <i/>
      <sz val="8"/>
      <color theme="1"/>
      <name val="Arial"/>
      <family val="2"/>
    </font>
    <font>
      <sz val="11"/>
      <color theme="10"/>
      <name val="等线"/>
      <family val="4"/>
      <charset val="134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微软雅黑"/>
      <family val="2"/>
      <charset val="134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theme="1"/>
      <name val="等线"/>
      <family val="4"/>
      <charset val="134"/>
    </font>
    <font>
      <b/>
      <sz val="12"/>
      <color rgb="FF000000"/>
      <name val="Arial"/>
      <family val="2"/>
    </font>
    <font>
      <sz val="12"/>
      <color rgb="FF0070C0"/>
      <name val="Arial"/>
      <family val="2"/>
    </font>
    <font>
      <sz val="12"/>
      <color theme="1"/>
      <name val="Arial"/>
      <family val="2"/>
    </font>
    <font>
      <sz val="8"/>
      <color theme="1"/>
      <name val="宋体"/>
      <charset val="134"/>
    </font>
    <font>
      <b/>
      <i/>
      <sz val="8"/>
      <color theme="1"/>
      <name val="Arial"/>
      <family val="2"/>
    </font>
    <font>
      <i/>
      <sz val="8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10"/>
      <name val="Arial"/>
      <family val="2"/>
    </font>
    <font>
      <b/>
      <sz val="8"/>
      <color rgb="FFFFFFFF"/>
      <name val="Arial Narrow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b/>
      <sz val="8"/>
      <color theme="0"/>
      <name val="Arial Narrow"/>
      <family val="2"/>
    </font>
    <font>
      <b/>
      <sz val="18"/>
      <color theme="3"/>
      <name val="等线 Light"/>
      <family val="4"/>
      <charset val="134"/>
    </font>
    <font>
      <sz val="10"/>
      <name val="Tahoma"/>
      <family val="2"/>
    </font>
    <font>
      <sz val="8"/>
      <color theme="1"/>
      <name val="微软雅黑"/>
      <family val="2"/>
      <charset val="134"/>
    </font>
    <font>
      <sz val="8"/>
      <color theme="1"/>
      <name val="宋体"/>
      <charset val="134"/>
    </font>
    <font>
      <b/>
      <sz val="8"/>
      <color theme="1"/>
      <name val="宋体"/>
      <charset val="134"/>
    </font>
    <font>
      <b/>
      <sz val="8"/>
      <color theme="1"/>
      <name val="微软雅黑"/>
      <family val="2"/>
      <charset val="134"/>
    </font>
    <font>
      <sz val="8"/>
      <color theme="1"/>
      <name val="等线"/>
      <family val="4"/>
      <charset val="134"/>
    </font>
    <font>
      <sz val="10"/>
      <color theme="0"/>
      <name val="Arial"/>
      <family val="2"/>
    </font>
    <font>
      <b/>
      <sz val="10"/>
      <color rgb="FF231F20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0"/>
      <name val="Arial"/>
      <family val="2"/>
    </font>
    <font>
      <b/>
      <sz val="20"/>
      <color rgb="FFFFFFFF"/>
      <name val="等线"/>
      <family val="4"/>
      <charset val="134"/>
    </font>
    <font>
      <sz val="10"/>
      <color rgb="FF666666"/>
      <name val="等线"/>
      <family val="4"/>
      <charset val="134"/>
    </font>
    <font>
      <b/>
      <sz val="11"/>
      <color rgb="FFFFFFFF"/>
      <name val="等线"/>
      <family val="4"/>
      <charset val="134"/>
    </font>
    <font>
      <b/>
      <sz val="11"/>
      <color theme="1"/>
      <name val="等线"/>
      <family val="4"/>
      <charset val="134"/>
    </font>
    <font>
      <i/>
      <sz val="11"/>
      <color rgb="FF666666"/>
      <name val="等线"/>
      <family val="4"/>
      <charset val="134"/>
    </font>
    <font>
      <i/>
      <sz val="9"/>
      <color rgb="FF666666"/>
      <name val="等线"/>
      <family val="4"/>
      <charset val="134"/>
    </font>
    <font>
      <sz val="11"/>
      <color theme="1"/>
      <name val="等线"/>
      <family val="4"/>
      <charset val="134"/>
    </font>
    <font>
      <b/>
      <sz val="8"/>
      <color rgb="FFFFFFFF"/>
      <name val="微软雅黑"/>
      <family val="2"/>
    </font>
    <font>
      <b/>
      <sz val="8"/>
      <color theme="0"/>
      <name val="微软雅黑"/>
      <family val="2"/>
    </font>
    <font>
      <b/>
      <sz val="8"/>
      <color theme="1"/>
      <name val="宋体"/>
      <family val="2"/>
    </font>
    <font>
      <sz val="8"/>
      <color theme="1"/>
      <name val="微软雅黑"/>
      <family val="2"/>
    </font>
    <font>
      <sz val="8"/>
      <color theme="1"/>
      <name val="宋体"/>
      <family val="2"/>
    </font>
    <font>
      <sz val="8"/>
      <color theme="1"/>
      <name val="宋体"/>
      <family val="3"/>
    </font>
    <font>
      <sz val="12"/>
      <color theme="1"/>
      <name val="微软雅黑"/>
      <family val="2"/>
    </font>
    <font>
      <b/>
      <sz val="12"/>
      <color rgb="FFFF0000"/>
      <name val="等线"/>
      <family val="3"/>
    </font>
    <font>
      <sz val="12"/>
      <color theme="1"/>
      <name val="等线"/>
      <family val="2"/>
    </font>
    <font>
      <b/>
      <sz val="12"/>
      <color theme="1"/>
      <name val="等线"/>
      <family val="3"/>
    </font>
    <font>
      <sz val="12"/>
      <color rgb="FF0070C0"/>
      <name val="等线"/>
      <family val="2"/>
    </font>
    <font>
      <sz val="12"/>
      <color rgb="FF0070C0"/>
      <name val="等线"/>
      <family val="3"/>
    </font>
  </fonts>
  <fills count="3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theme="9" tint="0.39994506668294322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indexed="22"/>
      </patternFill>
    </fill>
    <fill>
      <patternFill patternType="solid">
        <fgColor theme="4" tint="0.39994506668294322"/>
        <bgColor indexed="6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rgb="FFFF0000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C000"/>
      </patternFill>
    </fill>
    <fill>
      <patternFill patternType="solid">
        <fgColor theme="5" tint="0.79995117038483843"/>
        <bgColor indexed="65"/>
      </patternFill>
    </fill>
    <fill>
      <patternFill patternType="solid">
        <fgColor rgb="FF111111"/>
      </patternFill>
    </fill>
    <fill>
      <patternFill patternType="solid">
        <fgColor rgb="FFF3F4F6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5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/>
      <top style="medium">
        <color indexed="64"/>
      </top>
      <bottom/>
      <diagonal/>
    </border>
  </borders>
  <cellStyleXfs count="22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8" fillId="0" borderId="0"/>
    <xf numFmtId="0" fontId="3" fillId="0" borderId="0"/>
    <xf numFmtId="178" fontId="20" fillId="0" borderId="0">
      <alignment vertical="center"/>
    </xf>
    <xf numFmtId="165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1" fontId="16" fillId="4" borderId="0" applyBorder="0" applyAlignment="0" applyProtection="0">
      <alignment vertical="center"/>
    </xf>
    <xf numFmtId="165" fontId="16" fillId="5" borderId="0" applyBorder="0" applyProtection="0">
      <alignment horizontal="right" vertical="center"/>
    </xf>
    <xf numFmtId="171" fontId="22" fillId="7" borderId="0" applyBorder="0" applyProtection="0">
      <alignment horizontal="right" vertical="center"/>
    </xf>
    <xf numFmtId="178" fontId="23" fillId="0" borderId="0">
      <alignment vertical="center"/>
    </xf>
    <xf numFmtId="165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0" fillId="0" borderId="0">
      <alignment vertical="center"/>
    </xf>
    <xf numFmtId="165" fontId="20" fillId="0" borderId="0" applyFont="0" applyFill="0" applyBorder="0" applyAlignment="0" applyProtection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4" fillId="0" borderId="0" applyNumberFormat="0" applyFill="0" applyBorder="0" applyAlignment="0" applyProtection="0">
      <alignment vertical="top"/>
      <protection locked="0"/>
    </xf>
    <xf numFmtId="178" fontId="21" fillId="0" borderId="0" applyNumberFormat="0" applyFill="0" applyBorder="0" applyAlignment="0" applyProtection="0">
      <alignment vertical="top"/>
      <protection locked="0"/>
    </xf>
    <xf numFmtId="178" fontId="21" fillId="0" borderId="0" applyNumberFormat="0" applyFill="0" applyBorder="0" applyAlignment="0" applyProtection="0">
      <alignment vertical="top"/>
      <protection locked="0"/>
    </xf>
    <xf numFmtId="178" fontId="23" fillId="0" borderId="0"/>
    <xf numFmtId="49" fontId="25" fillId="9" borderId="0" applyFill="0" applyBorder="0">
      <alignment horizontal="left"/>
    </xf>
    <xf numFmtId="178" fontId="4" fillId="0" borderId="2" applyNumberFormat="0" applyFont="0" applyAlignment="0">
      <alignment vertical="center"/>
    </xf>
    <xf numFmtId="178" fontId="26" fillId="0" borderId="0" applyFill="0" applyBorder="0">
      <alignment vertical="center"/>
    </xf>
    <xf numFmtId="179" fontId="7" fillId="0" borderId="0" applyFill="0" applyBorder="0">
      <alignment horizontal="right" vertical="center"/>
    </xf>
    <xf numFmtId="179" fontId="4" fillId="0" borderId="0" applyFill="0" applyBorder="0">
      <alignment horizontal="right" vertical="center"/>
    </xf>
    <xf numFmtId="168" fontId="4" fillId="0" borderId="0" applyFill="0" applyBorder="0">
      <alignment horizontal="right" vertical="center"/>
    </xf>
    <xf numFmtId="178" fontId="7" fillId="0" borderId="2" applyFill="0" applyBorder="0">
      <alignment vertical="center"/>
    </xf>
    <xf numFmtId="178" fontId="27" fillId="10" borderId="0" applyNumberFormat="0" applyBorder="0" applyAlignment="0" applyProtection="0">
      <alignment vertical="center"/>
    </xf>
    <xf numFmtId="178" fontId="27" fillId="10" borderId="0" applyNumberFormat="0" applyBorder="0" applyAlignment="0" applyProtection="0">
      <alignment vertical="center"/>
    </xf>
    <xf numFmtId="178" fontId="27" fillId="11" borderId="0" applyNumberFormat="0" applyBorder="0" applyAlignment="0" applyProtection="0">
      <alignment vertical="center"/>
    </xf>
    <xf numFmtId="178" fontId="27" fillId="11" borderId="0" applyNumberFormat="0" applyBorder="0" applyAlignment="0" applyProtection="0">
      <alignment vertical="center"/>
    </xf>
    <xf numFmtId="178" fontId="27" fillId="12" borderId="0" applyNumberFormat="0" applyBorder="0" applyAlignment="0" applyProtection="0">
      <alignment vertical="center"/>
    </xf>
    <xf numFmtId="178" fontId="27" fillId="12" borderId="0" applyNumberFormat="0" applyBorder="0" applyAlignment="0" applyProtection="0">
      <alignment vertical="center"/>
    </xf>
    <xf numFmtId="178" fontId="27" fillId="8" borderId="0" applyNumberFormat="0" applyBorder="0" applyAlignment="0" applyProtection="0">
      <alignment vertical="center"/>
    </xf>
    <xf numFmtId="178" fontId="27" fillId="8" borderId="0" applyNumberFormat="0" applyBorder="0" applyAlignment="0" applyProtection="0">
      <alignment vertical="center"/>
    </xf>
    <xf numFmtId="178" fontId="27" fillId="13" borderId="0" applyNumberFormat="0" applyBorder="0" applyAlignment="0" applyProtection="0">
      <alignment vertical="center"/>
    </xf>
    <xf numFmtId="178" fontId="27" fillId="13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13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9" borderId="0" applyNumberFormat="0" applyBorder="0" applyAlignment="0" applyProtection="0">
      <alignment vertical="center"/>
    </xf>
    <xf numFmtId="178" fontId="27" fillId="15" borderId="0" applyNumberFormat="0" applyBorder="0" applyAlignment="0" applyProtection="0">
      <alignment vertical="center"/>
    </xf>
    <xf numFmtId="178" fontId="27" fillId="10" borderId="0" applyNumberFormat="0" applyBorder="0" applyAlignment="0" applyProtection="0">
      <alignment vertical="center"/>
    </xf>
    <xf numFmtId="178" fontId="27" fillId="12" borderId="0" applyNumberFormat="0" applyBorder="0" applyAlignment="0" applyProtection="0">
      <alignment vertical="center"/>
    </xf>
    <xf numFmtId="178" fontId="27" fillId="16" borderId="0" applyNumberFormat="0" applyBorder="0" applyAlignment="0" applyProtection="0">
      <alignment vertical="center"/>
    </xf>
    <xf numFmtId="178" fontId="27" fillId="16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7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18" borderId="0" applyNumberFormat="0" applyBorder="0" applyAlignment="0" applyProtection="0">
      <alignment vertical="center"/>
    </xf>
    <xf numFmtId="178" fontId="27" fillId="8" borderId="0" applyNumberFormat="0" applyBorder="0" applyAlignment="0" applyProtection="0">
      <alignment vertical="center"/>
    </xf>
    <xf numFmtId="178" fontId="27" fillId="8" borderId="0" applyNumberFormat="0" applyBorder="0" applyAlignment="0" applyProtection="0">
      <alignment vertical="center"/>
    </xf>
    <xf numFmtId="178" fontId="27" fillId="16" borderId="0" applyNumberFormat="0" applyBorder="0" applyAlignment="0" applyProtection="0">
      <alignment vertical="center"/>
    </xf>
    <xf numFmtId="178" fontId="27" fillId="16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9" borderId="0" applyNumberFormat="0" applyBorder="0" applyAlignment="0" applyProtection="0">
      <alignment vertical="center"/>
    </xf>
    <xf numFmtId="178" fontId="27" fillId="16" borderId="0" applyNumberFormat="0" applyBorder="0" applyAlignment="0" applyProtection="0">
      <alignment vertical="center"/>
    </xf>
    <xf numFmtId="178" fontId="27" fillId="14" borderId="0" applyNumberFormat="0" applyBorder="0" applyAlignment="0" applyProtection="0">
      <alignment vertical="center"/>
    </xf>
    <xf numFmtId="178" fontId="27" fillId="6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7" fillId="16" borderId="0" applyNumberFormat="0" applyBorder="0" applyAlignment="0" applyProtection="0">
      <alignment vertical="center"/>
    </xf>
    <xf numFmtId="178" fontId="27" fillId="20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21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7" borderId="0" applyNumberFormat="0" applyBorder="0" applyAlignment="0" applyProtection="0">
      <alignment vertical="center"/>
    </xf>
    <xf numFmtId="178" fontId="28" fillId="18" borderId="0" applyNumberFormat="0" applyBorder="0" applyAlignment="0" applyProtection="0">
      <alignment vertical="center"/>
    </xf>
    <xf numFmtId="178" fontId="28" fillId="18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24" borderId="0" applyNumberFormat="0" applyBorder="0" applyAlignment="0" applyProtection="0">
      <alignment vertical="center"/>
    </xf>
    <xf numFmtId="178" fontId="28" fillId="16" borderId="0" applyNumberFormat="0" applyBorder="0" applyAlignment="0" applyProtection="0">
      <alignment vertical="center"/>
    </xf>
    <xf numFmtId="178" fontId="28" fillId="14" borderId="0" applyNumberFormat="0" applyBorder="0" applyAlignment="0" applyProtection="0">
      <alignment vertical="center"/>
    </xf>
    <xf numFmtId="178" fontId="28" fillId="6" borderId="0" applyNumberFormat="0" applyBorder="0" applyAlignment="0" applyProtection="0">
      <alignment vertical="center"/>
    </xf>
    <xf numFmtId="178" fontId="28" fillId="20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9" fillId="0" borderId="0"/>
    <xf numFmtId="178" fontId="30" fillId="0" borderId="0">
      <alignment horizontal="right"/>
    </xf>
    <xf numFmtId="178" fontId="31" fillId="0" borderId="0"/>
    <xf numFmtId="178" fontId="32" fillId="0" borderId="0"/>
    <xf numFmtId="178" fontId="33" fillId="0" borderId="0"/>
    <xf numFmtId="178" fontId="34" fillId="0" borderId="16" applyNumberFormat="0" applyAlignment="0"/>
    <xf numFmtId="178" fontId="26" fillId="0" borderId="0" applyAlignment="0">
      <alignment horizontal="left"/>
    </xf>
    <xf numFmtId="178" fontId="26" fillId="0" borderId="0">
      <alignment horizontal="right"/>
    </xf>
    <xf numFmtId="168" fontId="26" fillId="0" borderId="0">
      <alignment horizontal="right"/>
    </xf>
    <xf numFmtId="172" fontId="35" fillId="0" borderId="0">
      <alignment horizontal="right"/>
    </xf>
    <xf numFmtId="178" fontId="36" fillId="0" borderId="0"/>
    <xf numFmtId="165" fontId="1" fillId="0" borderId="0" applyFont="0" applyFill="0" applyBorder="0" applyAlignment="0" applyProtection="0"/>
    <xf numFmtId="164" fontId="37" fillId="0" borderId="0" applyFont="0" applyFill="0" applyBorder="0" applyAlignment="0" applyProtection="0"/>
    <xf numFmtId="178" fontId="2" fillId="0" borderId="0"/>
    <xf numFmtId="178" fontId="2" fillId="0" borderId="0"/>
    <xf numFmtId="178" fontId="4" fillId="0" borderId="0" applyFill="0" applyBorder="0"/>
    <xf numFmtId="178" fontId="4" fillId="0" borderId="0" applyFill="0" applyBorder="0"/>
    <xf numFmtId="178" fontId="4" fillId="0" borderId="0" applyFill="0" applyBorder="0"/>
    <xf numFmtId="168" fontId="38" fillId="0" borderId="0" applyFont="0" applyFill="0" applyBorder="0" applyAlignment="0" applyProtection="0"/>
    <xf numFmtId="168" fontId="38" fillId="0" borderId="0" applyFont="0" applyFill="0" applyBorder="0" applyAlignment="0" applyProtection="0"/>
    <xf numFmtId="168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8" fontId="39" fillId="0" borderId="17" applyNumberFormat="0" applyFill="0" applyAlignment="0" applyProtection="0">
      <alignment vertical="center"/>
    </xf>
    <xf numFmtId="178" fontId="39" fillId="0" borderId="17" applyNumberFormat="0" applyFill="0" applyAlignment="0" applyProtection="0">
      <alignment vertical="center"/>
    </xf>
    <xf numFmtId="178" fontId="40" fillId="0" borderId="18" applyNumberFormat="0" applyFill="0" applyAlignment="0" applyProtection="0">
      <alignment vertical="center"/>
    </xf>
    <xf numFmtId="178" fontId="41" fillId="0" borderId="19" applyNumberFormat="0" applyFill="0" applyAlignment="0" applyProtection="0">
      <alignment vertical="center"/>
    </xf>
    <xf numFmtId="178" fontId="41" fillId="0" borderId="19" applyNumberFormat="0" applyFill="0" applyAlignment="0" applyProtection="0">
      <alignment vertical="center"/>
    </xf>
    <xf numFmtId="178" fontId="42" fillId="0" borderId="20" applyNumberFormat="0" applyFill="0" applyAlignment="0" applyProtection="0">
      <alignment vertical="center"/>
    </xf>
    <xf numFmtId="178" fontId="43" fillId="0" borderId="21" applyNumberFormat="0" applyFill="0" applyAlignment="0" applyProtection="0">
      <alignment vertical="center"/>
    </xf>
    <xf numFmtId="178" fontId="43" fillId="0" borderId="21" applyNumberFormat="0" applyFill="0" applyAlignment="0" applyProtection="0">
      <alignment vertical="center"/>
    </xf>
    <xf numFmtId="178" fontId="44" fillId="0" borderId="22" applyNumberFormat="0" applyFill="0" applyAlignment="0" applyProtection="0">
      <alignment vertical="center"/>
    </xf>
    <xf numFmtId="178" fontId="43" fillId="0" borderId="0" applyNumberFormat="0" applyFill="0" applyBorder="0" applyAlignment="0" applyProtection="0">
      <alignment vertical="center"/>
    </xf>
    <xf numFmtId="178" fontId="43" fillId="0" borderId="0" applyNumberFormat="0" applyFill="0" applyBorder="0" applyAlignment="0" applyProtection="0">
      <alignment vertical="center"/>
    </xf>
    <xf numFmtId="178" fontId="44" fillId="0" borderId="0" applyNumberFormat="0" applyFill="0" applyBorder="0" applyAlignment="0" applyProtection="0">
      <alignment vertical="center"/>
    </xf>
    <xf numFmtId="178" fontId="45" fillId="0" borderId="0" applyNumberFormat="0" applyFill="0" applyBorder="0" applyAlignment="0" applyProtection="0">
      <alignment vertical="center"/>
    </xf>
    <xf numFmtId="178" fontId="45" fillId="0" borderId="0" applyNumberFormat="0" applyFill="0" applyBorder="0" applyAlignment="0" applyProtection="0">
      <alignment vertical="center"/>
    </xf>
    <xf numFmtId="178" fontId="46" fillId="0" borderId="0" applyNumberFormat="0" applyFill="0" applyBorder="0" applyAlignment="0" applyProtection="0">
      <alignment vertical="center"/>
    </xf>
    <xf numFmtId="178" fontId="47" fillId="11" borderId="0" applyNumberFormat="0" applyBorder="0" applyAlignment="0" applyProtection="0">
      <alignment vertical="center"/>
    </xf>
    <xf numFmtId="178" fontId="48" fillId="11" borderId="0" applyNumberFormat="0" applyBorder="0" applyAlignment="0" applyProtection="0">
      <alignment vertical="center"/>
    </xf>
    <xf numFmtId="178" fontId="47" fillId="11" borderId="0" applyNumberFormat="0" applyBorder="0" applyAlignment="0" applyProtection="0">
      <alignment vertical="center"/>
    </xf>
    <xf numFmtId="178" fontId="23" fillId="0" borderId="0"/>
    <xf numFmtId="178" fontId="23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4" fillId="0" borderId="0" applyFill="0" applyBorder="0"/>
    <xf numFmtId="178" fontId="20" fillId="0" borderId="0">
      <alignment vertical="center"/>
    </xf>
    <xf numFmtId="178" fontId="1" fillId="0" borderId="0"/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3" fillId="0" borderId="0"/>
    <xf numFmtId="178" fontId="20" fillId="0" borderId="0">
      <alignment vertical="center"/>
    </xf>
    <xf numFmtId="178" fontId="27" fillId="0" borderId="0">
      <alignment vertical="center"/>
    </xf>
    <xf numFmtId="178" fontId="23" fillId="0" borderId="0"/>
    <xf numFmtId="178" fontId="23" fillId="0" borderId="0"/>
    <xf numFmtId="178" fontId="23" fillId="0" borderId="0"/>
    <xf numFmtId="178" fontId="23" fillId="0" borderId="0">
      <alignment vertical="center"/>
    </xf>
    <xf numFmtId="178" fontId="49" fillId="12" borderId="0" applyNumberFormat="0" applyBorder="0" applyAlignment="0" applyProtection="0">
      <alignment vertical="center"/>
    </xf>
    <xf numFmtId="178" fontId="50" fillId="12" borderId="0" applyNumberFormat="0" applyBorder="0" applyAlignment="0" applyProtection="0">
      <alignment vertical="center"/>
    </xf>
    <xf numFmtId="178" fontId="49" fillId="12" borderId="0" applyNumberFormat="0" applyBorder="0" applyAlignment="0" applyProtection="0">
      <alignment vertical="center"/>
    </xf>
    <xf numFmtId="178" fontId="51" fillId="0" borderId="23" applyNumberFormat="0" applyFill="0" applyAlignment="0" applyProtection="0">
      <alignment vertical="center"/>
    </xf>
    <xf numFmtId="178" fontId="52" fillId="0" borderId="23" applyNumberFormat="0" applyFill="0" applyAlignment="0" applyProtection="0">
      <alignment vertical="center"/>
    </xf>
    <xf numFmtId="178" fontId="51" fillId="0" borderId="23" applyNumberFormat="0" applyFill="0" applyAlignment="0" applyProtection="0">
      <alignment vertical="center"/>
    </xf>
    <xf numFmtId="178" fontId="51" fillId="0" borderId="24" applyNumberFormat="0" applyFill="0" applyAlignment="0" applyProtection="0">
      <alignment vertical="center"/>
    </xf>
    <xf numFmtId="178" fontId="53" fillId="6" borderId="25" applyNumberFormat="0" applyAlignment="0" applyProtection="0">
      <alignment vertical="center"/>
    </xf>
    <xf numFmtId="178" fontId="54" fillId="6" borderId="25" applyNumberFormat="0" applyAlignment="0" applyProtection="0">
      <alignment vertical="center"/>
    </xf>
    <xf numFmtId="178" fontId="53" fillId="6" borderId="25" applyNumberFormat="0" applyAlignment="0" applyProtection="0">
      <alignment vertical="center"/>
    </xf>
    <xf numFmtId="178" fontId="55" fillId="26" borderId="26" applyNumberFormat="0" applyAlignment="0" applyProtection="0">
      <alignment vertical="center"/>
    </xf>
    <xf numFmtId="178" fontId="56" fillId="26" borderId="26" applyNumberFormat="0" applyAlignment="0" applyProtection="0">
      <alignment vertical="center"/>
    </xf>
    <xf numFmtId="178" fontId="55" fillId="26" borderId="26" applyNumberFormat="0" applyAlignment="0" applyProtection="0">
      <alignment vertical="center"/>
    </xf>
    <xf numFmtId="178" fontId="57" fillId="0" borderId="0" applyNumberFormat="0" applyFill="0" applyBorder="0" applyAlignment="0" applyProtection="0">
      <alignment vertical="center"/>
    </xf>
    <xf numFmtId="178" fontId="58" fillId="0" borderId="0" applyNumberFormat="0" applyFill="0" applyBorder="0" applyAlignment="0" applyProtection="0">
      <alignment vertical="center"/>
    </xf>
    <xf numFmtId="178" fontId="57" fillId="0" borderId="0" applyNumberFormat="0" applyFill="0" applyBorder="0" applyAlignment="0" applyProtection="0">
      <alignment vertical="center"/>
    </xf>
    <xf numFmtId="178" fontId="59" fillId="0" borderId="0" applyNumberFormat="0" applyFill="0" applyBorder="0" applyAlignment="0" applyProtection="0">
      <alignment vertical="center"/>
    </xf>
    <xf numFmtId="178" fontId="60" fillId="0" borderId="0" applyNumberFormat="0" applyFill="0" applyBorder="0" applyAlignment="0" applyProtection="0">
      <alignment vertical="center"/>
    </xf>
    <xf numFmtId="178" fontId="59" fillId="0" borderId="0" applyNumberFormat="0" applyFill="0" applyBorder="0" applyAlignment="0" applyProtection="0">
      <alignment vertical="center"/>
    </xf>
    <xf numFmtId="178" fontId="61" fillId="0" borderId="27" applyNumberFormat="0" applyFill="0" applyAlignment="0" applyProtection="0">
      <alignment vertical="center"/>
    </xf>
    <xf numFmtId="178" fontId="62" fillId="0" borderId="27" applyNumberFormat="0" applyFill="0" applyAlignment="0" applyProtection="0">
      <alignment vertical="center"/>
    </xf>
    <xf numFmtId="178" fontId="61" fillId="0" borderId="27" applyNumberFormat="0" applyFill="0" applyAlignment="0" applyProtection="0">
      <alignment vertical="center"/>
    </xf>
    <xf numFmtId="165" fontId="20" fillId="0" borderId="0" applyFont="0" applyFill="0" applyBorder="0" applyAlignment="0" applyProtection="0">
      <alignment vertical="center"/>
    </xf>
    <xf numFmtId="165" fontId="20" fillId="0" borderId="0" applyFont="0" applyFill="0" applyBorder="0" applyAlignment="0" applyProtection="0">
      <alignment vertical="center"/>
    </xf>
    <xf numFmtId="165" fontId="20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8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2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3" borderId="0" applyNumberFormat="0" applyBorder="0" applyAlignment="0" applyProtection="0">
      <alignment vertical="center"/>
    </xf>
    <xf numFmtId="178" fontId="28" fillId="29" borderId="0" applyNumberFormat="0" applyBorder="0" applyAlignment="0" applyProtection="0">
      <alignment vertical="center"/>
    </xf>
    <xf numFmtId="178" fontId="28" fillId="29" borderId="0" applyNumberFormat="0" applyBorder="0" applyAlignment="0" applyProtection="0">
      <alignment vertical="center"/>
    </xf>
    <xf numFmtId="178" fontId="63" fillId="20" borderId="0" applyNumberFormat="0" applyBorder="0" applyAlignment="0" applyProtection="0">
      <alignment vertical="center"/>
    </xf>
    <xf numFmtId="178" fontId="64" fillId="20" borderId="0" applyNumberFormat="0" applyBorder="0" applyAlignment="0" applyProtection="0">
      <alignment vertical="center"/>
    </xf>
    <xf numFmtId="178" fontId="63" fillId="20" borderId="0" applyNumberFormat="0" applyBorder="0" applyAlignment="0" applyProtection="0">
      <alignment vertical="center"/>
    </xf>
    <xf numFmtId="178" fontId="65" fillId="6" borderId="28" applyNumberFormat="0" applyAlignment="0" applyProtection="0">
      <alignment vertical="center"/>
    </xf>
    <xf numFmtId="178" fontId="66" fillId="6" borderId="28" applyNumberFormat="0" applyAlignment="0" applyProtection="0">
      <alignment vertical="center"/>
    </xf>
    <xf numFmtId="178" fontId="65" fillId="6" borderId="28" applyNumberFormat="0" applyAlignment="0" applyProtection="0">
      <alignment vertical="center"/>
    </xf>
    <xf numFmtId="178" fontId="67" fillId="14" borderId="25" applyNumberFormat="0" applyAlignment="0" applyProtection="0">
      <alignment vertical="center"/>
    </xf>
    <xf numFmtId="178" fontId="68" fillId="14" borderId="25" applyNumberFormat="0" applyAlignment="0" applyProtection="0">
      <alignment vertical="center"/>
    </xf>
    <xf numFmtId="178" fontId="67" fillId="14" borderId="25" applyNumberFormat="0" applyAlignment="0" applyProtection="0">
      <alignment vertical="center"/>
    </xf>
    <xf numFmtId="178" fontId="23" fillId="0" borderId="0"/>
    <xf numFmtId="178" fontId="28" fillId="23" borderId="0" applyNumberFormat="0" applyBorder="0" applyAlignment="0" applyProtection="0">
      <alignment vertical="center"/>
    </xf>
    <xf numFmtId="178" fontId="28" fillId="29" borderId="0" applyNumberFormat="0" applyBorder="0" applyAlignment="0" applyProtection="0">
      <alignment vertical="center"/>
    </xf>
    <xf numFmtId="178" fontId="28" fillId="26" borderId="0" applyNumberFormat="0" applyBorder="0" applyAlignment="0" applyProtection="0">
      <alignment vertical="center"/>
    </xf>
    <xf numFmtId="178" fontId="28" fillId="19" borderId="0" applyNumberFormat="0" applyBorder="0" applyAlignment="0" applyProtection="0">
      <alignment vertical="center"/>
    </xf>
    <xf numFmtId="178" fontId="28" fillId="27" borderId="0" applyNumberFormat="0" applyBorder="0" applyAlignment="0" applyProtection="0">
      <alignment vertical="center"/>
    </xf>
    <xf numFmtId="178" fontId="28" fillId="25" borderId="0" applyNumberFormat="0" applyBorder="0" applyAlignment="0" applyProtection="0">
      <alignment vertical="center"/>
    </xf>
    <xf numFmtId="178" fontId="23" fillId="15" borderId="29" applyNumberFormat="0" applyFont="0" applyAlignment="0" applyProtection="0">
      <alignment vertical="center"/>
    </xf>
    <xf numFmtId="178" fontId="23" fillId="15" borderId="29" applyNumberFormat="0" applyFont="0" applyAlignment="0" applyProtection="0">
      <alignment vertical="center"/>
    </xf>
    <xf numFmtId="0" fontId="74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0" fontId="103" fillId="0" borderId="0" applyNumberForma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>
      <alignment vertical="center"/>
    </xf>
    <xf numFmtId="0" fontId="104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>
      <alignment vertical="center"/>
    </xf>
    <xf numFmtId="0" fontId="121" fillId="0" borderId="0"/>
  </cellStyleXfs>
  <cellXfs count="452">
    <xf numFmtId="0" fontId="0" fillId="0" borderId="0" xfId="0"/>
    <xf numFmtId="0" fontId="3" fillId="0" borderId="0" xfId="222" applyFont="1"/>
    <xf numFmtId="0" fontId="4" fillId="0" borderId="0" xfId="222" applyFont="1"/>
    <xf numFmtId="0" fontId="5" fillId="0" borderId="0" xfId="222" applyFont="1"/>
    <xf numFmtId="0" fontId="3" fillId="0" borderId="0" xfId="222" applyFont="1" applyAlignment="1">
      <alignment horizontal="right"/>
    </xf>
    <xf numFmtId="0" fontId="7" fillId="0" borderId="0" xfId="222" applyFont="1"/>
    <xf numFmtId="0" fontId="11" fillId="0" borderId="0" xfId="222" applyFont="1"/>
    <xf numFmtId="0" fontId="4" fillId="0" borderId="0" xfId="222" applyFont="1" applyAlignment="1">
      <alignment horizontal="left"/>
    </xf>
    <xf numFmtId="173" fontId="15" fillId="3" borderId="2" xfId="222" applyNumberFormat="1" applyFont="1" applyFill="1" applyBorder="1" applyAlignment="1">
      <alignment horizontal="right"/>
    </xf>
    <xf numFmtId="0" fontId="16" fillId="0" borderId="6" xfId="222" applyFont="1" applyBorder="1"/>
    <xf numFmtId="174" fontId="16" fillId="0" borderId="9" xfId="1" applyNumberFormat="1" applyFont="1" applyBorder="1"/>
    <xf numFmtId="0" fontId="16" fillId="0" borderId="13" xfId="222" applyFont="1" applyBorder="1"/>
    <xf numFmtId="174" fontId="16" fillId="0" borderId="14" xfId="1" applyNumberFormat="1" applyFont="1" applyBorder="1"/>
    <xf numFmtId="0" fontId="17" fillId="0" borderId="6" xfId="222" applyFont="1" applyBorder="1"/>
    <xf numFmtId="174" fontId="17" fillId="0" borderId="9" xfId="1" applyNumberFormat="1" applyFont="1" applyBorder="1"/>
    <xf numFmtId="0" fontId="17" fillId="0" borderId="7" xfId="222" applyFont="1" applyBorder="1"/>
    <xf numFmtId="174" fontId="17" fillId="0" borderId="1" xfId="222" applyNumberFormat="1" applyFont="1" applyBorder="1"/>
    <xf numFmtId="174" fontId="17" fillId="0" borderId="1" xfId="1" applyNumberFormat="1" applyFont="1" applyBorder="1"/>
    <xf numFmtId="174" fontId="17" fillId="0" borderId="10" xfId="1" applyNumberFormat="1" applyFont="1" applyBorder="1"/>
    <xf numFmtId="0" fontId="16" fillId="0" borderId="0" xfId="222" applyFont="1"/>
    <xf numFmtId="0" fontId="15" fillId="3" borderId="8" xfId="5" applyFont="1" applyFill="1" applyBorder="1"/>
    <xf numFmtId="0" fontId="15" fillId="3" borderId="5" xfId="5" applyFont="1" applyFill="1" applyBorder="1"/>
    <xf numFmtId="0" fontId="2" fillId="0" borderId="6" xfId="5" applyFont="1" applyBorder="1"/>
    <xf numFmtId="174" fontId="2" fillId="0" borderId="9" xfId="1" applyNumberFormat="1" applyFont="1" applyBorder="1"/>
    <xf numFmtId="0" fontId="2" fillId="0" borderId="6" xfId="5" applyFont="1" applyBorder="1" applyAlignment="1">
      <alignment horizontal="left"/>
    </xf>
    <xf numFmtId="168" fontId="2" fillId="0" borderId="9" xfId="2" applyNumberFormat="1" applyFont="1" applyBorder="1" applyAlignment="1">
      <alignment horizontal="right"/>
    </xf>
    <xf numFmtId="175" fontId="18" fillId="3" borderId="6" xfId="1" applyNumberFormat="1" applyFont="1" applyFill="1" applyBorder="1"/>
    <xf numFmtId="168" fontId="15" fillId="3" borderId="0" xfId="2" applyNumberFormat="1" applyFont="1" applyFill="1"/>
    <xf numFmtId="168" fontId="15" fillId="3" borderId="9" xfId="2" applyNumberFormat="1" applyFont="1" applyFill="1" applyBorder="1"/>
    <xf numFmtId="0" fontId="2" fillId="0" borderId="13" xfId="5" applyFont="1" applyBorder="1"/>
    <xf numFmtId="174" fontId="2" fillId="0" borderId="15" xfId="1" applyNumberFormat="1" applyFont="1" applyBorder="1"/>
    <xf numFmtId="168" fontId="15" fillId="3" borderId="6" xfId="2" applyNumberFormat="1" applyFont="1" applyFill="1" applyBorder="1"/>
    <xf numFmtId="0" fontId="19" fillId="0" borderId="6" xfId="5" applyFont="1" applyBorder="1"/>
    <xf numFmtId="174" fontId="19" fillId="0" borderId="9" xfId="1" applyNumberFormat="1" applyFont="1" applyBorder="1"/>
    <xf numFmtId="0" fontId="19" fillId="0" borderId="6" xfId="5" applyFont="1" applyBorder="1" applyAlignment="1">
      <alignment horizontal="left"/>
    </xf>
    <xf numFmtId="168" fontId="19" fillId="0" borderId="9" xfId="2" applyNumberFormat="1" applyFont="1" applyBorder="1" applyAlignment="1">
      <alignment horizontal="right"/>
    </xf>
    <xf numFmtId="168" fontId="15" fillId="3" borderId="7" xfId="2" applyNumberFormat="1" applyFont="1" applyFill="1" applyBorder="1"/>
    <xf numFmtId="0" fontId="19" fillId="0" borderId="7" xfId="5" applyFont="1" applyBorder="1"/>
    <xf numFmtId="168" fontId="19" fillId="0" borderId="10" xfId="2" applyNumberFormat="1" applyFont="1" applyBorder="1" applyAlignment="1">
      <alignment horizontal="right"/>
    </xf>
    <xf numFmtId="174" fontId="16" fillId="0" borderId="0" xfId="1" applyNumberFormat="1" applyFont="1" applyBorder="1"/>
    <xf numFmtId="174" fontId="17" fillId="0" borderId="0" xfId="1" applyNumberFormat="1" applyFont="1" applyBorder="1"/>
    <xf numFmtId="174" fontId="16" fillId="0" borderId="0" xfId="222" applyNumberFormat="1" applyFont="1"/>
    <xf numFmtId="0" fontId="15" fillId="3" borderId="11" xfId="5" applyFont="1" applyFill="1" applyBorder="1"/>
    <xf numFmtId="0" fontId="17" fillId="0" borderId="11" xfId="222" applyFont="1" applyBorder="1"/>
    <xf numFmtId="168" fontId="17" fillId="0" borderId="12" xfId="222" applyNumberFormat="1" applyFont="1" applyBorder="1"/>
    <xf numFmtId="0" fontId="3" fillId="0" borderId="0" xfId="222" applyFont="1" applyAlignment="1">
      <alignment horizontal="left" wrapText="1"/>
    </xf>
    <xf numFmtId="0" fontId="3" fillId="0" borderId="0" xfId="222" applyFont="1" applyAlignment="1">
      <alignment horizontal="right" wrapText="1"/>
    </xf>
    <xf numFmtId="0" fontId="3" fillId="0" borderId="0" xfId="222" applyFont="1" applyAlignment="1">
      <alignment wrapText="1"/>
    </xf>
    <xf numFmtId="0" fontId="69" fillId="3" borderId="0" xfId="222" applyFont="1" applyFill="1"/>
    <xf numFmtId="0" fontId="70" fillId="3" borderId="3" xfId="222" applyFont="1" applyFill="1" applyBorder="1"/>
    <xf numFmtId="0" fontId="70" fillId="3" borderId="3" xfId="222" applyFont="1" applyFill="1" applyBorder="1" applyAlignment="1">
      <alignment wrapText="1"/>
    </xf>
    <xf numFmtId="0" fontId="70" fillId="3" borderId="0" xfId="222" applyFont="1" applyFill="1"/>
    <xf numFmtId="49" fontId="70" fillId="3" borderId="3" xfId="222" applyNumberFormat="1" applyFont="1" applyFill="1" applyBorder="1" applyAlignment="1">
      <alignment horizontal="left"/>
    </xf>
    <xf numFmtId="0" fontId="5" fillId="0" borderId="0" xfId="222" applyFont="1" applyAlignment="1">
      <alignment horizontal="left" wrapText="1"/>
    </xf>
    <xf numFmtId="0" fontId="3" fillId="0" borderId="0" xfId="222" applyFont="1" applyAlignment="1">
      <alignment horizontal="left"/>
    </xf>
    <xf numFmtId="0" fontId="5" fillId="0" borderId="0" xfId="222" applyFont="1" applyAlignment="1">
      <alignment wrapText="1"/>
    </xf>
    <xf numFmtId="0" fontId="71" fillId="0" borderId="0" xfId="222" applyFont="1"/>
    <xf numFmtId="167" fontId="3" fillId="0" borderId="0" xfId="222" applyNumberFormat="1" applyFont="1"/>
    <xf numFmtId="0" fontId="72" fillId="0" borderId="0" xfId="222" applyFont="1" applyAlignment="1">
      <alignment horizontal="left" wrapText="1"/>
    </xf>
    <xf numFmtId="49" fontId="12" fillId="0" borderId="0" xfId="222" applyNumberFormat="1" applyFont="1" applyAlignment="1">
      <alignment horizontal="left"/>
    </xf>
    <xf numFmtId="49" fontId="12" fillId="2" borderId="0" xfId="222" applyNumberFormat="1" applyFont="1" applyFill="1" applyAlignment="1">
      <alignment horizontal="left" wrapText="1"/>
    </xf>
    <xf numFmtId="177" fontId="12" fillId="0" borderId="0" xfId="222" applyNumberFormat="1" applyFont="1" applyAlignment="1">
      <alignment horizontal="right"/>
    </xf>
    <xf numFmtId="0" fontId="12" fillId="0" borderId="0" xfId="222" applyFont="1"/>
    <xf numFmtId="49" fontId="3" fillId="0" borderId="0" xfId="222" applyNumberFormat="1" applyFont="1" applyAlignment="1">
      <alignment horizontal="left"/>
    </xf>
    <xf numFmtId="49" fontId="3" fillId="0" borderId="0" xfId="222" applyNumberFormat="1" applyFont="1" applyAlignment="1">
      <alignment horizontal="left" wrapText="1"/>
    </xf>
    <xf numFmtId="177" fontId="3" fillId="0" borderId="0" xfId="222" applyNumberFormat="1" applyFont="1"/>
    <xf numFmtId="171" fontId="3" fillId="0" borderId="0" xfId="222" applyNumberFormat="1" applyFont="1"/>
    <xf numFmtId="0" fontId="12" fillId="0" borderId="0" xfId="222" applyFont="1" applyAlignment="1">
      <alignment wrapText="1"/>
    </xf>
    <xf numFmtId="178" fontId="3" fillId="0" borderId="0" xfId="6" applyFont="1">
      <alignment vertical="center"/>
    </xf>
    <xf numFmtId="2" fontId="3" fillId="0" borderId="0" xfId="6" applyNumberFormat="1" applyFont="1">
      <alignment vertical="center"/>
    </xf>
    <xf numFmtId="165" fontId="3" fillId="2" borderId="30" xfId="7" applyFont="1" applyFill="1" applyBorder="1">
      <alignment vertical="center"/>
    </xf>
    <xf numFmtId="178" fontId="6" fillId="0" borderId="0" xfId="6" applyFont="1">
      <alignment vertical="center"/>
    </xf>
    <xf numFmtId="10" fontId="3" fillId="2" borderId="31" xfId="8" applyNumberFormat="1" applyFont="1" applyFill="1" applyBorder="1">
      <alignment vertical="center"/>
    </xf>
    <xf numFmtId="10" fontId="3" fillId="2" borderId="30" xfId="8" applyNumberFormat="1" applyFont="1" applyFill="1" applyBorder="1">
      <alignment vertical="center"/>
    </xf>
    <xf numFmtId="165" fontId="3" fillId="2" borderId="7" xfId="7" applyFont="1" applyFill="1" applyBorder="1">
      <alignment vertical="center"/>
    </xf>
    <xf numFmtId="165" fontId="3" fillId="2" borderId="10" xfId="7" applyFont="1" applyFill="1" applyBorder="1">
      <alignment vertical="center"/>
    </xf>
    <xf numFmtId="10" fontId="3" fillId="2" borderId="32" xfId="8" applyNumberFormat="1" applyFont="1" applyFill="1" applyBorder="1">
      <alignment vertical="center"/>
    </xf>
    <xf numFmtId="165" fontId="3" fillId="2" borderId="30" xfId="10" applyFont="1" applyFill="1" applyBorder="1">
      <alignment horizontal="right" vertical="center"/>
    </xf>
    <xf numFmtId="0" fontId="3" fillId="2" borderId="0" xfId="222" applyFont="1" applyFill="1"/>
    <xf numFmtId="165" fontId="3" fillId="2" borderId="31" xfId="7" applyFont="1" applyFill="1" applyBorder="1">
      <alignment vertical="center"/>
    </xf>
    <xf numFmtId="165" fontId="3" fillId="2" borderId="32" xfId="7" applyFont="1" applyFill="1" applyBorder="1">
      <alignment vertical="center"/>
    </xf>
    <xf numFmtId="165" fontId="3" fillId="5" borderId="30" xfId="7" applyFont="1" applyFill="1" applyBorder="1">
      <alignment vertical="center"/>
    </xf>
    <xf numFmtId="165" fontId="3" fillId="5" borderId="31" xfId="7" applyFont="1" applyFill="1" applyBorder="1">
      <alignment vertical="center"/>
    </xf>
    <xf numFmtId="165" fontId="3" fillId="5" borderId="32" xfId="7" applyFont="1" applyFill="1" applyBorder="1">
      <alignment vertical="center"/>
    </xf>
    <xf numFmtId="165" fontId="3" fillId="5" borderId="10" xfId="7" applyFont="1" applyFill="1" applyBorder="1">
      <alignment vertical="center"/>
    </xf>
    <xf numFmtId="171" fontId="3" fillId="4" borderId="30" xfId="9" applyFont="1" applyBorder="1">
      <alignment vertical="center"/>
    </xf>
    <xf numFmtId="165" fontId="3" fillId="5" borderId="0" xfId="7" applyFont="1" applyFill="1">
      <alignment vertical="center"/>
    </xf>
    <xf numFmtId="165" fontId="3" fillId="5" borderId="9" xfId="7" applyFont="1" applyFill="1" applyBorder="1">
      <alignment vertical="center"/>
    </xf>
    <xf numFmtId="165" fontId="3" fillId="5" borderId="7" xfId="7" applyFont="1" applyFill="1" applyBorder="1">
      <alignment vertical="center"/>
    </xf>
    <xf numFmtId="9" fontId="73" fillId="0" borderId="0" xfId="203" applyFont="1">
      <alignment vertical="center"/>
    </xf>
    <xf numFmtId="9" fontId="77" fillId="0" borderId="0" xfId="203" applyFont="1">
      <alignment vertical="center"/>
    </xf>
    <xf numFmtId="9" fontId="3" fillId="0" borderId="0" xfId="203" applyFont="1">
      <alignment vertical="center"/>
    </xf>
    <xf numFmtId="9" fontId="73" fillId="0" borderId="33" xfId="203" applyFont="1" applyBorder="1">
      <alignment vertical="center"/>
    </xf>
    <xf numFmtId="0" fontId="5" fillId="0" borderId="0" xfId="205" applyFont="1">
      <alignment vertical="center"/>
    </xf>
    <xf numFmtId="1" fontId="5" fillId="0" borderId="0" xfId="205" applyNumberFormat="1" applyFont="1">
      <alignment vertical="center"/>
    </xf>
    <xf numFmtId="0" fontId="3" fillId="0" borderId="0" xfId="205" applyFont="1">
      <alignment vertical="center"/>
    </xf>
    <xf numFmtId="174" fontId="17" fillId="0" borderId="33" xfId="1" applyNumberFormat="1" applyFont="1" applyBorder="1"/>
    <xf numFmtId="174" fontId="16" fillId="0" borderId="32" xfId="1" applyNumberFormat="1" applyFont="1" applyBorder="1"/>
    <xf numFmtId="9" fontId="3" fillId="0" borderId="0" xfId="2" applyFont="1" applyAlignment="1">
      <alignment vertical="center"/>
    </xf>
    <xf numFmtId="9" fontId="77" fillId="0" borderId="0" xfId="2" applyFont="1" applyAlignment="1">
      <alignment vertical="center"/>
    </xf>
    <xf numFmtId="9" fontId="4" fillId="0" borderId="0" xfId="203" applyFont="1" applyFill="1">
      <alignment vertical="center"/>
    </xf>
    <xf numFmtId="180" fontId="77" fillId="0" borderId="0" xfId="203" applyNumberFormat="1" applyFont="1" applyFill="1">
      <alignment vertical="center"/>
    </xf>
    <xf numFmtId="9" fontId="73" fillId="0" borderId="0" xfId="203" applyFont="1" applyFill="1">
      <alignment vertical="center"/>
    </xf>
    <xf numFmtId="9" fontId="77" fillId="0" borderId="0" xfId="203" applyFont="1" applyFill="1">
      <alignment vertical="center"/>
    </xf>
    <xf numFmtId="181" fontId="77" fillId="0" borderId="0" xfId="203" applyNumberFormat="1" applyFont="1" applyFill="1">
      <alignment vertical="center"/>
    </xf>
    <xf numFmtId="0" fontId="69" fillId="0" borderId="0" xfId="222" applyFont="1" applyAlignment="1">
      <alignment wrapText="1"/>
    </xf>
    <xf numFmtId="165" fontId="3" fillId="30" borderId="7" xfId="7" applyFont="1" applyFill="1" applyBorder="1">
      <alignment vertical="center"/>
    </xf>
    <xf numFmtId="9" fontId="3" fillId="0" borderId="0" xfId="222" applyNumberFormat="1" applyFont="1" applyAlignment="1">
      <alignment wrapText="1"/>
    </xf>
    <xf numFmtId="168" fontId="2" fillId="0" borderId="9" xfId="2" applyNumberFormat="1" applyFont="1" applyFill="1" applyBorder="1" applyAlignment="1">
      <alignment horizontal="right"/>
    </xf>
    <xf numFmtId="0" fontId="15" fillId="3" borderId="5" xfId="5" applyFont="1" applyFill="1" applyBorder="1" applyAlignment="1">
      <alignment horizontal="right" wrapText="1"/>
    </xf>
    <xf numFmtId="3" fontId="3" fillId="0" borderId="0" xfId="222" applyNumberFormat="1" applyFont="1"/>
    <xf numFmtId="3" fontId="12" fillId="2" borderId="0" xfId="222" applyNumberFormat="1" applyFont="1" applyFill="1" applyAlignment="1">
      <alignment horizontal="right"/>
    </xf>
    <xf numFmtId="4" fontId="7" fillId="0" borderId="0" xfId="222" applyNumberFormat="1" applyFont="1" applyAlignment="1">
      <alignment horizontal="right"/>
    </xf>
    <xf numFmtId="176" fontId="2" fillId="0" borderId="9" xfId="2" applyNumberFormat="1" applyFont="1" applyFill="1" applyBorder="1" applyAlignment="1">
      <alignment horizontal="right"/>
    </xf>
    <xf numFmtId="183" fontId="3" fillId="0" borderId="0" xfId="222" applyNumberFormat="1" applyFont="1"/>
    <xf numFmtId="0" fontId="3" fillId="0" borderId="33" xfId="222" applyFont="1" applyBorder="1" applyAlignment="1">
      <alignment vertical="center"/>
    </xf>
    <xf numFmtId="0" fontId="3" fillId="0" borderId="0" xfId="222" applyFont="1" applyAlignment="1">
      <alignment vertical="center"/>
    </xf>
    <xf numFmtId="180" fontId="3" fillId="0" borderId="0" xfId="222" applyNumberFormat="1" applyFont="1" applyAlignment="1">
      <alignment vertical="center"/>
    </xf>
    <xf numFmtId="9" fontId="73" fillId="0" borderId="0" xfId="2" applyFont="1" applyFill="1" applyAlignment="1">
      <alignment vertical="center"/>
    </xf>
    <xf numFmtId="180" fontId="3" fillId="0" borderId="0" xfId="222" applyNumberFormat="1" applyFont="1"/>
    <xf numFmtId="0" fontId="70" fillId="3" borderId="30" xfId="222" applyFont="1" applyFill="1" applyBorder="1" applyAlignment="1">
      <alignment vertical="center"/>
    </xf>
    <xf numFmtId="0" fontId="70" fillId="3" borderId="30" xfId="222" applyFont="1" applyFill="1" applyBorder="1" applyAlignment="1">
      <alignment horizontal="right" vertical="center"/>
    </xf>
    <xf numFmtId="9" fontId="3" fillId="0" borderId="0" xfId="2" applyFont="1" applyAlignment="1"/>
    <xf numFmtId="1" fontId="3" fillId="0" borderId="0" xfId="222" applyNumberFormat="1" applyFont="1"/>
    <xf numFmtId="180" fontId="5" fillId="0" borderId="0" xfId="222" applyNumberFormat="1" applyFont="1" applyAlignment="1">
      <alignment vertical="center"/>
    </xf>
    <xf numFmtId="0" fontId="14" fillId="0" borderId="0" xfId="222" applyFont="1"/>
    <xf numFmtId="0" fontId="9" fillId="0" borderId="0" xfId="222" applyFont="1"/>
    <xf numFmtId="1" fontId="9" fillId="0" borderId="0" xfId="222" applyNumberFormat="1" applyFont="1"/>
    <xf numFmtId="1" fontId="11" fillId="0" borderId="0" xfId="222" applyNumberFormat="1" applyFont="1"/>
    <xf numFmtId="0" fontId="17" fillId="0" borderId="0" xfId="222" applyFont="1"/>
    <xf numFmtId="3" fontId="11" fillId="0" borderId="0" xfId="222" applyNumberFormat="1" applyFont="1"/>
    <xf numFmtId="9" fontId="11" fillId="0" borderId="0" xfId="222" applyNumberFormat="1" applyFont="1"/>
    <xf numFmtId="0" fontId="17" fillId="0" borderId="0" xfId="222" applyFont="1" applyAlignment="1">
      <alignment vertical="center"/>
    </xf>
    <xf numFmtId="9" fontId="11" fillId="0" borderId="0" xfId="2" applyFont="1"/>
    <xf numFmtId="0" fontId="80" fillId="3" borderId="0" xfId="222" applyFont="1" applyFill="1" applyAlignment="1">
      <alignment wrapText="1"/>
    </xf>
    <xf numFmtId="49" fontId="81" fillId="3" borderId="0" xfId="222" applyNumberFormat="1" applyFont="1" applyFill="1" applyAlignment="1">
      <alignment horizontal="left" wrapText="1"/>
    </xf>
    <xf numFmtId="173" fontId="81" fillId="3" borderId="0" xfId="222" applyNumberFormat="1" applyFont="1" applyFill="1" applyAlignment="1">
      <alignment horizontal="right"/>
    </xf>
    <xf numFmtId="170" fontId="81" fillId="3" borderId="3" xfId="209" applyNumberFormat="1" applyFont="1" applyFill="1" applyBorder="1" applyAlignment="1">
      <alignment horizontal="right"/>
    </xf>
    <xf numFmtId="0" fontId="80" fillId="3" borderId="0" xfId="222" applyFont="1" applyFill="1"/>
    <xf numFmtId="0" fontId="9" fillId="0" borderId="0" xfId="222" applyFont="1" applyAlignment="1">
      <alignment wrapText="1"/>
    </xf>
    <xf numFmtId="49" fontId="9" fillId="0" borderId="0" xfId="222" applyNumberFormat="1" applyFont="1" applyAlignment="1">
      <alignment horizontal="left"/>
    </xf>
    <xf numFmtId="168" fontId="9" fillId="0" borderId="0" xfId="210" applyNumberFormat="1" applyFont="1" applyFill="1" applyBorder="1" applyAlignment="1">
      <alignment horizontal="right"/>
    </xf>
    <xf numFmtId="168" fontId="9" fillId="2" borderId="0" xfId="210" applyNumberFormat="1" applyFont="1" applyFill="1" applyBorder="1" applyAlignment="1"/>
    <xf numFmtId="49" fontId="82" fillId="0" borderId="0" xfId="222" applyNumberFormat="1" applyFont="1" applyAlignment="1">
      <alignment wrapText="1"/>
    </xf>
    <xf numFmtId="168" fontId="9" fillId="0" borderId="0" xfId="210" applyNumberFormat="1" applyFont="1" applyFill="1" applyBorder="1" applyAlignment="1"/>
    <xf numFmtId="175" fontId="9" fillId="0" borderId="0" xfId="211" applyNumberFormat="1" applyFont="1" applyFill="1" applyBorder="1" applyAlignment="1"/>
    <xf numFmtId="0" fontId="83" fillId="0" borderId="0" xfId="222" applyFont="1" applyAlignment="1">
      <alignment wrapText="1"/>
    </xf>
    <xf numFmtId="175" fontId="83" fillId="0" borderId="0" xfId="211" applyNumberFormat="1" applyFont="1" applyFill="1" applyBorder="1" applyAlignment="1"/>
    <xf numFmtId="0" fontId="83" fillId="0" borderId="0" xfId="222" applyFont="1"/>
    <xf numFmtId="0" fontId="84" fillId="0" borderId="0" xfId="222" applyFont="1" applyAlignment="1">
      <alignment wrapText="1"/>
    </xf>
    <xf numFmtId="0" fontId="84" fillId="0" borderId="0" xfId="222" applyFont="1"/>
    <xf numFmtId="184" fontId="84" fillId="0" borderId="0" xfId="222" applyNumberFormat="1" applyFont="1"/>
    <xf numFmtId="185" fontId="85" fillId="0" borderId="0" xfId="222" applyNumberFormat="1" applyFont="1"/>
    <xf numFmtId="185" fontId="9" fillId="0" borderId="0" xfId="222" applyNumberFormat="1" applyFont="1"/>
    <xf numFmtId="165" fontId="9" fillId="0" borderId="0" xfId="222" applyNumberFormat="1" applyFont="1"/>
    <xf numFmtId="0" fontId="10" fillId="0" borderId="0" xfId="222" applyFont="1" applyAlignment="1">
      <alignment wrapText="1"/>
    </xf>
    <xf numFmtId="185" fontId="87" fillId="0" borderId="0" xfId="222" applyNumberFormat="1" applyFont="1"/>
    <xf numFmtId="9" fontId="9" fillId="2" borderId="0" xfId="222" applyNumberFormat="1" applyFont="1" applyFill="1"/>
    <xf numFmtId="9" fontId="9" fillId="0" borderId="0" xfId="222" applyNumberFormat="1" applyFont="1"/>
    <xf numFmtId="168" fontId="9" fillId="0" borderId="0" xfId="222" applyNumberFormat="1" applyFont="1"/>
    <xf numFmtId="0" fontId="88" fillId="0" borderId="0" xfId="222" applyFont="1" applyAlignment="1">
      <alignment wrapText="1"/>
    </xf>
    <xf numFmtId="0" fontId="88" fillId="0" borderId="0" xfId="222" applyFont="1"/>
    <xf numFmtId="185" fontId="88" fillId="0" borderId="0" xfId="222" applyNumberFormat="1" applyFont="1"/>
    <xf numFmtId="175" fontId="88" fillId="0" borderId="0" xfId="211" applyNumberFormat="1" applyFont="1" applyFill="1" applyBorder="1" applyAlignment="1"/>
    <xf numFmtId="175" fontId="9" fillId="2" borderId="0" xfId="211" applyNumberFormat="1" applyFont="1" applyFill="1" applyBorder="1" applyAlignment="1"/>
    <xf numFmtId="185" fontId="9" fillId="0" borderId="0" xfId="222" applyNumberFormat="1" applyFont="1" applyAlignment="1">
      <alignment horizontal="right"/>
    </xf>
    <xf numFmtId="187" fontId="9" fillId="0" borderId="0" xfId="222" applyNumberFormat="1" applyFont="1"/>
    <xf numFmtId="185" fontId="88" fillId="0" borderId="0" xfId="222" applyNumberFormat="1" applyFont="1" applyAlignment="1">
      <alignment horizontal="right"/>
    </xf>
    <xf numFmtId="186" fontId="87" fillId="0" borderId="0" xfId="222" applyNumberFormat="1" applyFont="1"/>
    <xf numFmtId="0" fontId="89" fillId="0" borderId="0" xfId="222" applyFont="1" applyAlignment="1">
      <alignment wrapText="1"/>
    </xf>
    <xf numFmtId="0" fontId="90" fillId="0" borderId="0" xfId="222" applyFont="1" applyAlignment="1">
      <alignment horizontal="left" wrapText="1"/>
    </xf>
    <xf numFmtId="186" fontId="9" fillId="0" borderId="0" xfId="222" applyNumberFormat="1" applyFont="1"/>
    <xf numFmtId="0" fontId="86" fillId="0" borderId="0" xfId="222" applyFont="1" applyAlignment="1">
      <alignment wrapText="1"/>
    </xf>
    <xf numFmtId="3" fontId="3" fillId="0" borderId="0" xfId="209" applyNumberFormat="1" applyFont="1" applyFill="1"/>
    <xf numFmtId="9" fontId="73" fillId="0" borderId="0" xfId="203" applyFont="1" applyBorder="1">
      <alignment vertical="center"/>
    </xf>
    <xf numFmtId="1" fontId="5" fillId="0" borderId="0" xfId="222" applyNumberFormat="1" applyFont="1"/>
    <xf numFmtId="0" fontId="91" fillId="0" borderId="0" xfId="222" applyFont="1"/>
    <xf numFmtId="0" fontId="5" fillId="0" borderId="0" xfId="222" applyFont="1" applyAlignment="1">
      <alignment horizontal="right"/>
    </xf>
    <xf numFmtId="0" fontId="5" fillId="2" borderId="35" xfId="222" applyFont="1" applyFill="1" applyBorder="1"/>
    <xf numFmtId="0" fontId="7" fillId="2" borderId="35" xfId="222" applyFont="1" applyFill="1" applyBorder="1" applyAlignment="1">
      <alignment horizontal="left"/>
    </xf>
    <xf numFmtId="0" fontId="4" fillId="2" borderId="35" xfId="222" applyFont="1" applyFill="1" applyBorder="1"/>
    <xf numFmtId="0" fontId="4" fillId="31" borderId="35" xfId="222" applyFont="1" applyFill="1" applyBorder="1"/>
    <xf numFmtId="0" fontId="6" fillId="0" borderId="0" xfId="222" applyFont="1" applyAlignment="1">
      <alignment horizontal="right"/>
    </xf>
    <xf numFmtId="0" fontId="92" fillId="31" borderId="0" xfId="222" applyFont="1" applyFill="1"/>
    <xf numFmtId="168" fontId="4" fillId="31" borderId="35" xfId="2" applyNumberFormat="1" applyFont="1" applyFill="1" applyBorder="1"/>
    <xf numFmtId="0" fontId="6" fillId="31" borderId="0" xfId="222" applyFont="1" applyFill="1" applyAlignment="1">
      <alignment horizontal="right"/>
    </xf>
    <xf numFmtId="168" fontId="3" fillId="31" borderId="35" xfId="2" applyNumberFormat="1" applyFont="1" applyFill="1" applyBorder="1"/>
    <xf numFmtId="0" fontId="6" fillId="31" borderId="0" xfId="222" applyFont="1" applyFill="1"/>
    <xf numFmtId="168" fontId="3" fillId="31" borderId="35" xfId="222" applyNumberFormat="1" applyFont="1" applyFill="1" applyBorder="1"/>
    <xf numFmtId="188" fontId="3" fillId="0" borderId="0" xfId="222" applyNumberFormat="1" applyFont="1"/>
    <xf numFmtId="0" fontId="6" fillId="31" borderId="30" xfId="222" applyFont="1" applyFill="1" applyBorder="1" applyAlignment="1">
      <alignment horizontal="center" vertical="center"/>
    </xf>
    <xf numFmtId="0" fontId="92" fillId="31" borderId="30" xfId="222" applyFont="1" applyFill="1" applyBorder="1" applyAlignment="1">
      <alignment horizontal="center" vertical="center"/>
    </xf>
    <xf numFmtId="0" fontId="6" fillId="31" borderId="0" xfId="222" applyFont="1" applyFill="1" applyAlignment="1">
      <alignment horizontal="center"/>
    </xf>
    <xf numFmtId="168" fontId="92" fillId="31" borderId="0" xfId="2" applyNumberFormat="1" applyFont="1" applyFill="1" applyAlignment="1">
      <alignment horizontal="center"/>
    </xf>
    <xf numFmtId="9" fontId="92" fillId="31" borderId="0" xfId="2" applyFont="1" applyFill="1" applyAlignment="1">
      <alignment horizontal="center"/>
    </xf>
    <xf numFmtId="0" fontId="6" fillId="31" borderId="33" xfId="222" applyFont="1" applyFill="1" applyBorder="1" applyAlignment="1">
      <alignment horizontal="center"/>
    </xf>
    <xf numFmtId="9" fontId="92" fillId="31" borderId="33" xfId="2" applyFont="1" applyFill="1" applyBorder="1" applyAlignment="1">
      <alignment horizontal="center"/>
    </xf>
    <xf numFmtId="9" fontId="6" fillId="0" borderId="0" xfId="2" applyFont="1" applyFill="1" applyAlignment="1">
      <alignment horizontal="center"/>
    </xf>
    <xf numFmtId="9" fontId="3" fillId="0" borderId="0" xfId="2" applyFont="1" applyFill="1" applyAlignment="1">
      <alignment vertical="center"/>
    </xf>
    <xf numFmtId="0" fontId="93" fillId="3" borderId="0" xfId="222" applyFont="1" applyFill="1" applyAlignment="1">
      <alignment vertical="center"/>
    </xf>
    <xf numFmtId="0" fontId="93" fillId="3" borderId="0" xfId="222" applyFont="1" applyFill="1" applyAlignment="1">
      <alignment horizontal="right" vertical="center"/>
    </xf>
    <xf numFmtId="0" fontId="3" fillId="0" borderId="0" xfId="222" applyFont="1" applyAlignment="1">
      <alignment horizontal="right" vertical="center"/>
    </xf>
    <xf numFmtId="3" fontId="94" fillId="0" borderId="0" xfId="222" applyNumberFormat="1" applyFont="1" applyAlignment="1">
      <alignment horizontal="right" vertical="center"/>
    </xf>
    <xf numFmtId="166" fontId="11" fillId="0" borderId="0" xfId="1" applyNumberFormat="1" applyFont="1"/>
    <xf numFmtId="0" fontId="95" fillId="3" borderId="0" xfId="222" applyFont="1" applyFill="1" applyAlignment="1">
      <alignment horizontal="right" vertical="center"/>
    </xf>
    <xf numFmtId="3" fontId="96" fillId="0" borderId="0" xfId="222" applyNumberFormat="1" applyFont="1" applyAlignment="1">
      <alignment horizontal="right" vertical="center" wrapText="1"/>
    </xf>
    <xf numFmtId="3" fontId="96" fillId="0" borderId="0" xfId="222" applyNumberFormat="1" applyFont="1" applyAlignment="1">
      <alignment horizontal="right" vertical="center"/>
    </xf>
    <xf numFmtId="9" fontId="2" fillId="0" borderId="0" xfId="203" applyFont="1" applyFill="1" applyBorder="1" applyAlignment="1">
      <alignment vertical="center" wrapText="1"/>
    </xf>
    <xf numFmtId="9" fontId="19" fillId="0" borderId="0" xfId="203" applyFont="1" applyFill="1" applyBorder="1" applyAlignment="1">
      <alignment vertical="center" wrapText="1"/>
    </xf>
    <xf numFmtId="9" fontId="2" fillId="0" borderId="38" xfId="203" applyFont="1" applyFill="1" applyBorder="1" applyAlignment="1">
      <alignment vertical="center" wrapText="1"/>
    </xf>
    <xf numFmtId="167" fontId="2" fillId="0" borderId="0" xfId="1" applyNumberFormat="1" applyFont="1" applyBorder="1" applyAlignment="1">
      <alignment wrapText="1"/>
    </xf>
    <xf numFmtId="166" fontId="2" fillId="0" borderId="38" xfId="1" applyNumberFormat="1" applyFont="1" applyBorder="1" applyAlignment="1">
      <alignment wrapText="1"/>
    </xf>
    <xf numFmtId="166" fontId="19" fillId="0" borderId="0" xfId="1" applyNumberFormat="1" applyFont="1" applyBorder="1" applyAlignment="1">
      <alignment wrapText="1"/>
    </xf>
    <xf numFmtId="0" fontId="2" fillId="0" borderId="31" xfId="222" applyFont="1" applyBorder="1" applyAlignment="1">
      <alignment wrapText="1"/>
    </xf>
    <xf numFmtId="1" fontId="2" fillId="0" borderId="31" xfId="222" applyNumberFormat="1" applyFont="1" applyBorder="1" applyAlignment="1">
      <alignment wrapText="1"/>
    </xf>
    <xf numFmtId="0" fontId="2" fillId="0" borderId="31" xfId="222" applyFont="1" applyBorder="1" applyAlignment="1">
      <alignment vertical="center" wrapText="1"/>
    </xf>
    <xf numFmtId="166" fontId="2" fillId="0" borderId="31" xfId="1" applyNumberFormat="1" applyFont="1" applyBorder="1" applyAlignment="1">
      <alignment vertical="center" wrapText="1"/>
    </xf>
    <xf numFmtId="167" fontId="2" fillId="0" borderId="0" xfId="1" applyNumberFormat="1" applyFont="1" applyBorder="1" applyAlignment="1">
      <alignment vertical="center" wrapText="1"/>
    </xf>
    <xf numFmtId="166" fontId="2" fillId="0" borderId="38" xfId="1" applyNumberFormat="1" applyFont="1" applyBorder="1" applyAlignment="1">
      <alignment vertical="center" wrapText="1"/>
    </xf>
    <xf numFmtId="167" fontId="11" fillId="0" borderId="0" xfId="1" applyNumberFormat="1" applyFont="1"/>
    <xf numFmtId="0" fontId="14" fillId="0" borderId="0" xfId="222" applyFont="1" applyAlignment="1">
      <alignment horizontal="right"/>
    </xf>
    <xf numFmtId="189" fontId="14" fillId="0" borderId="0" xfId="222" applyNumberFormat="1" applyFont="1"/>
    <xf numFmtId="0" fontId="19" fillId="0" borderId="0" xfId="205" applyFont="1" applyAlignment="1">
      <alignment vertical="center" wrapText="1"/>
    </xf>
    <xf numFmtId="0" fontId="97" fillId="0" borderId="0" xfId="222" applyFont="1" applyAlignment="1">
      <alignment wrapText="1"/>
    </xf>
    <xf numFmtId="0" fontId="17" fillId="0" borderId="0" xfId="222" applyFont="1" applyAlignment="1">
      <alignment wrapText="1"/>
    </xf>
    <xf numFmtId="0" fontId="2" fillId="0" borderId="31" xfId="205" applyFont="1" applyBorder="1" applyAlignment="1">
      <alignment vertical="center" wrapText="1"/>
    </xf>
    <xf numFmtId="0" fontId="2" fillId="0" borderId="0" xfId="222" applyFont="1" applyAlignment="1">
      <alignment wrapText="1"/>
    </xf>
    <xf numFmtId="0" fontId="98" fillId="0" borderId="0" xfId="222" applyFont="1" applyAlignment="1">
      <alignment wrapText="1"/>
    </xf>
    <xf numFmtId="0" fontId="19" fillId="0" borderId="0" xfId="222" applyFont="1" applyAlignment="1">
      <alignment wrapText="1"/>
    </xf>
    <xf numFmtId="0" fontId="16" fillId="0" borderId="0" xfId="222" applyFont="1" applyAlignment="1">
      <alignment wrapText="1"/>
    </xf>
    <xf numFmtId="166" fontId="2" fillId="0" borderId="0" xfId="1" applyNumberFormat="1" applyFont="1" applyBorder="1" applyAlignment="1">
      <alignment wrapText="1"/>
    </xf>
    <xf numFmtId="0" fontId="17" fillId="0" borderId="0" xfId="222" applyFont="1" applyAlignment="1">
      <alignment horizontal="right" wrapText="1"/>
    </xf>
    <xf numFmtId="166" fontId="2" fillId="0" borderId="38" xfId="1" applyNumberFormat="1" applyFont="1" applyBorder="1" applyAlignment="1">
      <alignment horizontal="right" wrapText="1"/>
    </xf>
    <xf numFmtId="174" fontId="19" fillId="0" borderId="10" xfId="1" applyNumberFormat="1" applyFont="1" applyBorder="1"/>
    <xf numFmtId="0" fontId="94" fillId="0" borderId="0" xfId="222" applyFont="1" applyAlignment="1">
      <alignment horizontal="right" vertical="center"/>
    </xf>
    <xf numFmtId="190" fontId="16" fillId="0" borderId="0" xfId="222" applyNumberFormat="1" applyFont="1" applyAlignment="1">
      <alignment wrapText="1"/>
    </xf>
    <xf numFmtId="1" fontId="16" fillId="0" borderId="0" xfId="222" applyNumberFormat="1" applyFont="1" applyAlignment="1">
      <alignment wrapText="1"/>
    </xf>
    <xf numFmtId="0" fontId="16" fillId="0" borderId="33" xfId="222" applyFont="1" applyBorder="1"/>
    <xf numFmtId="9" fontId="19" fillId="0" borderId="33" xfId="203" applyFont="1" applyFill="1" applyBorder="1" applyAlignment="1">
      <alignment vertical="center" wrapText="1"/>
    </xf>
    <xf numFmtId="0" fontId="16" fillId="0" borderId="31" xfId="222" applyFont="1" applyBorder="1"/>
    <xf numFmtId="190" fontId="16" fillId="0" borderId="31" xfId="222" applyNumberFormat="1" applyFont="1" applyBorder="1" applyAlignment="1">
      <alignment wrapText="1"/>
    </xf>
    <xf numFmtId="190" fontId="16" fillId="0" borderId="33" xfId="222" applyNumberFormat="1" applyFont="1" applyBorder="1" applyAlignment="1">
      <alignment wrapText="1"/>
    </xf>
    <xf numFmtId="0" fontId="16" fillId="0" borderId="30" xfId="222" applyFont="1" applyBorder="1"/>
    <xf numFmtId="190" fontId="16" fillId="0" borderId="30" xfId="222" applyNumberFormat="1" applyFont="1" applyBorder="1" applyAlignment="1">
      <alignment wrapText="1"/>
    </xf>
    <xf numFmtId="0" fontId="16" fillId="0" borderId="30" xfId="222" applyFont="1" applyBorder="1" applyAlignment="1">
      <alignment horizontal="left" vertical="center"/>
    </xf>
    <xf numFmtId="0" fontId="16" fillId="0" borderId="0" xfId="222" applyFont="1" applyAlignment="1">
      <alignment horizontal="left" vertical="center"/>
    </xf>
    <xf numFmtId="0" fontId="99" fillId="3" borderId="0" xfId="222" applyFont="1" applyFill="1" applyAlignment="1">
      <alignment vertical="center" wrapText="1"/>
    </xf>
    <xf numFmtId="0" fontId="99" fillId="3" borderId="0" xfId="222" applyFont="1" applyFill="1" applyAlignment="1">
      <alignment horizontal="right" vertical="center" wrapText="1"/>
    </xf>
    <xf numFmtId="0" fontId="100" fillId="0" borderId="0" xfId="222" applyFont="1" applyAlignment="1">
      <alignment vertical="center"/>
    </xf>
    <xf numFmtId="0" fontId="100" fillId="0" borderId="0" xfId="222" applyFont="1" applyAlignment="1">
      <alignment horizontal="right" vertical="center" wrapText="1"/>
    </xf>
    <xf numFmtId="0" fontId="100" fillId="0" borderId="52" xfId="222" applyFont="1" applyBorder="1" applyAlignment="1">
      <alignment vertical="center"/>
    </xf>
    <xf numFmtId="0" fontId="100" fillId="0" borderId="52" xfId="222" applyFont="1" applyBorder="1" applyAlignment="1">
      <alignment horizontal="right" vertical="center" wrapText="1"/>
    </xf>
    <xf numFmtId="0" fontId="102" fillId="3" borderId="0" xfId="222" applyFont="1" applyFill="1" applyAlignment="1">
      <alignment vertical="center"/>
    </xf>
    <xf numFmtId="172" fontId="9" fillId="0" borderId="0" xfId="222" applyNumberFormat="1" applyFont="1"/>
    <xf numFmtId="1" fontId="4" fillId="0" borderId="0" xfId="222" applyNumberFormat="1" applyFont="1"/>
    <xf numFmtId="174" fontId="2" fillId="0" borderId="9" xfId="1" applyNumberFormat="1" applyFont="1" applyFill="1" applyBorder="1" applyAlignment="1">
      <alignment horizontal="center"/>
    </xf>
    <xf numFmtId="0" fontId="19" fillId="0" borderId="39" xfId="5" applyFont="1" applyBorder="1"/>
    <xf numFmtId="182" fontId="19" fillId="0" borderId="40" xfId="5" applyNumberFormat="1" applyFont="1" applyBorder="1"/>
    <xf numFmtId="0" fontId="2" fillId="0" borderId="51" xfId="5" applyFont="1" applyBorder="1"/>
    <xf numFmtId="0" fontId="2" fillId="0" borderId="41" xfId="5" applyFont="1" applyBorder="1"/>
    <xf numFmtId="9" fontId="16" fillId="0" borderId="42" xfId="2" applyFont="1" applyBorder="1"/>
    <xf numFmtId="9" fontId="16" fillId="0" borderId="0" xfId="222" applyNumberFormat="1" applyFont="1"/>
    <xf numFmtId="9" fontId="3" fillId="0" borderId="0" xfId="14" applyFont="1" applyAlignment="1">
      <alignment horizontal="right"/>
    </xf>
    <xf numFmtId="9" fontId="3" fillId="0" borderId="0" xfId="14" applyFont="1" applyAlignment="1"/>
    <xf numFmtId="169" fontId="70" fillId="3" borderId="3" xfId="13" applyNumberFormat="1" applyFont="1" applyFill="1" applyBorder="1" applyAlignment="1">
      <alignment horizontal="right"/>
    </xf>
    <xf numFmtId="170" fontId="70" fillId="3" borderId="3" xfId="13" applyNumberFormat="1" applyFont="1" applyFill="1" applyBorder="1" applyAlignment="1">
      <alignment horizontal="right"/>
    </xf>
    <xf numFmtId="0" fontId="5" fillId="0" borderId="0" xfId="222" applyFont="1" applyAlignment="1">
      <alignment horizontal="left"/>
    </xf>
    <xf numFmtId="3" fontId="5" fillId="0" borderId="0" xfId="13" applyNumberFormat="1" applyFont="1" applyAlignment="1">
      <alignment horizontal="right"/>
    </xf>
    <xf numFmtId="3" fontId="3" fillId="0" borderId="0" xfId="13" applyNumberFormat="1" applyFont="1" applyAlignment="1">
      <alignment horizontal="right"/>
    </xf>
    <xf numFmtId="3" fontId="7" fillId="0" borderId="0" xfId="13" applyNumberFormat="1" applyFont="1" applyAlignment="1">
      <alignment horizontal="right"/>
    </xf>
    <xf numFmtId="3" fontId="3" fillId="0" borderId="0" xfId="13" applyNumberFormat="1" applyFont="1" applyAlignment="1"/>
    <xf numFmtId="3" fontId="4" fillId="0" borderId="0" xfId="13" applyNumberFormat="1" applyFont="1" applyAlignment="1">
      <alignment horizontal="right"/>
    </xf>
    <xf numFmtId="3" fontId="5" fillId="0" borderId="0" xfId="13" applyNumberFormat="1" applyFont="1" applyAlignment="1"/>
    <xf numFmtId="0" fontId="106" fillId="0" borderId="0" xfId="222" applyFont="1"/>
    <xf numFmtId="0" fontId="106" fillId="0" borderId="0" xfId="222" applyFont="1" applyAlignment="1">
      <alignment wrapText="1"/>
    </xf>
    <xf numFmtId="167" fontId="3" fillId="0" borderId="0" xfId="13" applyNumberFormat="1" applyFont="1" applyAlignment="1"/>
    <xf numFmtId="9" fontId="3" fillId="0" borderId="0" xfId="14" applyFont="1" applyAlignment="1">
      <alignment wrapText="1"/>
    </xf>
    <xf numFmtId="165" fontId="3" fillId="2" borderId="36" xfId="7" applyFont="1" applyFill="1" applyBorder="1">
      <alignment vertical="center"/>
    </xf>
    <xf numFmtId="165" fontId="3" fillId="2" borderId="37" xfId="7" applyFont="1" applyFill="1" applyBorder="1">
      <alignment vertical="center"/>
    </xf>
    <xf numFmtId="10" fontId="3" fillId="2" borderId="37" xfId="8" applyNumberFormat="1" applyFont="1" applyFill="1" applyBorder="1">
      <alignment vertical="center"/>
    </xf>
    <xf numFmtId="174" fontId="3" fillId="2" borderId="36" xfId="10" applyNumberFormat="1" applyFont="1" applyFill="1" applyBorder="1">
      <alignment horizontal="right" vertical="center"/>
    </xf>
    <xf numFmtId="165" fontId="3" fillId="2" borderId="36" xfId="10" applyFont="1" applyFill="1" applyBorder="1">
      <alignment horizontal="right" vertical="center"/>
    </xf>
    <xf numFmtId="165" fontId="3" fillId="2" borderId="33" xfId="7" applyFont="1" applyFill="1" applyBorder="1">
      <alignment vertical="center"/>
    </xf>
    <xf numFmtId="174" fontId="3" fillId="2" borderId="36" xfId="7" applyNumberFormat="1" applyFont="1" applyFill="1" applyBorder="1">
      <alignment vertical="center"/>
    </xf>
    <xf numFmtId="165" fontId="3" fillId="30" borderId="36" xfId="7" applyFont="1" applyFill="1" applyBorder="1">
      <alignment vertical="center"/>
    </xf>
    <xf numFmtId="165" fontId="3" fillId="2" borderId="37" xfId="10" applyFont="1" applyFill="1" applyBorder="1">
      <alignment horizontal="right" vertical="center"/>
    </xf>
    <xf numFmtId="165" fontId="3" fillId="5" borderId="36" xfId="7" applyFont="1" applyFill="1" applyBorder="1">
      <alignment vertical="center"/>
    </xf>
    <xf numFmtId="165" fontId="3" fillId="5" borderId="37" xfId="7" applyFont="1" applyFill="1" applyBorder="1">
      <alignment vertical="center"/>
    </xf>
    <xf numFmtId="165" fontId="3" fillId="5" borderId="33" xfId="7" applyFont="1" applyFill="1" applyBorder="1">
      <alignment vertical="center"/>
    </xf>
    <xf numFmtId="167" fontId="4" fillId="0" borderId="0" xfId="13" applyNumberFormat="1" applyFont="1" applyAlignment="1">
      <alignment horizontal="right"/>
    </xf>
    <xf numFmtId="3" fontId="7" fillId="0" borderId="0" xfId="13" applyNumberFormat="1" applyFont="1" applyFill="1" applyAlignment="1">
      <alignment horizontal="right"/>
    </xf>
    <xf numFmtId="3" fontId="5" fillId="0" borderId="0" xfId="13" applyNumberFormat="1" applyFont="1" applyFill="1" applyAlignment="1">
      <alignment horizontal="right"/>
    </xf>
    <xf numFmtId="3" fontId="4" fillId="0" borderId="0" xfId="13" applyNumberFormat="1" applyFont="1" applyFill="1" applyAlignment="1">
      <alignment horizontal="right"/>
    </xf>
    <xf numFmtId="3" fontId="3" fillId="0" borderId="0" xfId="13" applyNumberFormat="1" applyFont="1" applyFill="1" applyAlignment="1">
      <alignment horizontal="right"/>
    </xf>
    <xf numFmtId="3" fontId="3" fillId="0" borderId="0" xfId="13" applyNumberFormat="1" applyFont="1" applyFill="1" applyAlignment="1"/>
    <xf numFmtId="3" fontId="5" fillId="0" borderId="0" xfId="13" applyNumberFormat="1" applyFont="1" applyFill="1" applyAlignment="1"/>
    <xf numFmtId="1" fontId="7" fillId="0" borderId="0" xfId="222" applyNumberFormat="1" applyFont="1"/>
    <xf numFmtId="175" fontId="9" fillId="33" borderId="0" xfId="211" applyNumberFormat="1" applyFont="1" applyFill="1" applyBorder="1" applyAlignment="1"/>
    <xf numFmtId="175" fontId="83" fillId="33" borderId="0" xfId="211" applyNumberFormat="1" applyFont="1" applyFill="1" applyBorder="1" applyAlignment="1"/>
    <xf numFmtId="168" fontId="9" fillId="33" borderId="0" xfId="210" applyNumberFormat="1" applyFont="1" applyFill="1" applyBorder="1" applyAlignment="1"/>
    <xf numFmtId="0" fontId="7" fillId="0" borderId="0" xfId="222" applyFont="1" applyAlignment="1">
      <alignment horizontal="left"/>
    </xf>
    <xf numFmtId="167" fontId="4" fillId="0" borderId="0" xfId="220" applyNumberFormat="1" applyFont="1" applyFill="1"/>
    <xf numFmtId="167" fontId="4" fillId="0" borderId="0" xfId="220" applyNumberFormat="1" applyFont="1"/>
    <xf numFmtId="166" fontId="4" fillId="0" borderId="0" xfId="220" applyNumberFormat="1" applyFont="1" applyFill="1"/>
    <xf numFmtId="166" fontId="7" fillId="0" borderId="0" xfId="220" applyNumberFormat="1" applyFont="1" applyFill="1"/>
    <xf numFmtId="166" fontId="4" fillId="0" borderId="0" xfId="220" applyNumberFormat="1" applyFont="1"/>
    <xf numFmtId="167" fontId="7" fillId="0" borderId="0" xfId="220" applyNumberFormat="1" applyFont="1" applyFill="1"/>
    <xf numFmtId="167" fontId="7" fillId="0" borderId="0" xfId="220" applyNumberFormat="1" applyFont="1"/>
    <xf numFmtId="0" fontId="3" fillId="0" borderId="0" xfId="221" applyFont="1">
      <alignment vertical="center"/>
    </xf>
    <xf numFmtId="0" fontId="3" fillId="0" borderId="33" xfId="205" applyFont="1" applyBorder="1">
      <alignment vertical="center"/>
    </xf>
    <xf numFmtId="1" fontId="3" fillId="0" borderId="0" xfId="205" applyNumberFormat="1" applyFont="1">
      <alignment vertical="center"/>
    </xf>
    <xf numFmtId="180" fontId="3" fillId="0" borderId="0" xfId="221" applyNumberFormat="1" applyFont="1">
      <alignment vertical="center"/>
    </xf>
    <xf numFmtId="0" fontId="77" fillId="0" borderId="0" xfId="205" applyFont="1" applyAlignment="1">
      <alignment horizontal="left" vertical="top" wrapText="1"/>
    </xf>
    <xf numFmtId="0" fontId="70" fillId="3" borderId="31" xfId="205" applyFont="1" applyFill="1" applyBorder="1" applyAlignment="1">
      <alignment horizontal="right" vertical="center"/>
    </xf>
    <xf numFmtId="0" fontId="109" fillId="0" borderId="0" xfId="222" applyFont="1"/>
    <xf numFmtId="180" fontId="5" fillId="0" borderId="0" xfId="221" applyNumberFormat="1" applyFont="1">
      <alignment vertical="center"/>
    </xf>
    <xf numFmtId="180" fontId="7" fillId="0" borderId="0" xfId="221" applyNumberFormat="1" applyFont="1">
      <alignment vertical="center"/>
    </xf>
    <xf numFmtId="9" fontId="77" fillId="0" borderId="0" xfId="206" applyFont="1">
      <alignment vertical="center"/>
    </xf>
    <xf numFmtId="0" fontId="5" fillId="0" borderId="0" xfId="222" applyFont="1" applyAlignment="1">
      <alignment vertical="center"/>
    </xf>
    <xf numFmtId="180" fontId="5" fillId="0" borderId="0" xfId="222" applyNumberFormat="1" applyFont="1"/>
    <xf numFmtId="180" fontId="5" fillId="2" borderId="0" xfId="221" applyNumberFormat="1" applyFont="1" applyFill="1">
      <alignment vertical="center"/>
    </xf>
    <xf numFmtId="0" fontId="5" fillId="0" borderId="31" xfId="205" applyFont="1" applyBorder="1">
      <alignment vertical="center"/>
    </xf>
    <xf numFmtId="0" fontId="6" fillId="0" borderId="0" xfId="222" applyFont="1" applyAlignment="1">
      <alignment horizontal="center"/>
    </xf>
    <xf numFmtId="9" fontId="5" fillId="2" borderId="0" xfId="2" applyFont="1" applyFill="1" applyBorder="1" applyAlignment="1">
      <alignment vertical="center"/>
    </xf>
    <xf numFmtId="1" fontId="3" fillId="0" borderId="0" xfId="222" applyNumberFormat="1" applyFont="1" applyAlignment="1">
      <alignment vertical="center"/>
    </xf>
    <xf numFmtId="0" fontId="78" fillId="0" borderId="0" xfId="222" applyFont="1" applyAlignment="1">
      <alignment horizontal="center"/>
    </xf>
    <xf numFmtId="181" fontId="3" fillId="0" borderId="0" xfId="205" applyNumberFormat="1" applyFont="1">
      <alignment vertical="center"/>
    </xf>
    <xf numFmtId="166" fontId="6" fillId="0" borderId="0" xfId="220" applyNumberFormat="1" applyFont="1" applyFill="1" applyAlignment="1">
      <alignment horizontal="center"/>
    </xf>
    <xf numFmtId="0" fontId="77" fillId="0" borderId="0" xfId="205" applyFont="1">
      <alignment vertical="center"/>
    </xf>
    <xf numFmtId="181" fontId="77" fillId="0" borderId="0" xfId="205" applyNumberFormat="1" applyFont="1">
      <alignment vertical="center"/>
    </xf>
    <xf numFmtId="190" fontId="3" fillId="0" borderId="0" xfId="2" applyNumberFormat="1" applyFont="1" applyAlignment="1">
      <alignment vertical="center"/>
    </xf>
    <xf numFmtId="0" fontId="3" fillId="0" borderId="30" xfId="222" applyFont="1" applyBorder="1" applyAlignment="1">
      <alignment vertical="center"/>
    </xf>
    <xf numFmtId="181" fontId="3" fillId="0" borderId="0" xfId="203" applyNumberFormat="1" applyFont="1">
      <alignment vertical="center"/>
    </xf>
    <xf numFmtId="1" fontId="5" fillId="0" borderId="31" xfId="205" applyNumberFormat="1" applyFont="1" applyBorder="1">
      <alignment vertical="center"/>
    </xf>
    <xf numFmtId="172" fontId="5" fillId="0" borderId="0" xfId="205" applyNumberFormat="1" applyFont="1">
      <alignment vertical="center"/>
    </xf>
    <xf numFmtId="0" fontId="70" fillId="3" borderId="31" xfId="221" applyFont="1" applyFill="1" applyBorder="1">
      <alignment vertical="center"/>
    </xf>
    <xf numFmtId="0" fontId="5" fillId="0" borderId="30" xfId="221" applyFont="1" applyBorder="1">
      <alignment vertical="center"/>
    </xf>
    <xf numFmtId="0" fontId="3" fillId="0" borderId="30" xfId="221" applyFont="1" applyBorder="1">
      <alignment vertical="center"/>
    </xf>
    <xf numFmtId="180" fontId="5" fillId="0" borderId="34" xfId="221" applyNumberFormat="1" applyFont="1" applyBorder="1">
      <alignment vertical="center"/>
    </xf>
    <xf numFmtId="0" fontId="7" fillId="0" borderId="31" xfId="205" applyFont="1" applyBorder="1" applyAlignment="1">
      <alignment vertical="center" wrapText="1"/>
    </xf>
    <xf numFmtId="1" fontId="5" fillId="0" borderId="34" xfId="222" applyNumberFormat="1" applyFont="1" applyBorder="1" applyAlignment="1">
      <alignment vertical="center"/>
    </xf>
    <xf numFmtId="165" fontId="9" fillId="2" borderId="0" xfId="222" applyNumberFormat="1" applyFont="1" applyFill="1"/>
    <xf numFmtId="9" fontId="3" fillId="2" borderId="0" xfId="14" applyFont="1" applyFill="1" applyAlignment="1"/>
    <xf numFmtId="1" fontId="3" fillId="0" borderId="0" xfId="13" applyNumberFormat="1" applyFont="1" applyFill="1" applyAlignment="1"/>
    <xf numFmtId="165" fontId="3" fillId="30" borderId="31" xfId="7" applyFont="1" applyFill="1" applyBorder="1">
      <alignment vertical="center"/>
    </xf>
    <xf numFmtId="173" fontId="15" fillId="3" borderId="37" xfId="222" applyNumberFormat="1" applyFont="1" applyFill="1" applyBorder="1" applyAlignment="1">
      <alignment horizontal="right"/>
    </xf>
    <xf numFmtId="174" fontId="16" fillId="0" borderId="15" xfId="1" applyNumberFormat="1" applyFont="1" applyBorder="1"/>
    <xf numFmtId="0" fontId="105" fillId="0" borderId="0" xfId="222" applyFont="1" applyAlignment="1">
      <alignment horizontal="left" wrapText="1"/>
    </xf>
    <xf numFmtId="174" fontId="16" fillId="0" borderId="0" xfId="1" applyNumberFormat="1" applyFont="1"/>
    <xf numFmtId="174" fontId="16" fillId="0" borderId="43" xfId="1" applyNumberFormat="1" applyFont="1" applyBorder="1"/>
    <xf numFmtId="174" fontId="16" fillId="0" borderId="44" xfId="1" applyNumberFormat="1" applyFont="1" applyBorder="1"/>
    <xf numFmtId="174" fontId="16" fillId="0" borderId="45" xfId="1" applyNumberFormat="1" applyFont="1" applyBorder="1"/>
    <xf numFmtId="174" fontId="16" fillId="0" borderId="46" xfId="1" applyNumberFormat="1" applyFont="1" applyBorder="1"/>
    <xf numFmtId="174" fontId="16" fillId="0" borderId="0" xfId="1" applyNumberFormat="1" applyFont="1" applyFill="1" applyBorder="1"/>
    <xf numFmtId="174" fontId="16" fillId="0" borderId="47" xfId="1" applyNumberFormat="1" applyFont="1" applyBorder="1"/>
    <xf numFmtId="174" fontId="16" fillId="0" borderId="48" xfId="1" applyNumberFormat="1" applyFont="1" applyBorder="1"/>
    <xf numFmtId="174" fontId="16" fillId="0" borderId="49" xfId="1" applyNumberFormat="1" applyFont="1" applyBorder="1"/>
    <xf numFmtId="174" fontId="16" fillId="0" borderId="50" xfId="1" applyNumberFormat="1" applyFont="1" applyBorder="1"/>
    <xf numFmtId="174" fontId="16" fillId="0" borderId="1" xfId="1" applyNumberFormat="1" applyFont="1" applyBorder="1"/>
    <xf numFmtId="174" fontId="16" fillId="0" borderId="10" xfId="1" applyNumberFormat="1" applyFont="1" applyBorder="1"/>
    <xf numFmtId="0" fontId="110" fillId="3" borderId="0" xfId="222" applyFont="1" applyFill="1"/>
    <xf numFmtId="0" fontId="19" fillId="0" borderId="0" xfId="5" applyFont="1"/>
    <xf numFmtId="1" fontId="16" fillId="0" borderId="0" xfId="222" applyNumberFormat="1" applyFont="1"/>
    <xf numFmtId="0" fontId="16" fillId="34" borderId="39" xfId="222" applyFont="1" applyFill="1" applyBorder="1"/>
    <xf numFmtId="168" fontId="16" fillId="34" borderId="54" xfId="2" applyNumberFormat="1" applyFont="1" applyFill="1" applyBorder="1"/>
    <xf numFmtId="168" fontId="16" fillId="34" borderId="40" xfId="2" applyNumberFormat="1" applyFont="1" applyFill="1" applyBorder="1"/>
    <xf numFmtId="0" fontId="16" fillId="34" borderId="41" xfId="222" applyFont="1" applyFill="1" applyBorder="1"/>
    <xf numFmtId="168" fontId="16" fillId="34" borderId="38" xfId="2" applyNumberFormat="1" applyFont="1" applyFill="1" applyBorder="1"/>
    <xf numFmtId="168" fontId="16" fillId="34" borderId="42" xfId="2" applyNumberFormat="1" applyFont="1" applyFill="1" applyBorder="1"/>
    <xf numFmtId="168" fontId="16" fillId="0" borderId="0" xfId="2" applyNumberFormat="1" applyFont="1" applyBorder="1"/>
    <xf numFmtId="0" fontId="16" fillId="32" borderId="39" xfId="222" applyFont="1" applyFill="1" applyBorder="1"/>
    <xf numFmtId="191" fontId="16" fillId="32" borderId="54" xfId="222" applyNumberFormat="1" applyFont="1" applyFill="1" applyBorder="1"/>
    <xf numFmtId="191" fontId="16" fillId="32" borderId="40" xfId="222" applyNumberFormat="1" applyFont="1" applyFill="1" applyBorder="1"/>
    <xf numFmtId="0" fontId="16" fillId="32" borderId="41" xfId="222" applyFont="1" applyFill="1" applyBorder="1"/>
    <xf numFmtId="191" fontId="16" fillId="32" borderId="38" xfId="222" applyNumberFormat="1" applyFont="1" applyFill="1" applyBorder="1"/>
    <xf numFmtId="191" fontId="16" fillId="32" borderId="42" xfId="222" applyNumberFormat="1" applyFont="1" applyFill="1" applyBorder="1"/>
    <xf numFmtId="9" fontId="16" fillId="0" borderId="0" xfId="2" applyFont="1"/>
    <xf numFmtId="0" fontId="93" fillId="3" borderId="0" xfId="222" applyFont="1" applyFill="1" applyAlignment="1">
      <alignment horizontal="justify" vertical="center"/>
    </xf>
    <xf numFmtId="0" fontId="94" fillId="0" borderId="0" xfId="222" applyFont="1" applyAlignment="1">
      <alignment horizontal="justify" vertical="center"/>
    </xf>
    <xf numFmtId="0" fontId="94" fillId="0" borderId="0" xfId="222" applyFont="1"/>
    <xf numFmtId="0" fontId="94" fillId="0" borderId="0" xfId="222" applyFont="1" applyAlignment="1">
      <alignment vertical="center"/>
    </xf>
    <xf numFmtId="0" fontId="13" fillId="3" borderId="0" xfId="222" applyFont="1" applyFill="1" applyAlignment="1">
      <alignment vertical="center"/>
    </xf>
    <xf numFmtId="0" fontId="11" fillId="0" borderId="0" xfId="222" applyFont="1" applyAlignment="1">
      <alignment vertical="center"/>
    </xf>
    <xf numFmtId="3" fontId="11" fillId="0" borderId="0" xfId="222" applyNumberFormat="1" applyFont="1" applyAlignment="1">
      <alignment vertical="center"/>
    </xf>
    <xf numFmtId="0" fontId="111" fillId="0" borderId="0" xfId="222" applyFont="1" applyAlignment="1">
      <alignment vertical="center"/>
    </xf>
    <xf numFmtId="3" fontId="14" fillId="0" borderId="0" xfId="222" applyNumberFormat="1" applyFont="1" applyAlignment="1">
      <alignment vertical="center"/>
    </xf>
    <xf numFmtId="9" fontId="11" fillId="0" borderId="0" xfId="2" applyFont="1" applyAlignment="1">
      <alignment vertical="center"/>
    </xf>
    <xf numFmtId="172" fontId="5" fillId="0" borderId="0" xfId="222" applyNumberFormat="1" applyFont="1"/>
    <xf numFmtId="172" fontId="3" fillId="0" borderId="0" xfId="222" applyNumberFormat="1" applyFont="1"/>
    <xf numFmtId="166" fontId="16" fillId="0" borderId="0" xfId="1" applyNumberFormat="1" applyFont="1"/>
    <xf numFmtId="166" fontId="16" fillId="0" borderId="0" xfId="1" applyNumberFormat="1" applyFont="1" applyFill="1"/>
    <xf numFmtId="0" fontId="93" fillId="0" borderId="0" xfId="222" applyFont="1" applyAlignment="1">
      <alignment vertical="center"/>
    </xf>
    <xf numFmtId="0" fontId="93" fillId="0" borderId="0" xfId="222" applyFont="1" applyAlignment="1">
      <alignment horizontal="right" vertical="center"/>
    </xf>
    <xf numFmtId="0" fontId="93" fillId="0" borderId="0" xfId="222" applyFont="1" applyAlignment="1">
      <alignment horizontal="justify" vertical="center"/>
    </xf>
    <xf numFmtId="0" fontId="5" fillId="0" borderId="33" xfId="222" applyFont="1" applyBorder="1" applyAlignment="1">
      <alignment vertical="center"/>
    </xf>
    <xf numFmtId="9" fontId="73" fillId="0" borderId="0" xfId="210" applyFont="1">
      <alignment vertical="center"/>
    </xf>
    <xf numFmtId="180" fontId="3" fillId="0" borderId="30" xfId="222" applyNumberFormat="1" applyFont="1" applyBorder="1" applyAlignment="1">
      <alignment vertical="center"/>
    </xf>
    <xf numFmtId="0" fontId="70" fillId="3" borderId="31" xfId="222" applyFont="1" applyFill="1" applyBorder="1" applyAlignment="1">
      <alignment horizontal="right" vertical="center"/>
    </xf>
    <xf numFmtId="0" fontId="5" fillId="0" borderId="30" xfId="222" applyFont="1" applyBorder="1" applyAlignment="1">
      <alignment vertical="center"/>
    </xf>
    <xf numFmtId="180" fontId="112" fillId="0" borderId="0" xfId="222" applyNumberFormat="1" applyFont="1" applyAlignment="1">
      <alignment vertical="center"/>
    </xf>
    <xf numFmtId="9" fontId="77" fillId="0" borderId="0" xfId="210" applyFont="1">
      <alignment vertical="center"/>
    </xf>
    <xf numFmtId="180" fontId="3" fillId="0" borderId="0" xfId="222" applyNumberFormat="1" applyFont="1" applyAlignment="1">
      <alignment vertical="center" wrapText="1"/>
    </xf>
    <xf numFmtId="9" fontId="77" fillId="0" borderId="0" xfId="210" applyFont="1" applyAlignment="1">
      <alignment vertical="center"/>
    </xf>
    <xf numFmtId="180" fontId="5" fillId="0" borderId="34" xfId="222" applyNumberFormat="1" applyFont="1" applyBorder="1" applyAlignment="1">
      <alignment vertical="center"/>
    </xf>
    <xf numFmtId="9" fontId="77" fillId="0" borderId="0" xfId="210" applyFont="1" applyFill="1">
      <alignment vertical="center"/>
    </xf>
    <xf numFmtId="9" fontId="3" fillId="0" borderId="0" xfId="210" applyFont="1" applyAlignment="1">
      <alignment vertical="center"/>
    </xf>
    <xf numFmtId="0" fontId="113" fillId="0" borderId="0" xfId="222" applyFont="1"/>
    <xf numFmtId="9" fontId="3" fillId="0" borderId="0" xfId="222" applyNumberFormat="1" applyFont="1"/>
    <xf numFmtId="0" fontId="5" fillId="0" borderId="34" xfId="222" applyFont="1" applyBorder="1" applyAlignment="1">
      <alignment vertical="center"/>
    </xf>
    <xf numFmtId="0" fontId="7" fillId="0" borderId="0" xfId="222" applyFont="1" applyAlignment="1">
      <alignment vertical="center"/>
    </xf>
    <xf numFmtId="0" fontId="7" fillId="0" borderId="30" xfId="222" applyFont="1" applyBorder="1" applyAlignment="1">
      <alignment vertical="center"/>
    </xf>
    <xf numFmtId="0" fontId="7" fillId="0" borderId="30" xfId="222" applyFont="1" applyBorder="1" applyAlignment="1">
      <alignment horizontal="right" vertical="center"/>
    </xf>
    <xf numFmtId="9" fontId="3" fillId="2" borderId="0" xfId="14" applyFont="1" applyFill="1" applyAlignment="1">
      <alignment horizontal="right"/>
    </xf>
    <xf numFmtId="3" fontId="3" fillId="2" borderId="0" xfId="13" applyNumberFormat="1" applyFont="1" applyFill="1" applyAlignment="1"/>
    <xf numFmtId="0" fontId="107" fillId="0" borderId="0" xfId="222" applyFont="1" applyAlignment="1">
      <alignment horizontal="left" wrapText="1"/>
    </xf>
    <xf numFmtId="0" fontId="108" fillId="0" borderId="0" xfId="222" applyFont="1" applyAlignment="1">
      <alignment horizontal="left" wrapText="1"/>
    </xf>
    <xf numFmtId="167" fontId="5" fillId="0" borderId="0" xfId="13" applyNumberFormat="1" applyFont="1" applyFill="1" applyAlignment="1"/>
    <xf numFmtId="167" fontId="3" fillId="0" borderId="0" xfId="13" applyNumberFormat="1" applyFont="1" applyFill="1" applyAlignment="1"/>
    <xf numFmtId="0" fontId="114" fillId="3" borderId="3" xfId="222" applyFont="1" applyFill="1" applyBorder="1"/>
    <xf numFmtId="1" fontId="4" fillId="0" borderId="0" xfId="220" applyNumberFormat="1" applyFont="1" applyFill="1"/>
    <xf numFmtId="0" fontId="106" fillId="0" borderId="0" xfId="222" applyFont="1" applyAlignment="1">
      <alignment horizontal="left"/>
    </xf>
    <xf numFmtId="0" fontId="4" fillId="0" borderId="0" xfId="220" applyNumberFormat="1" applyFont="1" applyFill="1"/>
    <xf numFmtId="168" fontId="16" fillId="0" borderId="0" xfId="2" applyNumberFormat="1" applyFont="1"/>
    <xf numFmtId="43" fontId="16" fillId="0" borderId="0" xfId="222" applyNumberFormat="1" applyFont="1"/>
    <xf numFmtId="14" fontId="16" fillId="0" borderId="0" xfId="222" applyNumberFormat="1" applyFont="1"/>
    <xf numFmtId="172" fontId="16" fillId="0" borderId="0" xfId="222" applyNumberFormat="1" applyFont="1"/>
    <xf numFmtId="2" fontId="16" fillId="0" borderId="0" xfId="2" applyNumberFormat="1" applyFont="1"/>
    <xf numFmtId="0" fontId="94" fillId="0" borderId="0" xfId="222" applyFont="1" applyAlignment="1">
      <alignment horizontal="center" vertical="center"/>
    </xf>
    <xf numFmtId="0" fontId="0" fillId="0" borderId="0" xfId="222" applyFont="1" applyAlignment="1">
      <alignment wrapText="1"/>
    </xf>
    <xf numFmtId="0" fontId="118" fillId="36" borderId="0" xfId="222" applyFont="1" applyFill="1" applyAlignment="1">
      <alignment wrapText="1"/>
    </xf>
    <xf numFmtId="0" fontId="120" fillId="0" borderId="0" xfId="222" applyFont="1"/>
    <xf numFmtId="0" fontId="117" fillId="35" borderId="0" xfId="222" applyFont="1" applyFill="1"/>
    <xf numFmtId="0" fontId="119" fillId="0" borderId="0" xfId="222" applyFont="1" applyAlignment="1">
      <alignment wrapText="1"/>
    </xf>
    <xf numFmtId="0" fontId="115" fillId="35" borderId="0" xfId="222" applyFont="1" applyFill="1" applyAlignment="1">
      <alignment horizontal="left" vertical="center"/>
    </xf>
    <xf numFmtId="0" fontId="116" fillId="0" borderId="0" xfId="222" applyFont="1" applyAlignment="1">
      <alignment wrapText="1"/>
    </xf>
    <xf numFmtId="0" fontId="0" fillId="0" borderId="0" xfId="222" applyFont="1" applyAlignment="1">
      <alignment wrapText="1"/>
    </xf>
    <xf numFmtId="0" fontId="100" fillId="0" borderId="0" xfId="222" applyFont="1" applyAlignment="1">
      <alignment horizontal="center" vertical="center"/>
    </xf>
    <xf numFmtId="0" fontId="100" fillId="0" borderId="0" xfId="222" applyFont="1" applyAlignment="1">
      <alignment vertical="center"/>
    </xf>
    <xf numFmtId="0" fontId="100" fillId="0" borderId="52" xfId="222" applyFont="1" applyBorder="1" applyAlignment="1">
      <alignment vertical="center"/>
    </xf>
    <xf numFmtId="0" fontId="100" fillId="0" borderId="53" xfId="222" applyFont="1" applyBorder="1" applyAlignment="1">
      <alignment vertical="center"/>
    </xf>
    <xf numFmtId="0" fontId="16" fillId="0" borderId="0" xfId="222" applyFont="1" applyAlignment="1">
      <alignment horizontal="left" vertical="center"/>
    </xf>
    <xf numFmtId="0" fontId="0" fillId="0" borderId="33" xfId="222" applyFont="1" applyBorder="1" applyAlignment="1">
      <alignment horizontal="left" vertical="center"/>
    </xf>
    <xf numFmtId="0" fontId="16" fillId="0" borderId="31" xfId="222" applyFont="1" applyBorder="1" applyAlignment="1">
      <alignment vertical="center"/>
    </xf>
    <xf numFmtId="0" fontId="0" fillId="0" borderId="0" xfId="222" applyFont="1" applyAlignment="1">
      <alignment vertical="center"/>
    </xf>
    <xf numFmtId="0" fontId="0" fillId="0" borderId="33" xfId="222" applyFont="1" applyBorder="1" applyAlignment="1">
      <alignment vertical="center"/>
    </xf>
    <xf numFmtId="0" fontId="16" fillId="0" borderId="31" xfId="222" applyFont="1" applyBorder="1" applyAlignment="1">
      <alignment horizontal="left" vertical="center"/>
    </xf>
    <xf numFmtId="0" fontId="0" fillId="0" borderId="0" xfId="222" applyFont="1" applyAlignment="1">
      <alignment horizontal="left" vertical="center"/>
    </xf>
    <xf numFmtId="0" fontId="15" fillId="3" borderId="0" xfId="222" applyFont="1" applyFill="1" applyAlignment="1">
      <alignment horizontal="center" vertical="center" wrapText="1"/>
    </xf>
    <xf numFmtId="0" fontId="94" fillId="0" borderId="0" xfId="222" applyFont="1" applyAlignment="1">
      <alignment horizontal="center" vertical="center"/>
    </xf>
    <xf numFmtId="0" fontId="15" fillId="3" borderId="8" xfId="222" applyFont="1" applyFill="1" applyBorder="1" applyAlignment="1">
      <alignment horizontal="center" wrapText="1"/>
    </xf>
    <xf numFmtId="0" fontId="15" fillId="3" borderId="4" xfId="222" applyFont="1" applyFill="1" applyBorder="1" applyAlignment="1">
      <alignment horizontal="center" wrapText="1"/>
    </xf>
    <xf numFmtId="0" fontId="15" fillId="3" borderId="5" xfId="222" applyFont="1" applyFill="1" applyBorder="1" applyAlignment="1">
      <alignment horizontal="center" wrapText="1"/>
    </xf>
  </cellXfs>
  <cellStyles count="223">
    <cellStyle name="_ET_STYLE_NoName_00_" xfId="24" xr:uid="{00000000-0005-0000-0000-000000000000}"/>
    <cellStyle name="01_Page Heading" xfId="25" xr:uid="{00000000-0005-0000-0000-000001000000}"/>
    <cellStyle name="02_Rule above and below" xfId="26" xr:uid="{00000000-0005-0000-0000-000002000000}"/>
    <cellStyle name="03_Table Notes" xfId="27" xr:uid="{00000000-0005-0000-0000-000003000000}"/>
    <cellStyle name="04_Bold table figs" xfId="28" xr:uid="{00000000-0005-0000-0000-000004000000}"/>
    <cellStyle name="05_table figs" xfId="29" xr:uid="{00000000-0005-0000-0000-000005000000}"/>
    <cellStyle name="06_per cent" xfId="30" xr:uid="{00000000-0005-0000-0000-000006000000}"/>
    <cellStyle name="07_Bold table text" xfId="31" xr:uid="{00000000-0005-0000-0000-000007000000}"/>
    <cellStyle name="20% - 强调文字颜色 1 2" xfId="32" xr:uid="{00000000-0005-0000-0000-000008000000}"/>
    <cellStyle name="20% - 强调文字颜色 1 3" xfId="33" xr:uid="{00000000-0005-0000-0000-000009000000}"/>
    <cellStyle name="20% - 强调文字颜色 2 2" xfId="34" xr:uid="{00000000-0005-0000-0000-00000A000000}"/>
    <cellStyle name="20% - 强调文字颜色 2 3" xfId="35" xr:uid="{00000000-0005-0000-0000-00000B000000}"/>
    <cellStyle name="20% - 强调文字颜色 3 2" xfId="36" xr:uid="{00000000-0005-0000-0000-00000C000000}"/>
    <cellStyle name="20% - 强调文字颜色 3 3" xfId="37" xr:uid="{00000000-0005-0000-0000-00000D000000}"/>
    <cellStyle name="20% - 强调文字颜色 4 2" xfId="38" xr:uid="{00000000-0005-0000-0000-00000E000000}"/>
    <cellStyle name="20% - 强调文字颜色 4 3" xfId="39" xr:uid="{00000000-0005-0000-0000-00000F000000}"/>
    <cellStyle name="20% - 强调文字颜色 5 2" xfId="40" xr:uid="{00000000-0005-0000-0000-000010000000}"/>
    <cellStyle name="20% - 强调文字颜色 5 3" xfId="41" xr:uid="{00000000-0005-0000-0000-000011000000}"/>
    <cellStyle name="20% - 强调文字颜色 6 2" xfId="42" xr:uid="{00000000-0005-0000-0000-000012000000}"/>
    <cellStyle name="20% - 强调文字颜色 6 3" xfId="43" xr:uid="{00000000-0005-0000-0000-000013000000}"/>
    <cellStyle name="20% - 着色 1 2" xfId="44" xr:uid="{00000000-0005-0000-0000-000014000000}"/>
    <cellStyle name="20% - 着色 2 2" xfId="45" xr:uid="{00000000-0005-0000-0000-000015000000}"/>
    <cellStyle name="20% - 着色 3 2" xfId="46" xr:uid="{00000000-0005-0000-0000-000016000000}"/>
    <cellStyle name="20% - 着色 4 2" xfId="47" xr:uid="{00000000-0005-0000-0000-000017000000}"/>
    <cellStyle name="20% - 着色 5 2" xfId="48" xr:uid="{00000000-0005-0000-0000-000018000000}"/>
    <cellStyle name="20% - 着色 6 2" xfId="49" xr:uid="{00000000-0005-0000-0000-000019000000}"/>
    <cellStyle name="40% - 强调文字颜色 1 2" xfId="50" xr:uid="{00000000-0005-0000-0000-00001A000000}"/>
    <cellStyle name="40% - 强调文字颜色 1 3" xfId="51" xr:uid="{00000000-0005-0000-0000-00001B000000}"/>
    <cellStyle name="40% - 强调文字颜色 2 2" xfId="52" xr:uid="{00000000-0005-0000-0000-00001C000000}"/>
    <cellStyle name="40% - 强调文字颜色 2 3" xfId="53" xr:uid="{00000000-0005-0000-0000-00001D000000}"/>
    <cellStyle name="40% - 强调文字颜色 3 2" xfId="54" xr:uid="{00000000-0005-0000-0000-00001E000000}"/>
    <cellStyle name="40% - 强调文字颜色 3 3" xfId="55" xr:uid="{00000000-0005-0000-0000-00001F000000}"/>
    <cellStyle name="40% - 强调文字颜色 4 2" xfId="56" xr:uid="{00000000-0005-0000-0000-000020000000}"/>
    <cellStyle name="40% - 强调文字颜色 4 3" xfId="57" xr:uid="{00000000-0005-0000-0000-000021000000}"/>
    <cellStyle name="40% - 强调文字颜色 5 2" xfId="58" xr:uid="{00000000-0005-0000-0000-000022000000}"/>
    <cellStyle name="40% - 强调文字颜色 5 3" xfId="59" xr:uid="{00000000-0005-0000-0000-000023000000}"/>
    <cellStyle name="40% - 强调文字颜色 6 2" xfId="60" xr:uid="{00000000-0005-0000-0000-000024000000}"/>
    <cellStyle name="40% - 强调文字颜色 6 3" xfId="61" xr:uid="{00000000-0005-0000-0000-000025000000}"/>
    <cellStyle name="40% - 着色 1 2" xfId="62" xr:uid="{00000000-0005-0000-0000-000026000000}"/>
    <cellStyle name="40% - 着色 2 2" xfId="63" xr:uid="{00000000-0005-0000-0000-000027000000}"/>
    <cellStyle name="40% - 着色 3 2" xfId="64" xr:uid="{00000000-0005-0000-0000-000028000000}"/>
    <cellStyle name="40% - 着色 4 2" xfId="65" xr:uid="{00000000-0005-0000-0000-000029000000}"/>
    <cellStyle name="40% - 着色 5 2" xfId="66" xr:uid="{00000000-0005-0000-0000-00002A000000}"/>
    <cellStyle name="40% - 着色 6 2" xfId="67" xr:uid="{00000000-0005-0000-0000-00002B000000}"/>
    <cellStyle name="60% - 强调文字颜色 1 2" xfId="68" xr:uid="{00000000-0005-0000-0000-00002C000000}"/>
    <cellStyle name="60% - 强调文字颜色 1 3" xfId="69" xr:uid="{00000000-0005-0000-0000-00002D000000}"/>
    <cellStyle name="60% - 强调文字颜色 2 2" xfId="70" xr:uid="{00000000-0005-0000-0000-00002E000000}"/>
    <cellStyle name="60% - 强调文字颜色 2 3" xfId="71" xr:uid="{00000000-0005-0000-0000-00002F000000}"/>
    <cellStyle name="60% - 强调文字颜色 3 2" xfId="72" xr:uid="{00000000-0005-0000-0000-000030000000}"/>
    <cellStyle name="60% - 强调文字颜色 3 3" xfId="73" xr:uid="{00000000-0005-0000-0000-000031000000}"/>
    <cellStyle name="60% - 强调文字颜色 4 2" xfId="74" xr:uid="{00000000-0005-0000-0000-000032000000}"/>
    <cellStyle name="60% - 强调文字颜色 4 3" xfId="75" xr:uid="{00000000-0005-0000-0000-000033000000}"/>
    <cellStyle name="60% - 强调文字颜色 5 2" xfId="76" xr:uid="{00000000-0005-0000-0000-000034000000}"/>
    <cellStyle name="60% - 强调文字颜色 5 3" xfId="77" xr:uid="{00000000-0005-0000-0000-000035000000}"/>
    <cellStyle name="60% - 强调文字颜色 6 2" xfId="78" xr:uid="{00000000-0005-0000-0000-000036000000}"/>
    <cellStyle name="60% - 强调文字颜色 6 3" xfId="79" xr:uid="{00000000-0005-0000-0000-000037000000}"/>
    <cellStyle name="60% - 着色 1 2" xfId="80" xr:uid="{00000000-0005-0000-0000-000038000000}"/>
    <cellStyle name="60% - 着色 2 2" xfId="81" xr:uid="{00000000-0005-0000-0000-000039000000}"/>
    <cellStyle name="60% - 着色 3 2" xfId="82" xr:uid="{00000000-0005-0000-0000-00003A000000}"/>
    <cellStyle name="60% - 着色 4 2" xfId="83" xr:uid="{00000000-0005-0000-0000-00003B000000}"/>
    <cellStyle name="60% - 着色 5 2" xfId="84" xr:uid="{00000000-0005-0000-0000-00003C000000}"/>
    <cellStyle name="60% - 着色 6 2" xfId="85" xr:uid="{00000000-0005-0000-0000-00003D000000}"/>
    <cellStyle name="C01_Main head" xfId="86" xr:uid="{00000000-0005-0000-0000-00003E000000}"/>
    <cellStyle name="C02_Column heads" xfId="87" xr:uid="{00000000-0005-0000-0000-00003F000000}"/>
    <cellStyle name="C03_Sub head bold" xfId="88" xr:uid="{00000000-0005-0000-0000-000040000000}"/>
    <cellStyle name="C03a_Sub head" xfId="89" xr:uid="{00000000-0005-0000-0000-000041000000}"/>
    <cellStyle name="C04_Total text white bold" xfId="90" xr:uid="{00000000-0005-0000-0000-000042000000}"/>
    <cellStyle name="C04a_Total text black with rule" xfId="91" xr:uid="{00000000-0005-0000-0000-000043000000}"/>
    <cellStyle name="C05_Main text" xfId="92" xr:uid="{00000000-0005-0000-0000-000044000000}"/>
    <cellStyle name="C06_Figs" xfId="93" xr:uid="{00000000-0005-0000-0000-000045000000}"/>
    <cellStyle name="C07_Figs 1 dec percent" xfId="94" xr:uid="{00000000-0005-0000-0000-000046000000}"/>
    <cellStyle name="C08_Figs 1 decimal" xfId="95" xr:uid="{00000000-0005-0000-0000-000047000000}"/>
    <cellStyle name="C09_Notes" xfId="96" xr:uid="{00000000-0005-0000-0000-000048000000}"/>
    <cellStyle name="Comma 17" xfId="215" xr:uid="{00000000-0005-0000-0000-000049000000}"/>
    <cellStyle name="Comma 2" xfId="209" xr:uid="{00000000-0005-0000-0000-00004A000000}"/>
    <cellStyle name="Comma 2 2" xfId="211" xr:uid="{00000000-0005-0000-0000-00004B000000}"/>
    <cellStyle name="Comma 2 3" xfId="220" xr:uid="{00000000-0005-0000-0000-00004C000000}"/>
    <cellStyle name="Comma 3 2" xfId="97" xr:uid="{00000000-0005-0000-0000-00004D000000}"/>
    <cellStyle name="Comma 5" xfId="98" xr:uid="{00000000-0005-0000-0000-00004E000000}"/>
    <cellStyle name="Normal" xfId="0" builtinId="0"/>
    <cellStyle name="Normal 15" xfId="213" xr:uid="{00000000-0005-0000-0000-00004F000000}"/>
    <cellStyle name="Normal 15 7" xfId="219" xr:uid="{00000000-0005-0000-0000-000050000000}"/>
    <cellStyle name="Normal 2" xfId="3" xr:uid="{00000000-0005-0000-0000-000051000000}"/>
    <cellStyle name="Normal 2 5 5" xfId="218" xr:uid="{00000000-0005-0000-0000-000052000000}"/>
    <cellStyle name="Normal 209" xfId="214" xr:uid="{00000000-0005-0000-0000-000053000000}"/>
    <cellStyle name="Normal 3" xfId="99" xr:uid="{00000000-0005-0000-0000-000054000000}"/>
    <cellStyle name="Normal 3 2" xfId="100" xr:uid="{00000000-0005-0000-0000-000055000000}"/>
    <cellStyle name="Normal 33" xfId="101" xr:uid="{00000000-0005-0000-0000-000056000000}"/>
    <cellStyle name="Normal 75 7" xfId="5" xr:uid="{00000000-0005-0000-0000-000057000000}"/>
    <cellStyle name="Normal 8" xfId="102" xr:uid="{00000000-0005-0000-0000-000058000000}"/>
    <cellStyle name="Normal 9 10" xfId="103" xr:uid="{00000000-0005-0000-0000-000059000000}"/>
    <cellStyle name="Percent 16" xfId="216" xr:uid="{00000000-0005-0000-0000-00005A000000}"/>
    <cellStyle name="Percent 2" xfId="210" xr:uid="{00000000-0005-0000-0000-00005B000000}"/>
    <cellStyle name="Percent 2 10" xfId="104" xr:uid="{00000000-0005-0000-0000-00005C000000}"/>
    <cellStyle name="Percent 3" xfId="105" xr:uid="{00000000-0005-0000-0000-00005D000000}"/>
    <cellStyle name="Percent 8" xfId="106" xr:uid="{00000000-0005-0000-0000-00005E000000}"/>
    <cellStyle name="Title 3" xfId="212" xr:uid="{00000000-0005-0000-0000-00005F000000}"/>
    <cellStyle name="千位分隔" xfId="1" xr:uid="{00000000-0005-0000-0000-0000B5000000}"/>
    <cellStyle name="千位分隔 2" xfId="13" xr:uid="{00000000-0005-0000-0000-0000B6000000}"/>
    <cellStyle name="千位分隔 2 2" xfId="167" xr:uid="{00000000-0005-0000-0000-0000B7000000}"/>
    <cellStyle name="千位分隔 3" xfId="16" xr:uid="{00000000-0005-0000-0000-0000B8000000}"/>
    <cellStyle name="千位分隔 4" xfId="168" xr:uid="{00000000-0005-0000-0000-0000B9000000}"/>
    <cellStyle name="千位分隔 4 2" xfId="169" xr:uid="{00000000-0005-0000-0000-0000BA000000}"/>
    <cellStyle name="千位分隔 5" xfId="170" xr:uid="{00000000-0005-0000-0000-0000BB000000}"/>
    <cellStyle name="千位分隔 6" xfId="171" xr:uid="{00000000-0005-0000-0000-0000BC000000}"/>
    <cellStyle name="千位分隔 7" xfId="7" xr:uid="{00000000-0005-0000-0000-0000BD000000}"/>
    <cellStyle name="好 2" xfId="145" xr:uid="{00000000-0005-0000-0000-00009E000000}"/>
    <cellStyle name="好 3" xfId="146" xr:uid="{00000000-0005-0000-0000-00009F000000}"/>
    <cellStyle name="好 4" xfId="147" xr:uid="{00000000-0005-0000-0000-0000A0000000}"/>
    <cellStyle name="差 2" xfId="125" xr:uid="{00000000-0005-0000-0000-000077000000}"/>
    <cellStyle name="差 3" xfId="126" xr:uid="{00000000-0005-0000-0000-000078000000}"/>
    <cellStyle name="差 4" xfId="127" xr:uid="{00000000-0005-0000-0000-000079000000}"/>
    <cellStyle name="常规" xfId="222" xr:uid="{00000000-0005-0000-0000-00007A000000}"/>
    <cellStyle name="常规 10" xfId="128" xr:uid="{00000000-0005-0000-0000-00007B000000}"/>
    <cellStyle name="常规 11" xfId="129" xr:uid="{00000000-0005-0000-0000-00007C000000}"/>
    <cellStyle name="常规 12" xfId="130" xr:uid="{00000000-0005-0000-0000-00007D000000}"/>
    <cellStyle name="常规 12 2" xfId="131" xr:uid="{00000000-0005-0000-0000-00007E000000}"/>
    <cellStyle name="常规 13" xfId="132" xr:uid="{00000000-0005-0000-0000-00007F000000}"/>
    <cellStyle name="常规 14" xfId="133" xr:uid="{00000000-0005-0000-0000-000080000000}"/>
    <cellStyle name="常规 15" xfId="134" xr:uid="{00000000-0005-0000-0000-000081000000}"/>
    <cellStyle name="常规 16" xfId="135" xr:uid="{00000000-0005-0000-0000-000082000000}"/>
    <cellStyle name="常规 17" xfId="136" xr:uid="{00000000-0005-0000-0000-000083000000}"/>
    <cellStyle name="常规 18" xfId="137" xr:uid="{00000000-0005-0000-0000-000084000000}"/>
    <cellStyle name="常规 19" xfId="6" xr:uid="{00000000-0005-0000-0000-000085000000}"/>
    <cellStyle name="常规 2" xfId="4" xr:uid="{00000000-0005-0000-0000-000086000000}"/>
    <cellStyle name="常规 2 2" xfId="15" xr:uid="{00000000-0005-0000-0000-000087000000}"/>
    <cellStyle name="常规 2 3" xfId="12" xr:uid="{00000000-0005-0000-0000-000088000000}"/>
    <cellStyle name="常规 2 4" xfId="207" xr:uid="{00000000-0005-0000-0000-000089000000}"/>
    <cellStyle name="常规 2 4 2" xfId="221" xr:uid="{00000000-0005-0000-0000-00008A000000}"/>
    <cellStyle name="常规 2 5" xfId="217" xr:uid="{00000000-0005-0000-0000-00008B000000}"/>
    <cellStyle name="常规 2_200711-能源" xfId="138" xr:uid="{00000000-0005-0000-0000-00008C000000}"/>
    <cellStyle name="常规 20" xfId="202" xr:uid="{00000000-0005-0000-0000-00008D000000}"/>
    <cellStyle name="常规 20 2" xfId="205" xr:uid="{00000000-0005-0000-0000-00008E000000}"/>
    <cellStyle name="常规 3" xfId="17" xr:uid="{00000000-0005-0000-0000-00008F000000}"/>
    <cellStyle name="常规 3 2" xfId="139" xr:uid="{00000000-0005-0000-0000-000090000000}"/>
    <cellStyle name="常规 3_200711-能源" xfId="140" xr:uid="{00000000-0005-0000-0000-000091000000}"/>
    <cellStyle name="常规 4" xfId="18" xr:uid="{00000000-0005-0000-0000-000092000000}"/>
    <cellStyle name="常规 4 2" xfId="141" xr:uid="{00000000-0005-0000-0000-000093000000}"/>
    <cellStyle name="常规 5" xfId="19" xr:uid="{00000000-0005-0000-0000-000094000000}"/>
    <cellStyle name="常规 6" xfId="20" xr:uid="{00000000-0005-0000-0000-000095000000}"/>
    <cellStyle name="常规 7" xfId="142" xr:uid="{00000000-0005-0000-0000-000096000000}"/>
    <cellStyle name="常规 8" xfId="143" xr:uid="{00000000-0005-0000-0000-000097000000}"/>
    <cellStyle name="常规 9" xfId="144" xr:uid="{00000000-0005-0000-0000-000098000000}"/>
    <cellStyle name="强调文字颜色 1 2" xfId="172" xr:uid="{00000000-0005-0000-0000-0000BE000000}"/>
    <cellStyle name="强调文字颜色 1 3" xfId="173" xr:uid="{00000000-0005-0000-0000-0000BF000000}"/>
    <cellStyle name="强调文字颜色 2 2" xfId="174" xr:uid="{00000000-0005-0000-0000-0000C0000000}"/>
    <cellStyle name="强调文字颜色 2 3" xfId="175" xr:uid="{00000000-0005-0000-0000-0000C1000000}"/>
    <cellStyle name="强调文字颜色 3 2" xfId="176" xr:uid="{00000000-0005-0000-0000-0000C2000000}"/>
    <cellStyle name="强调文字颜色 3 3" xfId="177" xr:uid="{00000000-0005-0000-0000-0000C3000000}"/>
    <cellStyle name="强调文字颜色 4 2" xfId="178" xr:uid="{00000000-0005-0000-0000-0000C4000000}"/>
    <cellStyle name="强调文字颜色 4 3" xfId="179" xr:uid="{00000000-0005-0000-0000-0000C5000000}"/>
    <cellStyle name="强调文字颜色 5 2" xfId="180" xr:uid="{00000000-0005-0000-0000-0000C6000000}"/>
    <cellStyle name="强调文字颜色 5 3" xfId="181" xr:uid="{00000000-0005-0000-0000-0000C7000000}"/>
    <cellStyle name="强调文字颜色 6 2" xfId="182" xr:uid="{00000000-0005-0000-0000-0000C8000000}"/>
    <cellStyle name="强调文字颜色 6 3" xfId="183" xr:uid="{00000000-0005-0000-0000-0000C9000000}"/>
    <cellStyle name="强调文字颜色（黑字橙底）" xfId="9" xr:uid="{00000000-0005-0000-0000-0000CA000000}"/>
    <cellStyle name="强调文字颜色（黑字蓝底） 2" xfId="10" xr:uid="{00000000-0005-0000-0000-0000CB000000}"/>
    <cellStyle name="标题 1 2" xfId="110" xr:uid="{00000000-0005-0000-0000-000068000000}"/>
    <cellStyle name="标题 1 3" xfId="111" xr:uid="{00000000-0005-0000-0000-000069000000}"/>
    <cellStyle name="标题 1 4" xfId="112" xr:uid="{00000000-0005-0000-0000-00006A000000}"/>
    <cellStyle name="标题 2 2" xfId="113" xr:uid="{00000000-0005-0000-0000-00006B000000}"/>
    <cellStyle name="标题 2 3" xfId="114" xr:uid="{00000000-0005-0000-0000-00006C000000}"/>
    <cellStyle name="标题 2 4" xfId="115" xr:uid="{00000000-0005-0000-0000-00006D000000}"/>
    <cellStyle name="标题 3 2" xfId="116" xr:uid="{00000000-0005-0000-0000-00006E000000}"/>
    <cellStyle name="标题 3 3" xfId="117" xr:uid="{00000000-0005-0000-0000-00006F000000}"/>
    <cellStyle name="标题 3 4" xfId="118" xr:uid="{00000000-0005-0000-0000-000070000000}"/>
    <cellStyle name="标题 4 2" xfId="119" xr:uid="{00000000-0005-0000-0000-000071000000}"/>
    <cellStyle name="标题 4 3" xfId="120" xr:uid="{00000000-0005-0000-0000-000072000000}"/>
    <cellStyle name="标题 4 4" xfId="121" xr:uid="{00000000-0005-0000-0000-000073000000}"/>
    <cellStyle name="标题 5" xfId="122" xr:uid="{00000000-0005-0000-0000-000074000000}"/>
    <cellStyle name="标题 6" xfId="123" xr:uid="{00000000-0005-0000-0000-000075000000}"/>
    <cellStyle name="标题 7" xfId="124" xr:uid="{00000000-0005-0000-0000-000076000000}"/>
    <cellStyle name="样式 1" xfId="193" xr:uid="{00000000-0005-0000-0000-0000D5000000}"/>
    <cellStyle name="检查单元格 2" xfId="155" xr:uid="{00000000-0005-0000-0000-0000A8000000}"/>
    <cellStyle name="检查单元格 3" xfId="156" xr:uid="{00000000-0005-0000-0000-0000A9000000}"/>
    <cellStyle name="检查单元格 4" xfId="157" xr:uid="{00000000-0005-0000-0000-0000AA000000}"/>
    <cellStyle name="汇总 2" xfId="148" xr:uid="{00000000-0005-0000-0000-0000A1000000}"/>
    <cellStyle name="汇总 3" xfId="149" xr:uid="{00000000-0005-0000-0000-0000A2000000}"/>
    <cellStyle name="汇总 4" xfId="150" xr:uid="{00000000-0005-0000-0000-0000A3000000}"/>
    <cellStyle name="汇总 5" xfId="151" xr:uid="{00000000-0005-0000-0000-0000A4000000}"/>
    <cellStyle name="注释 2" xfId="200" xr:uid="{00000000-0005-0000-0000-0000DC000000}"/>
    <cellStyle name="注释 3" xfId="201" xr:uid="{00000000-0005-0000-0000-0000DD000000}"/>
    <cellStyle name="百分比" xfId="2" xr:uid="{00000000-0005-0000-0000-000060000000}"/>
    <cellStyle name="百分比 2" xfId="14" xr:uid="{00000000-0005-0000-0000-000061000000}"/>
    <cellStyle name="百分比 3" xfId="107" xr:uid="{00000000-0005-0000-0000-000062000000}"/>
    <cellStyle name="百分比 4" xfId="108" xr:uid="{00000000-0005-0000-0000-000063000000}"/>
    <cellStyle name="百分比 5" xfId="109" xr:uid="{00000000-0005-0000-0000-000064000000}"/>
    <cellStyle name="百分比 6" xfId="8" xr:uid="{00000000-0005-0000-0000-000065000000}"/>
    <cellStyle name="百分比 7" xfId="203" xr:uid="{00000000-0005-0000-0000-000066000000}"/>
    <cellStyle name="百分比 8" xfId="206" xr:uid="{00000000-0005-0000-0000-000067000000}"/>
    <cellStyle name="着色 1 2" xfId="194" xr:uid="{00000000-0005-0000-0000-0000D6000000}"/>
    <cellStyle name="着色 2 2" xfId="195" xr:uid="{00000000-0005-0000-0000-0000D7000000}"/>
    <cellStyle name="着色 3 2" xfId="196" xr:uid="{00000000-0005-0000-0000-0000D8000000}"/>
    <cellStyle name="着色 4 2" xfId="197" xr:uid="{00000000-0005-0000-0000-0000D9000000}"/>
    <cellStyle name="着色 5 2" xfId="198" xr:uid="{00000000-0005-0000-0000-0000DA000000}"/>
    <cellStyle name="着色 6 2" xfId="199" xr:uid="{00000000-0005-0000-0000-0000DB000000}"/>
    <cellStyle name="蓝字蓝底" xfId="11" xr:uid="{00000000-0005-0000-0000-0000B1000000}"/>
    <cellStyle name="解释性文本 2" xfId="158" xr:uid="{00000000-0005-0000-0000-0000AB000000}"/>
    <cellStyle name="解释性文本 3" xfId="159" xr:uid="{00000000-0005-0000-0000-0000AC000000}"/>
    <cellStyle name="解释性文本 4" xfId="160" xr:uid="{00000000-0005-0000-0000-0000AD000000}"/>
    <cellStyle name="计算 2" xfId="152" xr:uid="{00000000-0005-0000-0000-0000A5000000}"/>
    <cellStyle name="计算 3" xfId="153" xr:uid="{00000000-0005-0000-0000-0000A6000000}"/>
    <cellStyle name="计算 4" xfId="154" xr:uid="{00000000-0005-0000-0000-0000A7000000}"/>
    <cellStyle name="警告文本 2" xfId="161" xr:uid="{00000000-0005-0000-0000-0000AE000000}"/>
    <cellStyle name="警告文本 3" xfId="162" xr:uid="{00000000-0005-0000-0000-0000AF000000}"/>
    <cellStyle name="警告文本 4" xfId="163" xr:uid="{00000000-0005-0000-0000-0000B0000000}"/>
    <cellStyle name="超链接" xfId="208" xr:uid="{00000000-0005-0000-0000-000099000000}"/>
    <cellStyle name="超链接 2" xfId="21" xr:uid="{00000000-0005-0000-0000-00009A000000}"/>
    <cellStyle name="超链接 3" xfId="22" xr:uid="{00000000-0005-0000-0000-00009B000000}"/>
    <cellStyle name="超链接 4" xfId="23" xr:uid="{00000000-0005-0000-0000-00009C000000}"/>
    <cellStyle name="超链接 5" xfId="204" xr:uid="{00000000-0005-0000-0000-00009D000000}"/>
    <cellStyle name="输入 2" xfId="190" xr:uid="{00000000-0005-0000-0000-0000D2000000}"/>
    <cellStyle name="输入 3" xfId="191" xr:uid="{00000000-0005-0000-0000-0000D3000000}"/>
    <cellStyle name="输入 4" xfId="192" xr:uid="{00000000-0005-0000-0000-0000D4000000}"/>
    <cellStyle name="输出 2" xfId="187" xr:uid="{00000000-0005-0000-0000-0000CF000000}"/>
    <cellStyle name="输出 3" xfId="188" xr:uid="{00000000-0005-0000-0000-0000D0000000}"/>
    <cellStyle name="输出 4" xfId="189" xr:uid="{00000000-0005-0000-0000-0000D1000000}"/>
    <cellStyle name="适中 2" xfId="184" xr:uid="{00000000-0005-0000-0000-0000CC000000}"/>
    <cellStyle name="适中 3" xfId="185" xr:uid="{00000000-0005-0000-0000-0000CD000000}"/>
    <cellStyle name="适中 4" xfId="186" xr:uid="{00000000-0005-0000-0000-0000CE000000}"/>
    <cellStyle name="链接单元格 2" xfId="164" xr:uid="{00000000-0005-0000-0000-0000B2000000}"/>
    <cellStyle name="链接单元格 3" xfId="165" xr:uid="{00000000-0005-0000-0000-0000B3000000}"/>
    <cellStyle name="链接单元格 4" xfId="166" xr:uid="{00000000-0005-0000-0000-0000B4000000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2c4e144b01fa4f84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883835306429252E-2"/>
          <c:y val="0.10824887928241375"/>
          <c:w val="0.93857869678695383"/>
          <c:h val="0.737939699930267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'Financial Analysis'!$A$5</c:f>
              <c:strCache>
                <c:ptCount val="1"/>
                <c:pt idx="0">
                  <c:v>APL101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1"/>
          <c:cat>
            <c:strRef>
              <c:f>'Financial Analysis'!$B$4:$F$4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Analysis'!$B$5:$F$5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30.668977212824018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96-C44B-8EA1-0B47953D1CAF}"/>
            </c:ext>
          </c:extLst>
        </c:ser>
        <c:ser>
          <c:idx val="1"/>
          <c:order val="1"/>
          <c:tx>
            <c:strRef>
              <c:f>'Financial Analysis'!$A$6</c:f>
              <c:strCache>
                <c:ptCount val="1"/>
                <c:pt idx="0">
                  <c:v>APL121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1"/>
          <c:cat>
            <c:strRef>
              <c:f>'Financial Analysis'!$B$4:$F$4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Analysis'!$B$6:$F$6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A96-C44B-8EA1-0B47953D1CAF}"/>
            </c:ext>
          </c:extLst>
        </c:ser>
        <c:ser>
          <c:idx val="2"/>
          <c:order val="2"/>
          <c:tx>
            <c:strRef>
              <c:f>'Financial Analysis'!$A$7</c:f>
              <c:strCache>
                <c:ptCount val="1"/>
                <c:pt idx="0">
                  <c:v>APL106</c:v>
                </c:pt>
              </c:strCache>
            </c:strRef>
          </c:tx>
          <c:spPr>
            <a:solidFill>
              <a:srgbClr val="FF9999"/>
            </a:solidFill>
            <a:ln>
              <a:noFill/>
            </a:ln>
          </c:spPr>
          <c:invertIfNegative val="1"/>
          <c:cat>
            <c:strRef>
              <c:f>'Financial Analysis'!$B$4:$F$4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Analysis'!$B$7:$F$7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A96-C44B-8EA1-0B47953D1CAF}"/>
            </c:ext>
          </c:extLst>
        </c:ser>
        <c:ser>
          <c:idx val="3"/>
          <c:order val="3"/>
          <c:tx>
            <c:strRef>
              <c:f>'Financial Analysis'!$A$8</c:f>
              <c:strCache>
                <c:ptCount val="1"/>
                <c:pt idx="0">
                  <c:v>APL501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1"/>
          <c:cat>
            <c:strRef>
              <c:f>'Financial Analysis'!$B$4:$F$4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Analysis'!$B$8:$F$8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A96-C44B-8EA1-0B47953D1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9386080"/>
        <c:axId val="1837986112"/>
      </c:barChart>
      <c:catAx>
        <c:axId val="183938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7986112"/>
        <c:crosses val="autoZero"/>
        <c:auto val="1"/>
        <c:lblAlgn val="ctr"/>
        <c:lblOffset val="100"/>
        <c:noMultiLvlLbl val="0"/>
      </c:catAx>
      <c:valAx>
        <c:axId val="1837986112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938608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599757923121256E-2"/>
          <c:y val="9.9449680917442884E-2"/>
          <c:w val="0.85325983405105954"/>
          <c:h val="0.714727486873816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Analysis'!$A$34</c:f>
              <c:strCache>
                <c:ptCount val="1"/>
                <c:pt idx="0">
                  <c:v>Revenue (LHS)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Analysis'!$C$33:$G$33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Analysis'!$C$34:$G$34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5040-B987-55F511307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5688064"/>
        <c:axId val="1838906272"/>
      </c:barChart>
      <c:lineChart>
        <c:grouping val="standard"/>
        <c:varyColors val="0"/>
        <c:ser>
          <c:idx val="1"/>
          <c:order val="1"/>
          <c:tx>
            <c:strRef>
              <c:f>'Financial Analysis'!$A$35</c:f>
              <c:strCache>
                <c:ptCount val="1"/>
                <c:pt idx="0">
                  <c:v>Revenue YoY (RHS)</c:v>
                </c:pt>
              </c:strCache>
            </c:strRef>
          </c:tx>
          <c:spPr>
            <a:ln w="28575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4.1520391743261435E-2"/>
                  <c:y val="3.23526018733938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9-5040-B987-55F511307D4B}"/>
                </c:ext>
              </c:extLst>
            </c:dLbl>
            <c:dLbl>
              <c:idx val="2"/>
              <c:layout>
                <c:manualLayout>
                  <c:x val="-3.8752365627044011E-2"/>
                  <c:y val="-3.69744021410216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79-5040-B987-55F511307D4B}"/>
                </c:ext>
              </c:extLst>
            </c:dLbl>
            <c:dLbl>
              <c:idx val="3"/>
              <c:layout>
                <c:manualLayout>
                  <c:x val="-8.62577965160795E-3"/>
                  <c:y val="-8.7963048888821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79-5040-B987-55F511307D4B}"/>
                </c:ext>
              </c:extLst>
            </c:dLbl>
            <c:dLbl>
              <c:idx val="4"/>
              <c:layout>
                <c:manualLayout>
                  <c:x val="2.2829386800524093E-3"/>
                  <c:y val="-2.3912415940281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79-5040-B987-55F511307D4B}"/>
                </c:ext>
              </c:extLst>
            </c:dLbl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Analysis'!$C$33:$G$33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Analysis'!$C$35:$G$35</c:f>
              <c:numCache>
                <c:formatCode>0%</c:formatCode>
                <c:ptCount val="5"/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79-5040-B987-55F511307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223856"/>
        <c:axId val="1838859920"/>
      </c:lineChart>
      <c:catAx>
        <c:axId val="13156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8906272"/>
        <c:crosses val="autoZero"/>
        <c:auto val="1"/>
        <c:lblAlgn val="ctr"/>
        <c:lblOffset val="100"/>
        <c:noMultiLvlLbl val="0"/>
      </c:catAx>
      <c:valAx>
        <c:axId val="1838906272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5688064"/>
        <c:crosses val="autoZero"/>
        <c:crossBetween val="between"/>
      </c:valAx>
      <c:valAx>
        <c:axId val="18388599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5223856"/>
        <c:crosses val="max"/>
        <c:crossBetween val="between"/>
      </c:valAx>
      <c:catAx>
        <c:axId val="1315223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8859920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800" b="0" i="0" u="none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10866415801052E-2"/>
          <c:y val="0.10292467140976558"/>
          <c:w val="0.86468120002560311"/>
          <c:h val="0.695497673711247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Analysis'!$A$57</c:f>
              <c:strCache>
                <c:ptCount val="1"/>
                <c:pt idx="0">
                  <c:v>Gross profit (LHS)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7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Analysis'!$C$56:$G$56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Analysis'!$C$57:$G$57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8-D448-B75B-012110695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684256"/>
        <c:axId val="1338685936"/>
      </c:barChart>
      <c:lineChart>
        <c:grouping val="standard"/>
        <c:varyColors val="0"/>
        <c:ser>
          <c:idx val="1"/>
          <c:order val="1"/>
          <c:tx>
            <c:strRef>
              <c:f>'Financial Analysis'!$A$58</c:f>
              <c:strCache>
                <c:ptCount val="1"/>
                <c:pt idx="0">
                  <c:v>Gross profit YoY (RHS)</c:v>
                </c:pt>
              </c:strCache>
            </c:strRef>
          </c:tx>
          <c:spPr>
            <a:ln w="2857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7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Analysis'!$C$56:$G$56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Analysis'!$C$58:$G$58</c:f>
              <c:numCache>
                <c:formatCode>0%</c:formatCode>
                <c:ptCount val="5"/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58-D448-B75B-012110695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756880"/>
        <c:axId val="1338026640"/>
      </c:lineChart>
      <c:catAx>
        <c:axId val="133868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7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8685936"/>
        <c:crosses val="autoZero"/>
        <c:auto val="1"/>
        <c:lblAlgn val="ctr"/>
        <c:lblOffset val="100"/>
        <c:noMultiLvlLbl val="0"/>
      </c:catAx>
      <c:valAx>
        <c:axId val="1338685936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7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8684256"/>
        <c:crosses val="autoZero"/>
        <c:crossBetween val="between"/>
      </c:valAx>
      <c:valAx>
        <c:axId val="13380266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7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8756880"/>
        <c:crosses val="max"/>
        <c:crossBetween val="between"/>
      </c:valAx>
      <c:catAx>
        <c:axId val="1338756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8026640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6.0113162432365856E-2"/>
          <c:y val="0.88277863832594694"/>
          <c:w val="0.89999994691197582"/>
          <c:h val="6.2576552930883642E-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700" b="0" i="0" u="none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Analysis'!$A$88</c:f>
              <c:strCache>
                <c:ptCount val="1"/>
                <c:pt idx="0">
                  <c:v>GPM</c:v>
                </c:pt>
              </c:strCache>
            </c:strRef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Analysis'!$D$85:$G$85</c:f>
              <c:strCache>
                <c:ptCount val="4"/>
                <c:pt idx="0">
                  <c:v>2021E</c:v>
                </c:pt>
                <c:pt idx="1">
                  <c:v>2022E</c:v>
                </c:pt>
                <c:pt idx="2">
                  <c:v>2023E</c:v>
                </c:pt>
                <c:pt idx="3">
                  <c:v>2024E</c:v>
                </c:pt>
              </c:strCache>
            </c:strRef>
          </c:cat>
          <c:val>
            <c:numRef>
              <c:f>'Financial Analysis'!$D$88:$G$88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92-C942-8BD9-2C2DFAB339E2}"/>
            </c:ext>
          </c:extLst>
        </c:ser>
        <c:ser>
          <c:idx val="1"/>
          <c:order val="1"/>
          <c:tx>
            <c:strRef>
              <c:f>'Financial Analysis'!$A$89</c:f>
              <c:strCache>
                <c:ptCount val="1"/>
                <c:pt idx="0">
                  <c:v>NPM</c:v>
                </c:pt>
              </c:strCache>
            </c:strRef>
          </c:tx>
          <c:spPr>
            <a:ln w="2857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Analysis'!$D$85:$G$85</c:f>
              <c:strCache>
                <c:ptCount val="4"/>
                <c:pt idx="0">
                  <c:v>2021E</c:v>
                </c:pt>
                <c:pt idx="1">
                  <c:v>2022E</c:v>
                </c:pt>
                <c:pt idx="2">
                  <c:v>2023E</c:v>
                </c:pt>
                <c:pt idx="3">
                  <c:v>2024E</c:v>
                </c:pt>
              </c:strCache>
            </c:strRef>
          </c:cat>
          <c:val>
            <c:numRef>
              <c:f>'Financial Analysis'!$D$89:$G$89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592-C942-8BD9-2C2DFAB33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035680"/>
        <c:axId val="1839904144"/>
      </c:lineChart>
      <c:catAx>
        <c:axId val="13350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9904144"/>
        <c:crosses val="autoZero"/>
        <c:auto val="1"/>
        <c:lblAlgn val="ctr"/>
        <c:lblOffset val="100"/>
        <c:noMultiLvlLbl val="0"/>
      </c:catAx>
      <c:valAx>
        <c:axId val="1839904144"/>
        <c:scaling>
          <c:orientation val="minMax"/>
          <c:min val="-2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503568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800" b="0" i="0" u="none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578063825750677E-2"/>
          <c:y val="0.1255849713354775"/>
          <c:w val="0.89985882806369388"/>
          <c:h val="0.825078075639870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Analysis'!$A$110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Analysis'!$C$109:$F$109</c:f>
              <c:strCache>
                <c:ptCount val="4"/>
                <c:pt idx="0">
                  <c:v>2019</c:v>
                </c:pt>
                <c:pt idx="1">
                  <c:v>2020E</c:v>
                </c:pt>
                <c:pt idx="2">
                  <c:v>2021E</c:v>
                </c:pt>
                <c:pt idx="3">
                  <c:v>2022E</c:v>
                </c:pt>
              </c:strCache>
            </c:strRef>
          </c:cat>
          <c:val>
            <c:numRef>
              <c:f>'Financial Analysis'!$C$110:$F$110</c:f>
              <c:numCache>
                <c:formatCode>0</c:formatCode>
                <c:ptCount val="4"/>
                <c:pt idx="0">
                  <c:v>-45.046999999999997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FF-6A43-A1E8-9AAB1B176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055136"/>
        <c:axId val="1339901072"/>
      </c:barChart>
      <c:catAx>
        <c:axId val="133905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9901072"/>
        <c:crosses val="autoZero"/>
        <c:auto val="1"/>
        <c:lblAlgn val="ctr"/>
        <c:lblOffset val="100"/>
        <c:noMultiLvlLbl val="0"/>
      </c:catAx>
      <c:valAx>
        <c:axId val="1339901072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9055136"/>
        <c:crosses val="autoZero"/>
        <c:crossBetween val="between"/>
      </c:valAx>
      <c:spPr>
        <a:noFill/>
        <a:ln>
          <a:noFill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23819870233932E-2"/>
          <c:y val="0.10185188898071193"/>
          <c:w val="0.88521057340694009"/>
          <c:h val="0.70320709507403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'Financial Analysis'!$A$133</c:f>
              <c:strCache>
                <c:ptCount val="1"/>
                <c:pt idx="0">
                  <c:v>R&amp;D expenses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Analysis'!$B$132:$D$132</c:f>
              <c:strCache>
                <c:ptCount val="3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</c:strCache>
            </c:strRef>
          </c:cat>
          <c:val>
            <c:numRef>
              <c:f>'Financial Analysis'!$B$133:$D$133</c:f>
              <c:numCache>
                <c:formatCode>0</c:formatCode>
                <c:ptCount val="3"/>
                <c:pt idx="0">
                  <c:v>27.663</c:v>
                </c:pt>
                <c:pt idx="1">
                  <c:v>41.494500000000002</c:v>
                </c:pt>
                <c:pt idx="2">
                  <c:v>58.092300000000002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044-8D4B-9CF1-D5FB1DB066E6}"/>
            </c:ext>
          </c:extLst>
        </c:ser>
        <c:ser>
          <c:idx val="1"/>
          <c:order val="1"/>
          <c:tx>
            <c:strRef>
              <c:f>'Financial Analysis'!$A$135</c:f>
              <c:strCache>
                <c:ptCount val="1"/>
                <c:pt idx="0">
                  <c:v>Admin expense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Analysis'!$B$132:$D$132</c:f>
              <c:strCache>
                <c:ptCount val="3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</c:strCache>
            </c:strRef>
          </c:cat>
          <c:val>
            <c:numRef>
              <c:f>'Financial Analysis'!$B$135:$D$135</c:f>
              <c:numCache>
                <c:formatCode>0</c:formatCode>
                <c:ptCount val="3"/>
                <c:pt idx="0">
                  <c:v>9.4589999999999996</c:v>
                </c:pt>
                <c:pt idx="1">
                  <c:v>14.188499999999999</c:v>
                </c:pt>
                <c:pt idx="2">
                  <c:v>21.28275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044-8D4B-9CF1-D5FB1DB066E6}"/>
            </c:ext>
          </c:extLst>
        </c:ser>
        <c:ser>
          <c:idx val="2"/>
          <c:order val="2"/>
          <c:tx>
            <c:strRef>
              <c:f>'Financial Analysis'!$A$136</c:f>
              <c:strCache>
                <c:ptCount val="1"/>
                <c:pt idx="0">
                  <c:v>Cap Ex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Analysis'!$B$132:$D$132</c:f>
              <c:strCache>
                <c:ptCount val="3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</c:strCache>
            </c:strRef>
          </c:cat>
          <c:val>
            <c:numRef>
              <c:f>'Financial Analysis'!$B$136:$D$136</c:f>
              <c:numCache>
                <c:formatCode>0</c:formatCode>
                <c:ptCount val="3"/>
                <c:pt idx="0">
                  <c:v>10.313000000000001</c:v>
                </c:pt>
                <c:pt idx="1">
                  <c:v>10.356999999999999</c:v>
                </c:pt>
                <c:pt idx="2">
                  <c:v>10.356999999999999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F044-8D4B-9CF1-D5FB1DB06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4542368"/>
        <c:axId val="1314544048"/>
      </c:barChart>
      <c:catAx>
        <c:axId val="131454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4544048"/>
        <c:crosses val="autoZero"/>
        <c:auto val="1"/>
        <c:lblAlgn val="ctr"/>
        <c:lblOffset val="100"/>
        <c:noMultiLvlLbl val="0"/>
      </c:catAx>
      <c:valAx>
        <c:axId val="131454404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4542368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800" b="0" i="0" u="none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170692925491765E-2"/>
          <c:y val="0.12071495358687816"/>
          <c:w val="0.86468120002560311"/>
          <c:h val="0.71458866108508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Analysis'!$A$57</c:f>
              <c:strCache>
                <c:ptCount val="1"/>
                <c:pt idx="0">
                  <c:v>Gross profit (LHS)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Analysis'!$C$56:$M$56</c:f>
              <c:strCache>
                <c:ptCount val="11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'Financial Analysis'!$C$57:$M$57</c:f>
              <c:numCache>
                <c:formatCode>_-* #,##0_-;\-* #,##0_-;_-* "-"??_-;_-@_-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9-7D46-B1CD-6558EDBB8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684256"/>
        <c:axId val="1338685936"/>
      </c:barChart>
      <c:lineChart>
        <c:grouping val="standard"/>
        <c:varyColors val="0"/>
        <c:ser>
          <c:idx val="1"/>
          <c:order val="1"/>
          <c:tx>
            <c:strRef>
              <c:f>'Financial Analysis'!$A$58</c:f>
              <c:strCache>
                <c:ptCount val="1"/>
                <c:pt idx="0">
                  <c:v>Gross profit YoY (RHS)</c:v>
                </c:pt>
              </c:strCache>
            </c:strRef>
          </c:tx>
          <c:spPr>
            <a:ln w="2857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Lbls>
            <c:dLbl>
              <c:idx val="2"/>
              <c:layout>
                <c:manualLayout>
                  <c:x val="-4.0618098721169574E-2"/>
                  <c:y val="-8.96686214896852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79-7D46-B1CD-6558EDBB867C}"/>
                </c:ext>
              </c:extLst>
            </c:dLbl>
            <c:dLbl>
              <c:idx val="10"/>
              <c:layout>
                <c:manualLayout>
                  <c:x val="-2.0219779986504351E-2"/>
                  <c:y val="1.8199803026541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79-7D46-B1CD-6558EDBB867C}"/>
                </c:ext>
              </c:extLst>
            </c:dLbl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Analysis'!$C$56:$M$56</c:f>
              <c:strCache>
                <c:ptCount val="11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  <c:pt idx="5">
                  <c:v>2025E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'Financial Analysis'!$C$58:$M$58</c:f>
              <c:numCache>
                <c:formatCode>0%</c:formatCode>
                <c:ptCount val="11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79-7D46-B1CD-6558EDBB8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756880"/>
        <c:axId val="1338026640"/>
      </c:lineChart>
      <c:catAx>
        <c:axId val="133868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8685936"/>
        <c:crosses val="autoZero"/>
        <c:auto val="1"/>
        <c:lblAlgn val="ctr"/>
        <c:lblOffset val="100"/>
        <c:noMultiLvlLbl val="0"/>
      </c:catAx>
      <c:valAx>
        <c:axId val="1338685936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8684256"/>
        <c:crosses val="autoZero"/>
        <c:crossBetween val="between"/>
      </c:valAx>
      <c:valAx>
        <c:axId val="13380266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8756880"/>
        <c:crosses val="max"/>
        <c:crossBetween val="between"/>
      </c:valAx>
      <c:catAx>
        <c:axId val="1338756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8026640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599757923121256E-2"/>
          <c:y val="9.9449680917442884E-2"/>
          <c:w val="0.85325983405105954"/>
          <c:h val="0.714727486873816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Analysis'!$A$34</c:f>
              <c:strCache>
                <c:ptCount val="1"/>
                <c:pt idx="0">
                  <c:v>Revenue (LHS)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6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Analysis'!$C$33:$G$33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Analysis'!$C$34:$G$34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3-AF49-8CC8-AB8B720FF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5688064"/>
        <c:axId val="1838906272"/>
      </c:barChart>
      <c:lineChart>
        <c:grouping val="standard"/>
        <c:varyColors val="0"/>
        <c:ser>
          <c:idx val="1"/>
          <c:order val="1"/>
          <c:tx>
            <c:strRef>
              <c:f>'Financial Analysis'!$A$35</c:f>
              <c:strCache>
                <c:ptCount val="1"/>
                <c:pt idx="0">
                  <c:v>Revenue YoY (RHS)</c:v>
                </c:pt>
              </c:strCache>
            </c:strRef>
          </c:tx>
          <c:spPr>
            <a:ln w="28575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4.1520391743261435E-2"/>
                  <c:y val="3.23526018733938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23-AF49-8CC8-AB8B720FFF2D}"/>
                </c:ext>
              </c:extLst>
            </c:dLbl>
            <c:dLbl>
              <c:idx val="2"/>
              <c:layout>
                <c:manualLayout>
                  <c:x val="-3.8752365627044011E-2"/>
                  <c:y val="-3.69744021410216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23-AF49-8CC8-AB8B720FFF2D}"/>
                </c:ext>
              </c:extLst>
            </c:dLbl>
            <c:dLbl>
              <c:idx val="3"/>
              <c:layout>
                <c:manualLayout>
                  <c:x val="-8.62577965160795E-3"/>
                  <c:y val="-8.7963048888821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23-AF49-8CC8-AB8B720FFF2D}"/>
                </c:ext>
              </c:extLst>
            </c:dLbl>
            <c:dLbl>
              <c:idx val="4"/>
              <c:layout>
                <c:manualLayout>
                  <c:x val="-3.6111111111111108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23-AF49-8CC8-AB8B720FFF2D}"/>
                </c:ext>
              </c:extLst>
            </c:dLbl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6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Analysis'!$C$33:$G$33</c:f>
              <c:strCache>
                <c:ptCount val="5"/>
                <c:pt idx="0">
                  <c:v>2020E</c:v>
                </c:pt>
                <c:pt idx="1">
                  <c:v>2021E</c:v>
                </c:pt>
                <c:pt idx="2">
                  <c:v>2022E</c:v>
                </c:pt>
                <c:pt idx="3">
                  <c:v>2023E</c:v>
                </c:pt>
                <c:pt idx="4">
                  <c:v>2024E</c:v>
                </c:pt>
              </c:strCache>
            </c:strRef>
          </c:cat>
          <c:val>
            <c:numRef>
              <c:f>'Financial Analysis'!$C$35:$G$35</c:f>
              <c:numCache>
                <c:formatCode>0%</c:formatCode>
                <c:ptCount val="5"/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23-AF49-8CC8-AB8B720FF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223856"/>
        <c:axId val="1838859920"/>
      </c:lineChart>
      <c:catAx>
        <c:axId val="13156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6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8906272"/>
        <c:crosses val="autoZero"/>
        <c:auto val="1"/>
        <c:lblAlgn val="ctr"/>
        <c:lblOffset val="100"/>
        <c:noMultiLvlLbl val="0"/>
      </c:catAx>
      <c:valAx>
        <c:axId val="1838906272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6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5688064"/>
        <c:crosses val="autoZero"/>
        <c:crossBetween val="between"/>
      </c:valAx>
      <c:valAx>
        <c:axId val="18388599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6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5223856"/>
        <c:crosses val="max"/>
        <c:crossBetween val="between"/>
      </c:valAx>
      <c:catAx>
        <c:axId val="1315223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8859920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600" b="0" i="0" u="none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34216557275628"/>
          <c:y val="0.11574074074074074"/>
          <c:w val="0.79225522443403007"/>
          <c:h val="0.675040828229804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Analysis'!$A$78</c:f>
              <c:strCache>
                <c:ptCount val="1"/>
                <c:pt idx="0">
                  <c:v>Net income to common shareholders (LHS)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800" b="0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 Analysis'!$B$77:$E$77</c:f>
              <c:strCache>
                <c:ptCount val="4"/>
                <c:pt idx="0">
                  <c:v>2019</c:v>
                </c:pt>
                <c:pt idx="1">
                  <c:v>2020E</c:v>
                </c:pt>
                <c:pt idx="2">
                  <c:v>2021E</c:v>
                </c:pt>
                <c:pt idx="3">
                  <c:v>2022E</c:v>
                </c:pt>
              </c:strCache>
            </c:strRef>
          </c:cat>
          <c:val>
            <c:numRef>
              <c:f>'Financial Analysis'!$B$78:$E$78</c:f>
              <c:numCache>
                <c:formatCode>_-* #,##0_-;\-* #,##0_-;_-* "-"??_-;_-@_-</c:formatCode>
                <c:ptCount val="4"/>
                <c:pt idx="0">
                  <c:v>-45.905000000000001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F-8941-B12C-E3908821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1782976"/>
        <c:axId val="523758400"/>
      </c:barChart>
      <c:lineChart>
        <c:grouping val="standard"/>
        <c:varyColors val="0"/>
        <c:ser>
          <c:idx val="1"/>
          <c:order val="1"/>
          <c:tx>
            <c:strRef>
              <c:f>'Financial Analysis'!$A$79</c:f>
              <c:strCache>
                <c:ptCount val="1"/>
                <c:pt idx="0">
                  <c:v>Net income YoY (RHS)</c:v>
                </c:pt>
              </c:strCache>
            </c:strRef>
          </c:tx>
          <c:spPr>
            <a:ln w="2857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strRef>
              <c:f>'Financial Analysis'!$B$77:$E$77</c:f>
              <c:strCache>
                <c:ptCount val="4"/>
                <c:pt idx="0">
                  <c:v>2019</c:v>
                </c:pt>
                <c:pt idx="1">
                  <c:v>2020E</c:v>
                </c:pt>
                <c:pt idx="2">
                  <c:v>2021E</c:v>
                </c:pt>
                <c:pt idx="3">
                  <c:v>2022E</c:v>
                </c:pt>
              </c:strCache>
            </c:strRef>
          </c:cat>
          <c:val>
            <c:numRef>
              <c:f>'Financial Analysis'!$B$79:$E$79</c:f>
              <c:numCache>
                <c:formatCode>0%</c:formatCode>
                <c:ptCount val="4"/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2F-8941-B12C-E3908821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386976"/>
        <c:axId val="696152976"/>
      </c:lineChart>
      <c:catAx>
        <c:axId val="69178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3758400"/>
        <c:crosses val="autoZero"/>
        <c:auto val="1"/>
        <c:lblAlgn val="ctr"/>
        <c:lblOffset val="100"/>
        <c:noMultiLvlLbl val="0"/>
      </c:catAx>
      <c:valAx>
        <c:axId val="523758400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1782976"/>
        <c:crosses val="autoZero"/>
        <c:crossBetween val="between"/>
      </c:valAx>
      <c:valAx>
        <c:axId val="6961529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800" b="0" i="0" u="none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4386976"/>
        <c:crosses val="max"/>
        <c:crossBetween val="between"/>
      </c:valAx>
      <c:catAx>
        <c:axId val="834386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6152976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10672497523834652"/>
          <c:y val="0.86948527267424902"/>
          <c:w val="0.79289637885179876"/>
          <c:h val="0.10273694954797317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800" b="0" i="0" u="none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58170</xdr:colOff>
      <xdr:row>11</xdr:row>
      <xdr:rowOff>12700</xdr:rowOff>
    </xdr:from>
    <xdr:to>
      <xdr:col>10</xdr:col>
      <xdr:colOff>445520</xdr:colOff>
      <xdr:row>31</xdr:row>
      <xdr:rowOff>38099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349250</xdr:colOff>
      <xdr:row>36</xdr:row>
      <xdr:rowOff>38100</xdr:rowOff>
    </xdr:from>
    <xdr:to>
      <xdr:col>5</xdr:col>
      <xdr:colOff>438150</xdr:colOff>
      <xdr:row>51</xdr:row>
      <xdr:rowOff>114300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337430</xdr:colOff>
      <xdr:row>58</xdr:row>
      <xdr:rowOff>157962</xdr:rowOff>
    </xdr:from>
    <xdr:to>
      <xdr:col>4</xdr:col>
      <xdr:colOff>692323</xdr:colOff>
      <xdr:row>74</xdr:row>
      <xdr:rowOff>31403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287131</xdr:colOff>
      <xdr:row>90</xdr:row>
      <xdr:rowOff>25400</xdr:rowOff>
    </xdr:from>
    <xdr:to>
      <xdr:col>6</xdr:col>
      <xdr:colOff>717826</xdr:colOff>
      <xdr:row>105</xdr:row>
      <xdr:rowOff>118166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706782</xdr:colOff>
      <xdr:row>110</xdr:row>
      <xdr:rowOff>91661</xdr:rowOff>
    </xdr:from>
    <xdr:to>
      <xdr:col>5</xdr:col>
      <xdr:colOff>662608</xdr:colOff>
      <xdr:row>126</xdr:row>
      <xdr:rowOff>7731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485915</xdr:colOff>
      <xdr:row>125</xdr:row>
      <xdr:rowOff>160684</xdr:rowOff>
    </xdr:from>
    <xdr:to>
      <xdr:col>12</xdr:col>
      <xdr:colOff>159719</xdr:colOff>
      <xdr:row>141</xdr:row>
      <xdr:rowOff>76753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704022</xdr:colOff>
      <xdr:row>59</xdr:row>
      <xdr:rowOff>74542</xdr:rowOff>
    </xdr:from>
    <xdr:to>
      <xdr:col>13</xdr:col>
      <xdr:colOff>149087</xdr:colOff>
      <xdr:row>74</xdr:row>
      <xdr:rowOff>132520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41413</xdr:colOff>
      <xdr:row>38</xdr:row>
      <xdr:rowOff>0</xdr:rowOff>
    </xdr:from>
    <xdr:to>
      <xdr:col>11</xdr:col>
      <xdr:colOff>132654</xdr:colOff>
      <xdr:row>53</xdr:row>
      <xdr:rowOff>37371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803413</xdr:colOff>
      <xdr:row>58</xdr:row>
      <xdr:rowOff>152400</xdr:rowOff>
    </xdr:from>
    <xdr:to>
      <xdr:col>19</xdr:col>
      <xdr:colOff>405848</xdr:colOff>
      <xdr:row>73</xdr:row>
      <xdr:rowOff>162339</xdr:rowOff>
    </xdr:to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190500</xdr:colOff>
      <xdr:row>82</xdr:row>
      <xdr:rowOff>38100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79D753B0-7A2B-3CA9-90F4-7AC97CA6CD0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546100</xdr:colOff>
      <xdr:row>90</xdr:row>
      <xdr:rowOff>88900</xdr:rowOff>
    </xdr:to>
    <xdr:sp macro="" textlink="">
      <xdr:nvSpPr>
        <xdr:cNvPr id="3076" name="Text Box 4" hidden="1">
          <a:extLst>
            <a:ext uri="{FF2B5EF4-FFF2-40B4-BE49-F238E27FC236}">
              <a16:creationId xmlns:a16="http://schemas.microsoft.com/office/drawing/2014/main" id="{AB630B5B-2009-E4B8-629D-6968E573DE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徐浩瀚_HJ_Research" id="{056B4786-0DD3-49BD-906B-7E6F0C6D1D74}"/>
</xltc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6337778862885"/>
  </sheetPr>
  <dimension ref="C1:O68"/>
  <sheetViews>
    <sheetView showGridLines="0" zoomScale="75" workbookViewId="0"/>
  </sheetViews>
  <sheetFormatPr baseColWidth="10" defaultColWidth="9" defaultRowHeight="13"/>
  <cols>
    <col min="1" max="2" width="9" style="19"/>
    <col min="3" max="3" width="8.6640625" style="19" customWidth="1"/>
    <col min="4" max="4" width="30" style="229" customWidth="1"/>
    <col min="5" max="5" width="42.1640625" style="229" customWidth="1"/>
    <col min="6" max="6" width="17" style="229" customWidth="1"/>
    <col min="7" max="7" width="17.5" style="229" customWidth="1"/>
    <col min="8" max="8" width="23.5" style="229" customWidth="1"/>
    <col min="9" max="9" width="15.1640625" style="229" customWidth="1"/>
    <col min="10" max="10" width="20.83203125" style="229" customWidth="1"/>
    <col min="11" max="11" width="12.83203125" style="229" customWidth="1"/>
    <col min="12" max="14" width="9" style="19"/>
    <col min="15" max="15" width="44.6640625" style="19" customWidth="1"/>
    <col min="16" max="16384" width="9" style="19"/>
  </cols>
  <sheetData>
    <row r="1" spans="3:15">
      <c r="O1" s="204" t="s">
        <v>6</v>
      </c>
    </row>
    <row r="2" spans="3:15" ht="84">
      <c r="O2" s="205" t="s">
        <v>7</v>
      </c>
    </row>
    <row r="3" spans="3:15" ht="28">
      <c r="O3" s="205" t="s">
        <v>8</v>
      </c>
    </row>
    <row r="4" spans="3:15">
      <c r="O4" s="206" t="s">
        <v>9</v>
      </c>
    </row>
    <row r="5" spans="3:15">
      <c r="O5" s="206" t="s">
        <v>10</v>
      </c>
    </row>
    <row r="6" spans="3:15" ht="56">
      <c r="C6" s="447" t="s">
        <v>11</v>
      </c>
      <c r="D6" s="222" t="s">
        <v>12</v>
      </c>
      <c r="E6" s="223" t="s">
        <v>13</v>
      </c>
      <c r="F6" s="224" t="s">
        <v>14</v>
      </c>
      <c r="G6" s="231" t="s">
        <v>15</v>
      </c>
      <c r="H6" s="222" t="s">
        <v>12</v>
      </c>
      <c r="I6" s="223" t="s">
        <v>16</v>
      </c>
      <c r="J6" s="222" t="s">
        <v>12</v>
      </c>
      <c r="K6" s="223" t="s">
        <v>17</v>
      </c>
    </row>
    <row r="7" spans="3:15" ht="70">
      <c r="C7" s="447"/>
      <c r="D7" s="225" t="s">
        <v>18</v>
      </c>
      <c r="E7" s="215">
        <v>144</v>
      </c>
      <c r="F7" s="215">
        <v>222</v>
      </c>
      <c r="G7" s="215">
        <v>144</v>
      </c>
      <c r="H7" s="225" t="s">
        <v>19</v>
      </c>
      <c r="I7" s="216">
        <v>144</v>
      </c>
      <c r="J7" s="225" t="s">
        <v>19</v>
      </c>
      <c r="K7" s="216">
        <v>222</v>
      </c>
    </row>
    <row r="8" spans="3:15" ht="14">
      <c r="C8" s="447"/>
      <c r="D8" s="207" t="s">
        <v>20</v>
      </c>
      <c r="E8" s="217">
        <v>4.95</v>
      </c>
      <c r="F8" s="217">
        <v>10</v>
      </c>
      <c r="G8" s="217">
        <v>10</v>
      </c>
      <c r="H8" s="207" t="s">
        <v>20</v>
      </c>
      <c r="I8" s="217">
        <v>8</v>
      </c>
      <c r="J8" s="207" t="s">
        <v>20</v>
      </c>
      <c r="K8" s="217">
        <v>8</v>
      </c>
    </row>
    <row r="9" spans="3:15" ht="28">
      <c r="C9" s="447"/>
      <c r="D9" s="209" t="s">
        <v>21</v>
      </c>
      <c r="E9" s="218">
        <v>224</v>
      </c>
      <c r="F9" s="218">
        <v>168</v>
      </c>
      <c r="G9" s="218">
        <v>224</v>
      </c>
      <c r="H9" s="209" t="s">
        <v>22</v>
      </c>
      <c r="I9" s="218">
        <v>360</v>
      </c>
      <c r="J9" s="209" t="s">
        <v>23</v>
      </c>
      <c r="K9" s="218">
        <v>360</v>
      </c>
    </row>
    <row r="10" spans="3:15" ht="28">
      <c r="C10" s="447"/>
      <c r="D10" s="208" t="s">
        <v>6</v>
      </c>
      <c r="E10" s="212">
        <f>E7*E8*E9</f>
        <v>159667.20000000001</v>
      </c>
      <c r="F10" s="212">
        <f>F7*F8*F9</f>
        <v>372960</v>
      </c>
      <c r="G10" s="212">
        <f>G7*G8*G9</f>
        <v>322560</v>
      </c>
      <c r="H10" s="208" t="s">
        <v>6</v>
      </c>
      <c r="I10" s="212">
        <f>I7*I8*I9</f>
        <v>414720</v>
      </c>
      <c r="J10" s="208" t="s">
        <v>6</v>
      </c>
      <c r="K10" s="212">
        <f>K7*K8*K9</f>
        <v>639360</v>
      </c>
    </row>
    <row r="11" spans="3:15">
      <c r="D11" s="226"/>
      <c r="E11" s="226"/>
      <c r="F11" s="226"/>
      <c r="G11" s="226"/>
      <c r="H11" s="226"/>
      <c r="I11" s="226"/>
      <c r="J11" s="226"/>
      <c r="K11" s="226"/>
    </row>
    <row r="12" spans="3:15" ht="28">
      <c r="C12" s="447" t="s">
        <v>24</v>
      </c>
      <c r="D12" s="222"/>
      <c r="E12" s="227" t="s">
        <v>25</v>
      </c>
      <c r="F12" s="222"/>
      <c r="G12" s="227" t="s">
        <v>26</v>
      </c>
      <c r="H12" s="222"/>
      <c r="I12" s="227" t="s">
        <v>27</v>
      </c>
      <c r="J12" s="222"/>
      <c r="K12" s="227" t="s">
        <v>28</v>
      </c>
    </row>
    <row r="13" spans="3:15" ht="42">
      <c r="C13" s="447"/>
      <c r="D13" s="225" t="s">
        <v>29</v>
      </c>
      <c r="E13" s="213">
        <v>500</v>
      </c>
      <c r="F13" s="225" t="s">
        <v>29</v>
      </c>
      <c r="G13" s="214">
        <v>700</v>
      </c>
      <c r="H13" s="225" t="s">
        <v>30</v>
      </c>
      <c r="I13" s="214">
        <v>250</v>
      </c>
      <c r="J13" s="225" t="s">
        <v>30</v>
      </c>
      <c r="K13" s="214">
        <v>300</v>
      </c>
    </row>
    <row r="14" spans="3:15" ht="14">
      <c r="C14" s="447"/>
      <c r="D14" s="207" t="s">
        <v>31</v>
      </c>
      <c r="E14" s="230">
        <v>24</v>
      </c>
      <c r="F14" s="207" t="s">
        <v>31</v>
      </c>
      <c r="G14" s="230">
        <v>24</v>
      </c>
      <c r="H14" s="207" t="s">
        <v>31</v>
      </c>
      <c r="I14" s="230">
        <v>2</v>
      </c>
      <c r="J14" s="207" t="s">
        <v>20</v>
      </c>
      <c r="K14" s="230">
        <v>2</v>
      </c>
    </row>
    <row r="15" spans="3:15" ht="28">
      <c r="C15" s="447"/>
      <c r="D15" s="209" t="s">
        <v>23</v>
      </c>
      <c r="E15" s="232" t="s">
        <v>32</v>
      </c>
      <c r="F15" s="209" t="s">
        <v>23</v>
      </c>
      <c r="G15" s="232" t="s">
        <v>32</v>
      </c>
      <c r="H15" s="209" t="s">
        <v>33</v>
      </c>
      <c r="I15" s="232" t="s">
        <v>32</v>
      </c>
      <c r="J15" s="209" t="s">
        <v>23</v>
      </c>
      <c r="K15" s="232" t="s">
        <v>32</v>
      </c>
    </row>
    <row r="16" spans="3:15" ht="28">
      <c r="C16" s="447"/>
      <c r="D16" s="208" t="s">
        <v>6</v>
      </c>
      <c r="E16" s="212">
        <f>E13*E14/2</f>
        <v>6000</v>
      </c>
      <c r="F16" s="208" t="s">
        <v>6</v>
      </c>
      <c r="G16" s="212">
        <f>G13*G14/2</f>
        <v>8400</v>
      </c>
      <c r="H16" s="208" t="s">
        <v>6</v>
      </c>
      <c r="I16" s="212">
        <f>I13*I14</f>
        <v>500</v>
      </c>
      <c r="J16" s="208" t="s">
        <v>6</v>
      </c>
      <c r="K16" s="212">
        <f>K13*K14</f>
        <v>600</v>
      </c>
    </row>
    <row r="17" spans="3:11">
      <c r="D17" s="226"/>
      <c r="E17" s="226"/>
      <c r="F17" s="226"/>
      <c r="G17" s="226"/>
      <c r="H17" s="226"/>
      <c r="I17" s="226"/>
      <c r="J17" s="226"/>
      <c r="K17" s="226"/>
    </row>
    <row r="18" spans="3:11" ht="42">
      <c r="C18" s="447" t="s">
        <v>34</v>
      </c>
      <c r="D18" s="222" t="s">
        <v>35</v>
      </c>
      <c r="E18" s="227" t="s">
        <v>36</v>
      </c>
      <c r="F18" s="228"/>
      <c r="G18" s="447" t="s">
        <v>37</v>
      </c>
      <c r="H18" s="222" t="s">
        <v>38</v>
      </c>
      <c r="I18" s="227" t="s">
        <v>39</v>
      </c>
      <c r="J18" s="226"/>
      <c r="K18" s="226"/>
    </row>
    <row r="19" spans="3:11" ht="14">
      <c r="C19" s="447"/>
      <c r="D19" s="225" t="s">
        <v>40</v>
      </c>
      <c r="E19" s="214">
        <v>500</v>
      </c>
      <c r="F19" s="226"/>
      <c r="G19" s="447"/>
      <c r="H19" s="225" t="s">
        <v>41</v>
      </c>
      <c r="I19" s="214">
        <v>310</v>
      </c>
      <c r="J19" s="226"/>
      <c r="K19" s="226"/>
    </row>
    <row r="20" spans="3:11" ht="28">
      <c r="C20" s="447"/>
      <c r="D20" s="207" t="s">
        <v>42</v>
      </c>
      <c r="E20" s="210">
        <v>3.99</v>
      </c>
      <c r="F20" s="226"/>
      <c r="G20" s="447"/>
      <c r="H20" s="207" t="s">
        <v>43</v>
      </c>
      <c r="I20" s="210">
        <v>4</v>
      </c>
      <c r="J20" s="226"/>
      <c r="K20" s="226"/>
    </row>
    <row r="21" spans="3:11" ht="28">
      <c r="C21" s="447"/>
      <c r="D21" s="209" t="s">
        <v>44</v>
      </c>
      <c r="E21" s="211">
        <v>168</v>
      </c>
      <c r="F21" s="226"/>
      <c r="G21" s="447"/>
      <c r="H21" s="209" t="s">
        <v>45</v>
      </c>
      <c r="I21" s="211">
        <v>224</v>
      </c>
      <c r="J21" s="226"/>
      <c r="K21" s="226"/>
    </row>
    <row r="22" spans="3:11" ht="28">
      <c r="C22" s="447"/>
      <c r="D22" s="208" t="s">
        <v>6</v>
      </c>
      <c r="E22" s="212">
        <f>E19*E20*E21</f>
        <v>335160</v>
      </c>
      <c r="F22" s="226"/>
      <c r="G22" s="447"/>
      <c r="H22" s="208" t="s">
        <v>6</v>
      </c>
      <c r="I22" s="212">
        <f>I19*I20*I21</f>
        <v>277760</v>
      </c>
      <c r="J22" s="226"/>
      <c r="K22" s="226"/>
    </row>
    <row r="23" spans="3:11">
      <c r="D23" s="226"/>
      <c r="E23" s="226"/>
      <c r="F23" s="226"/>
      <c r="G23" s="226"/>
      <c r="H23" s="226"/>
      <c r="I23" s="226"/>
      <c r="J23" s="226"/>
      <c r="K23" s="226"/>
    </row>
    <row r="28" spans="3:11" ht="28">
      <c r="C28" s="237"/>
      <c r="D28" s="238" t="s">
        <v>46</v>
      </c>
      <c r="E28" s="238" t="s">
        <v>47</v>
      </c>
      <c r="F28" s="238" t="s">
        <v>48</v>
      </c>
    </row>
    <row r="29" spans="3:11" ht="18" customHeight="1">
      <c r="C29" s="442" t="s">
        <v>11</v>
      </c>
      <c r="D29" s="445" t="s">
        <v>49</v>
      </c>
      <c r="E29" s="239" t="s">
        <v>50</v>
      </c>
      <c r="F29" s="240">
        <f t="shared" ref="F29:F39" si="0">H29/1000</f>
        <v>159.66720000000001</v>
      </c>
      <c r="H29" s="236">
        <v>159667.20000000001</v>
      </c>
    </row>
    <row r="30" spans="3:11">
      <c r="C30" s="443"/>
      <c r="D30" s="446"/>
      <c r="E30" s="19" t="s">
        <v>51</v>
      </c>
      <c r="F30" s="235">
        <f t="shared" si="0"/>
        <v>372.96</v>
      </c>
      <c r="H30" s="236">
        <v>372960</v>
      </c>
    </row>
    <row r="31" spans="3:11">
      <c r="C31" s="443"/>
      <c r="D31" s="446"/>
      <c r="E31" s="19" t="s">
        <v>52</v>
      </c>
      <c r="F31" s="235">
        <f t="shared" si="0"/>
        <v>322.56</v>
      </c>
      <c r="H31" s="236">
        <v>322560</v>
      </c>
    </row>
    <row r="32" spans="3:11">
      <c r="C32" s="443"/>
      <c r="D32" s="440" t="s">
        <v>53</v>
      </c>
      <c r="E32" s="19" t="s">
        <v>54</v>
      </c>
      <c r="F32" s="235">
        <f t="shared" si="0"/>
        <v>414.72</v>
      </c>
      <c r="H32" s="236">
        <v>414720</v>
      </c>
    </row>
    <row r="33" spans="3:8">
      <c r="C33" s="444"/>
      <c r="D33" s="441"/>
      <c r="E33" s="237" t="s">
        <v>55</v>
      </c>
      <c r="F33" s="241">
        <f t="shared" si="0"/>
        <v>639.36</v>
      </c>
      <c r="H33" s="236">
        <v>639360</v>
      </c>
    </row>
    <row r="34" spans="3:8">
      <c r="C34" s="442" t="s">
        <v>24</v>
      </c>
      <c r="D34" s="445" t="s">
        <v>56</v>
      </c>
      <c r="E34" s="239" t="s">
        <v>54</v>
      </c>
      <c r="F34" s="240">
        <f t="shared" si="0"/>
        <v>6</v>
      </c>
      <c r="H34" s="236">
        <v>6000</v>
      </c>
    </row>
    <row r="35" spans="3:8">
      <c r="C35" s="443"/>
      <c r="D35" s="446"/>
      <c r="E35" s="19" t="s">
        <v>55</v>
      </c>
      <c r="F35" s="235">
        <f t="shared" si="0"/>
        <v>8.4</v>
      </c>
      <c r="H35" s="236">
        <v>8400</v>
      </c>
    </row>
    <row r="36" spans="3:8">
      <c r="C36" s="443"/>
      <c r="D36" s="440" t="s">
        <v>57</v>
      </c>
      <c r="E36" s="19" t="s">
        <v>54</v>
      </c>
      <c r="F36" s="235">
        <f t="shared" si="0"/>
        <v>0.5</v>
      </c>
      <c r="H36" s="236">
        <v>500</v>
      </c>
    </row>
    <row r="37" spans="3:8">
      <c r="C37" s="444"/>
      <c r="D37" s="441"/>
      <c r="E37" s="237" t="s">
        <v>55</v>
      </c>
      <c r="F37" s="241">
        <f t="shared" si="0"/>
        <v>0.6</v>
      </c>
      <c r="H37" s="236">
        <v>600</v>
      </c>
    </row>
    <row r="38" spans="3:8">
      <c r="C38" s="242" t="s">
        <v>34</v>
      </c>
      <c r="D38" s="244" t="s">
        <v>36</v>
      </c>
      <c r="E38" s="242"/>
      <c r="F38" s="243">
        <f t="shared" si="0"/>
        <v>335.16</v>
      </c>
      <c r="H38" s="236">
        <v>335160</v>
      </c>
    </row>
    <row r="39" spans="3:8">
      <c r="C39" s="19" t="s">
        <v>37</v>
      </c>
      <c r="D39" s="245" t="s">
        <v>39</v>
      </c>
      <c r="E39" s="19"/>
      <c r="F39" s="235">
        <f t="shared" si="0"/>
        <v>277.76</v>
      </c>
      <c r="H39" s="236">
        <v>277760</v>
      </c>
    </row>
    <row r="45" spans="3:8" ht="24">
      <c r="C45" s="252" t="s">
        <v>58</v>
      </c>
      <c r="D45" s="246" t="s">
        <v>46</v>
      </c>
      <c r="E45" s="246" t="s">
        <v>47</v>
      </c>
      <c r="F45" s="247" t="s">
        <v>48</v>
      </c>
    </row>
    <row r="46" spans="3:8">
      <c r="C46" s="437" t="s">
        <v>59</v>
      </c>
      <c r="D46" s="437" t="s">
        <v>49</v>
      </c>
      <c r="E46" s="248" t="s">
        <v>60</v>
      </c>
      <c r="F46" s="249">
        <v>159.69999999999999</v>
      </c>
    </row>
    <row r="47" spans="3:8">
      <c r="C47" s="437"/>
      <c r="D47" s="437"/>
      <c r="E47" s="248" t="s">
        <v>61</v>
      </c>
      <c r="F47" s="249">
        <v>373</v>
      </c>
    </row>
    <row r="48" spans="3:8">
      <c r="C48" s="437"/>
      <c r="D48" s="437"/>
      <c r="E48" s="248" t="s">
        <v>62</v>
      </c>
      <c r="F48" s="249">
        <v>322.60000000000002</v>
      </c>
    </row>
    <row r="49" spans="3:6">
      <c r="C49" s="437"/>
      <c r="D49" s="437" t="s">
        <v>53</v>
      </c>
      <c r="E49" s="248" t="s">
        <v>63</v>
      </c>
      <c r="F49" s="249">
        <v>414.7</v>
      </c>
    </row>
    <row r="50" spans="3:6">
      <c r="C50" s="437"/>
      <c r="D50" s="438"/>
      <c r="E50" s="250" t="s">
        <v>64</v>
      </c>
      <c r="F50" s="251">
        <v>639.4</v>
      </c>
    </row>
    <row r="51" spans="3:6">
      <c r="C51" s="437" t="s">
        <v>65</v>
      </c>
      <c r="D51" s="439" t="s">
        <v>56</v>
      </c>
      <c r="E51" s="248" t="s">
        <v>63</v>
      </c>
      <c r="F51" s="249">
        <v>6</v>
      </c>
    </row>
    <row r="52" spans="3:6">
      <c r="C52" s="437"/>
      <c r="D52" s="437"/>
      <c r="E52" s="248" t="s">
        <v>64</v>
      </c>
      <c r="F52" s="249">
        <v>8.4</v>
      </c>
    </row>
    <row r="53" spans="3:6">
      <c r="C53" s="437"/>
      <c r="D53" s="437" t="s">
        <v>57</v>
      </c>
      <c r="E53" s="248" t="s">
        <v>66</v>
      </c>
      <c r="F53" s="249">
        <v>0.5</v>
      </c>
    </row>
    <row r="54" spans="3:6">
      <c r="C54" s="437"/>
      <c r="D54" s="437"/>
      <c r="E54" s="248" t="s">
        <v>64</v>
      </c>
      <c r="F54" s="249">
        <v>0.6</v>
      </c>
    </row>
    <row r="55" spans="3:6">
      <c r="C55" s="248" t="s">
        <v>67</v>
      </c>
      <c r="D55" s="248" t="s">
        <v>68</v>
      </c>
      <c r="E55" s="248" t="s">
        <v>69</v>
      </c>
      <c r="F55" s="249">
        <v>335.2</v>
      </c>
    </row>
    <row r="56" spans="3:6">
      <c r="C56" s="250" t="s">
        <v>70</v>
      </c>
      <c r="D56" s="250" t="s">
        <v>71</v>
      </c>
      <c r="E56" s="250" t="s">
        <v>63</v>
      </c>
      <c r="F56" s="251">
        <v>277.8</v>
      </c>
    </row>
    <row r="62" spans="3:6">
      <c r="C62" s="252" t="s">
        <v>58</v>
      </c>
      <c r="D62" s="246" t="s">
        <v>46</v>
      </c>
      <c r="E62" s="246"/>
      <c r="F62" s="247"/>
    </row>
    <row r="63" spans="3:6">
      <c r="C63" s="436" t="s">
        <v>59</v>
      </c>
      <c r="D63" s="248" t="s">
        <v>49</v>
      </c>
      <c r="E63" s="248"/>
      <c r="F63" s="249"/>
    </row>
    <row r="64" spans="3:6">
      <c r="C64" s="436"/>
      <c r="D64" s="248" t="s">
        <v>53</v>
      </c>
      <c r="E64" s="248"/>
      <c r="F64" s="249"/>
    </row>
    <row r="65" spans="3:6">
      <c r="C65" s="436" t="s">
        <v>65</v>
      </c>
      <c r="D65" s="248" t="s">
        <v>56</v>
      </c>
      <c r="E65" s="248"/>
      <c r="F65" s="249"/>
    </row>
    <row r="66" spans="3:6">
      <c r="C66" s="436"/>
      <c r="D66" s="248" t="s">
        <v>57</v>
      </c>
      <c r="E66" s="248"/>
      <c r="F66" s="249"/>
    </row>
    <row r="67" spans="3:6">
      <c r="C67" s="248" t="s">
        <v>67</v>
      </c>
      <c r="D67" s="248" t="s">
        <v>68</v>
      </c>
      <c r="E67" s="248"/>
      <c r="F67" s="249"/>
    </row>
    <row r="68" spans="3:6">
      <c r="C68" s="250" t="s">
        <v>70</v>
      </c>
      <c r="D68" s="250" t="s">
        <v>71</v>
      </c>
      <c r="E68" s="250"/>
      <c r="F68" s="251"/>
    </row>
  </sheetData>
  <mergeCells count="18">
    <mergeCell ref="C6:C10"/>
    <mergeCell ref="C12:C16"/>
    <mergeCell ref="C18:C22"/>
    <mergeCell ref="G18:G22"/>
    <mergeCell ref="D29:D31"/>
    <mergeCell ref="D32:D33"/>
    <mergeCell ref="C29:C33"/>
    <mergeCell ref="C34:C37"/>
    <mergeCell ref="D34:D35"/>
    <mergeCell ref="D36:D37"/>
    <mergeCell ref="C63:C64"/>
    <mergeCell ref="C65:C66"/>
    <mergeCell ref="C46:C50"/>
    <mergeCell ref="D46:D48"/>
    <mergeCell ref="D49:D50"/>
    <mergeCell ref="C51:C54"/>
    <mergeCell ref="D51:D52"/>
    <mergeCell ref="D53:D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33"/>
  <sheetViews>
    <sheetView tabSelected="1" zoomScale="42" workbookViewId="0">
      <selection activeCell="C68" sqref="C68"/>
    </sheetView>
  </sheetViews>
  <sheetFormatPr baseColWidth="10" defaultColWidth="8.83203125" defaultRowHeight="15"/>
  <cols>
    <col min="2" max="2" width="24" customWidth="1"/>
    <col min="3" max="3" width="58" customWidth="1"/>
    <col min="4" max="4" width="42" customWidth="1"/>
  </cols>
  <sheetData>
    <row r="2" spans="2:10">
      <c r="B2" s="433" t="s">
        <v>604</v>
      </c>
      <c r="C2" s="433"/>
      <c r="D2" s="433"/>
      <c r="E2" s="433"/>
      <c r="F2" s="433"/>
      <c r="G2" s="433"/>
      <c r="H2" s="433"/>
      <c r="I2" s="433"/>
      <c r="J2" s="433"/>
    </row>
    <row r="3" spans="2:10">
      <c r="B3" s="433"/>
      <c r="C3" s="433"/>
      <c r="D3" s="433"/>
      <c r="E3" s="433"/>
      <c r="F3" s="433"/>
      <c r="G3" s="433"/>
      <c r="H3" s="433"/>
      <c r="I3" s="433"/>
      <c r="J3" s="433"/>
    </row>
    <row r="5" spans="2:10">
      <c r="B5" s="434" t="s">
        <v>605</v>
      </c>
      <c r="C5" s="434"/>
      <c r="D5" s="434"/>
      <c r="E5" s="434"/>
      <c r="F5" s="434"/>
      <c r="G5" s="434"/>
      <c r="H5" s="434"/>
      <c r="I5" s="434"/>
      <c r="J5" s="434"/>
    </row>
    <row r="6" spans="2:10">
      <c r="B6" s="434"/>
      <c r="C6" s="434"/>
      <c r="D6" s="434"/>
      <c r="E6" s="434"/>
      <c r="F6" s="434"/>
      <c r="G6" s="434"/>
      <c r="H6" s="434"/>
      <c r="I6" s="434"/>
      <c r="J6" s="434"/>
    </row>
    <row r="8" spans="2:10">
      <c r="B8" s="431" t="s">
        <v>606</v>
      </c>
      <c r="C8" s="431"/>
      <c r="D8" s="431"/>
      <c r="E8" s="431"/>
      <c r="F8" s="431"/>
      <c r="G8" s="431"/>
      <c r="H8" s="431"/>
      <c r="I8" s="431"/>
      <c r="J8" s="431"/>
    </row>
    <row r="10" spans="2:10" ht="16">
      <c r="B10" s="429" t="s">
        <v>607</v>
      </c>
      <c r="C10" s="429" t="s">
        <v>608</v>
      </c>
      <c r="D10" s="429" t="s">
        <v>609</v>
      </c>
    </row>
    <row r="11" spans="2:10" ht="16">
      <c r="B11" s="428" t="s">
        <v>610</v>
      </c>
      <c r="C11" s="428" t="s">
        <v>611</v>
      </c>
      <c r="D11" s="428" t="s">
        <v>612</v>
      </c>
    </row>
    <row r="12" spans="2:10" ht="32">
      <c r="B12" s="428" t="s">
        <v>613</v>
      </c>
      <c r="C12" s="428" t="s">
        <v>614</v>
      </c>
      <c r="D12" s="428" t="s">
        <v>615</v>
      </c>
    </row>
    <row r="13" spans="2:10" ht="16">
      <c r="B13" s="428" t="s">
        <v>616</v>
      </c>
      <c r="C13" s="428" t="s">
        <v>617</v>
      </c>
      <c r="D13" s="428" t="s">
        <v>618</v>
      </c>
    </row>
    <row r="14" spans="2:10" ht="32">
      <c r="B14" s="428" t="s">
        <v>619</v>
      </c>
      <c r="C14" s="428" t="s">
        <v>620</v>
      </c>
      <c r="D14" s="428" t="s">
        <v>621</v>
      </c>
    </row>
    <row r="15" spans="2:10" ht="32">
      <c r="B15" s="428" t="s">
        <v>622</v>
      </c>
      <c r="C15" s="428" t="s">
        <v>623</v>
      </c>
      <c r="D15" s="428" t="s">
        <v>624</v>
      </c>
    </row>
    <row r="16" spans="2:10" ht="32">
      <c r="B16" s="428" t="s">
        <v>625</v>
      </c>
      <c r="C16" s="428" t="s">
        <v>626</v>
      </c>
      <c r="D16" s="428" t="s">
        <v>627</v>
      </c>
    </row>
    <row r="17" spans="2:10" ht="16">
      <c r="B17" s="428" t="s">
        <v>628</v>
      </c>
      <c r="C17" s="428" t="s">
        <v>629</v>
      </c>
      <c r="D17" s="428" t="s">
        <v>630</v>
      </c>
    </row>
    <row r="20" spans="2:10">
      <c r="B20" s="431" t="s">
        <v>631</v>
      </c>
      <c r="C20" s="431"/>
      <c r="D20" s="431"/>
      <c r="E20" s="431"/>
      <c r="F20" s="431"/>
      <c r="G20" s="431"/>
      <c r="H20" s="431"/>
      <c r="I20" s="431"/>
      <c r="J20" s="431"/>
    </row>
    <row r="22" spans="2:10">
      <c r="B22" s="435" t="s">
        <v>632</v>
      </c>
      <c r="C22" s="435"/>
      <c r="D22" s="435"/>
      <c r="E22" s="435"/>
      <c r="F22" s="435"/>
      <c r="G22" s="435"/>
      <c r="H22" s="435"/>
      <c r="I22" s="435"/>
      <c r="J22" s="435"/>
    </row>
    <row r="23" spans="2:10">
      <c r="B23" s="435"/>
      <c r="C23" s="435"/>
      <c r="D23" s="435"/>
      <c r="E23" s="435"/>
      <c r="F23" s="435"/>
      <c r="G23" s="435"/>
      <c r="H23" s="435"/>
      <c r="I23" s="435"/>
      <c r="J23" s="435"/>
    </row>
    <row r="24" spans="2:10">
      <c r="B24" s="435"/>
      <c r="C24" s="435"/>
      <c r="D24" s="435"/>
      <c r="E24" s="435"/>
      <c r="F24" s="435"/>
      <c r="G24" s="435"/>
      <c r="H24" s="435"/>
      <c r="I24" s="435"/>
      <c r="J24" s="435"/>
    </row>
    <row r="25" spans="2:10">
      <c r="B25" s="435"/>
      <c r="C25" s="435"/>
      <c r="D25" s="435"/>
      <c r="E25" s="435"/>
      <c r="F25" s="435"/>
      <c r="G25" s="435"/>
      <c r="H25" s="435"/>
      <c r="I25" s="435"/>
      <c r="J25" s="435"/>
    </row>
    <row r="28" spans="2:10">
      <c r="B28" s="431" t="s">
        <v>633</v>
      </c>
      <c r="C28" s="431"/>
      <c r="D28" s="431"/>
      <c r="E28" s="431"/>
      <c r="F28" s="431"/>
      <c r="G28" s="431"/>
      <c r="H28" s="431"/>
      <c r="I28" s="431"/>
      <c r="J28" s="431"/>
    </row>
    <row r="30" spans="2:10">
      <c r="B30" s="432" t="s">
        <v>634</v>
      </c>
      <c r="C30" s="432"/>
      <c r="D30" s="432"/>
      <c r="E30" s="432"/>
      <c r="F30" s="432"/>
      <c r="G30" s="432"/>
      <c r="H30" s="432"/>
      <c r="I30" s="432"/>
      <c r="J30" s="432"/>
    </row>
    <row r="31" spans="2:10">
      <c r="B31" s="432"/>
      <c r="C31" s="432"/>
      <c r="D31" s="432"/>
      <c r="E31" s="432"/>
      <c r="F31" s="432"/>
      <c r="G31" s="432"/>
      <c r="H31" s="432"/>
      <c r="I31" s="432"/>
      <c r="J31" s="432"/>
    </row>
    <row r="32" spans="2:10">
      <c r="B32" s="432"/>
      <c r="C32" s="432"/>
      <c r="D32" s="432"/>
      <c r="E32" s="432"/>
      <c r="F32" s="432"/>
      <c r="G32" s="432"/>
      <c r="H32" s="432"/>
      <c r="I32" s="432"/>
      <c r="J32" s="432"/>
    </row>
    <row r="33" spans="2:10">
      <c r="B33" s="432"/>
      <c r="C33" s="432"/>
      <c r="D33" s="432"/>
      <c r="E33" s="432"/>
      <c r="F33" s="432"/>
      <c r="G33" s="432"/>
      <c r="H33" s="432"/>
      <c r="I33" s="432"/>
      <c r="J33" s="432"/>
    </row>
  </sheetData>
  <mergeCells count="7">
    <mergeCell ref="B28:J28"/>
    <mergeCell ref="B30:J33"/>
    <mergeCell ref="B2:J3"/>
    <mergeCell ref="B5:J6"/>
    <mergeCell ref="B8:J8"/>
    <mergeCell ref="B20:J20"/>
    <mergeCell ref="B22:J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26"/>
  <sheetViews>
    <sheetView workbookViewId="0"/>
  </sheetViews>
  <sheetFormatPr baseColWidth="10" defaultColWidth="10.83203125" defaultRowHeight="14"/>
  <cols>
    <col min="1" max="1" width="17.1640625" style="6" customWidth="1"/>
    <col min="2" max="2" width="25.5" style="6" customWidth="1"/>
    <col min="3" max="3" width="16.5" style="6" customWidth="1"/>
    <col min="4" max="4" width="14.5" style="6" customWidth="1"/>
    <col min="5" max="5" width="17.5" style="6" customWidth="1"/>
    <col min="6" max="6" width="20" style="6" customWidth="1"/>
    <col min="7" max="7" width="10.83203125" style="6"/>
    <col min="8" max="8" width="11.83203125" style="6" customWidth="1"/>
    <col min="9" max="9" width="21.5" style="6" customWidth="1"/>
    <col min="10" max="10" width="17.33203125" style="6" customWidth="1"/>
    <col min="11" max="16384" width="10.83203125" style="6"/>
  </cols>
  <sheetData>
    <row r="1" spans="1:23">
      <c r="A1" s="430" t="s">
        <v>601</v>
      </c>
    </row>
    <row r="2" spans="1:23" ht="16">
      <c r="A2" s="125" t="s">
        <v>602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3" ht="16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3" ht="16">
      <c r="A4" s="126"/>
      <c r="B4" s="126" t="s">
        <v>0</v>
      </c>
      <c r="C4" s="126" t="s">
        <v>1</v>
      </c>
      <c r="D4" s="126" t="s">
        <v>2</v>
      </c>
      <c r="E4" s="126" t="s">
        <v>99</v>
      </c>
      <c r="F4" s="126" t="s">
        <v>100</v>
      </c>
      <c r="G4" s="126" t="s">
        <v>101</v>
      </c>
      <c r="H4" s="126" t="s">
        <v>102</v>
      </c>
      <c r="I4" s="126" t="s">
        <v>103</v>
      </c>
      <c r="J4" s="126" t="s">
        <v>104</v>
      </c>
      <c r="K4" s="126" t="s">
        <v>105</v>
      </c>
      <c r="L4" s="126" t="s">
        <v>106</v>
      </c>
      <c r="M4" s="126" t="s">
        <v>107</v>
      </c>
      <c r="N4" s="126" t="s">
        <v>108</v>
      </c>
      <c r="O4" s="126" t="s">
        <v>109</v>
      </c>
      <c r="P4" s="126" t="s">
        <v>110</v>
      </c>
      <c r="Q4" s="126" t="s">
        <v>111</v>
      </c>
      <c r="R4" s="126" t="s">
        <v>112</v>
      </c>
      <c r="S4" s="126" t="s">
        <v>113</v>
      </c>
      <c r="T4" s="126" t="s">
        <v>114</v>
      </c>
      <c r="U4" s="126" t="s">
        <v>115</v>
      </c>
      <c r="V4" s="126" t="s">
        <v>116</v>
      </c>
    </row>
    <row r="5" spans="1:23" ht="16">
      <c r="A5" s="127" t="s">
        <v>117</v>
      </c>
      <c r="B5" s="127">
        <f>Summary!H8</f>
        <v>0</v>
      </c>
      <c r="C5" s="127">
        <f>Summary!I8</f>
        <v>0</v>
      </c>
      <c r="D5" s="127">
        <f>Summary!J8</f>
        <v>0</v>
      </c>
      <c r="E5" s="127">
        <f>Summary!K8</f>
        <v>0</v>
      </c>
      <c r="F5" s="127">
        <f>Summary!L8</f>
        <v>30.668977212824018</v>
      </c>
      <c r="G5" s="127">
        <f>Summary!M8</f>
        <v>94.391776613040804</v>
      </c>
      <c r="H5" s="127">
        <f>Summary!N8</f>
        <v>161.45759180784026</v>
      </c>
      <c r="I5" s="127">
        <f>Summary!O8</f>
        <v>232.06926800162577</v>
      </c>
      <c r="J5" s="127">
        <f>Summary!P8</f>
        <v>306.43786408050261</v>
      </c>
      <c r="K5" s="127">
        <f>Summary!Q8</f>
        <v>324.55916753220492</v>
      </c>
      <c r="L5" s="127">
        <f>Summary!R8</f>
        <v>307.3282222215604</v>
      </c>
      <c r="M5" s="127">
        <f>Summary!S8</f>
        <v>291.06547348905031</v>
      </c>
      <c r="N5" s="127">
        <f>Summary!T8</f>
        <v>275.712114115497</v>
      </c>
      <c r="O5" s="127">
        <f>Summary!U8</f>
        <v>261.21322561833642</v>
      </c>
      <c r="P5" s="127">
        <f>Summary!V8</f>
        <v>247.51750128842863</v>
      </c>
      <c r="Q5" s="127">
        <f>Summary!W8</f>
        <v>234.5769900232597</v>
      </c>
      <c r="R5" s="127">
        <f>Summary!X8</f>
        <v>222.34685934515954</v>
      </c>
      <c r="S5" s="127">
        <f>Summary!Y8</f>
        <v>210.7851761199706</v>
      </c>
      <c r="T5" s="127">
        <f>Summary!Z8</f>
        <v>199.85270360838911</v>
      </c>
      <c r="U5" s="127">
        <f>Summary!AA8</f>
        <v>189.51271358972417</v>
      </c>
      <c r="V5" s="127">
        <f>Summary!AB8</f>
        <v>179.73081239684865</v>
      </c>
    </row>
    <row r="6" spans="1:23" ht="16">
      <c r="A6" s="127" t="s">
        <v>118</v>
      </c>
      <c r="B6" s="127" t="e">
        <f>Summary!H9</f>
        <v>#REF!</v>
      </c>
      <c r="C6" s="127" t="e">
        <f>Summary!I9</f>
        <v>#REF!</v>
      </c>
      <c r="D6" s="127" t="e">
        <f>Summary!J9</f>
        <v>#REF!</v>
      </c>
      <c r="E6" s="127" t="e">
        <f>Summary!K9</f>
        <v>#REF!</v>
      </c>
      <c r="F6" s="127" t="e">
        <f>Summary!L9</f>
        <v>#REF!</v>
      </c>
      <c r="G6" s="127" t="e">
        <f>Summary!M9</f>
        <v>#REF!</v>
      </c>
      <c r="H6" s="127" t="e">
        <f>Summary!N9</f>
        <v>#REF!</v>
      </c>
      <c r="I6" s="127" t="e">
        <f>Summary!O9</f>
        <v>#REF!</v>
      </c>
      <c r="J6" s="127" t="e">
        <f>Summary!P9</f>
        <v>#REF!</v>
      </c>
      <c r="K6" s="127" t="e">
        <f>Summary!Q9</f>
        <v>#REF!</v>
      </c>
      <c r="L6" s="127" t="e">
        <f>Summary!R9</f>
        <v>#REF!</v>
      </c>
      <c r="M6" s="127" t="e">
        <f>Summary!S9</f>
        <v>#REF!</v>
      </c>
      <c r="N6" s="127" t="e">
        <f>Summary!T9</f>
        <v>#REF!</v>
      </c>
      <c r="O6" s="127" t="e">
        <f>Summary!U9</f>
        <v>#REF!</v>
      </c>
      <c r="P6" s="127" t="e">
        <f>Summary!V9</f>
        <v>#REF!</v>
      </c>
      <c r="Q6" s="127" t="e">
        <f>Summary!W9</f>
        <v>#REF!</v>
      </c>
      <c r="R6" s="127" t="e">
        <f>Summary!X9</f>
        <v>#REF!</v>
      </c>
      <c r="S6" s="127" t="e">
        <f>Summary!Y9</f>
        <v>#REF!</v>
      </c>
      <c r="T6" s="127" t="e">
        <f>Summary!Z9</f>
        <v>#REF!</v>
      </c>
      <c r="U6" s="127" t="e">
        <f>Summary!AA9</f>
        <v>#REF!</v>
      </c>
      <c r="V6" s="127" t="e">
        <f>Summary!AB9</f>
        <v>#REF!</v>
      </c>
    </row>
    <row r="7" spans="1:23" ht="16">
      <c r="A7" s="127" t="s">
        <v>119</v>
      </c>
      <c r="B7" s="127" t="e">
        <f>Summary!H10</f>
        <v>#REF!</v>
      </c>
      <c r="C7" s="127" t="e">
        <f>Summary!I10</f>
        <v>#REF!</v>
      </c>
      <c r="D7" s="127" t="e">
        <f>Summary!J10</f>
        <v>#REF!</v>
      </c>
      <c r="E7" s="127" t="e">
        <f>Summary!K10</f>
        <v>#REF!</v>
      </c>
      <c r="F7" s="127" t="e">
        <f>Summary!L10</f>
        <v>#REF!</v>
      </c>
      <c r="G7" s="127" t="e">
        <f>Summary!M10</f>
        <v>#REF!</v>
      </c>
      <c r="H7" s="127" t="e">
        <f>Summary!N10</f>
        <v>#REF!</v>
      </c>
      <c r="I7" s="127" t="e">
        <f>Summary!O10</f>
        <v>#REF!</v>
      </c>
      <c r="J7" s="127" t="e">
        <f>Summary!P10</f>
        <v>#REF!</v>
      </c>
      <c r="K7" s="127" t="e">
        <f>Summary!Q10</f>
        <v>#REF!</v>
      </c>
      <c r="L7" s="127" t="e">
        <f>Summary!R10</f>
        <v>#REF!</v>
      </c>
      <c r="M7" s="127" t="e">
        <f>Summary!S10</f>
        <v>#REF!</v>
      </c>
      <c r="N7" s="127" t="e">
        <f>Summary!T10</f>
        <v>#REF!</v>
      </c>
      <c r="O7" s="127" t="e">
        <f>Summary!U10</f>
        <v>#REF!</v>
      </c>
      <c r="P7" s="127" t="e">
        <f>Summary!V10</f>
        <v>#REF!</v>
      </c>
      <c r="Q7" s="127" t="e">
        <f>Summary!W10</f>
        <v>#REF!</v>
      </c>
      <c r="R7" s="127" t="e">
        <f>Summary!X10</f>
        <v>#REF!</v>
      </c>
      <c r="S7" s="127" t="e">
        <f>Summary!Y10</f>
        <v>#REF!</v>
      </c>
      <c r="T7" s="127" t="e">
        <f>Summary!Z10</f>
        <v>#REF!</v>
      </c>
      <c r="U7" s="127" t="e">
        <f>Summary!AA10</f>
        <v>#REF!</v>
      </c>
      <c r="V7" s="127" t="e">
        <f>Summary!AB10</f>
        <v>#REF!</v>
      </c>
    </row>
    <row r="8" spans="1:23" ht="16">
      <c r="A8" s="127" t="s">
        <v>120</v>
      </c>
      <c r="B8" s="127" t="e">
        <f>Summary!H11</f>
        <v>#REF!</v>
      </c>
      <c r="C8" s="127" t="e">
        <f>Summary!I11</f>
        <v>#REF!</v>
      </c>
      <c r="D8" s="127" t="e">
        <f>Summary!J11</f>
        <v>#REF!</v>
      </c>
      <c r="E8" s="127" t="e">
        <f>Summary!K11</f>
        <v>#REF!</v>
      </c>
      <c r="F8" s="127" t="e">
        <f>Summary!L11</f>
        <v>#REF!</v>
      </c>
      <c r="G8" s="127" t="e">
        <f>Summary!M11</f>
        <v>#REF!</v>
      </c>
      <c r="H8" s="127" t="e">
        <f>Summary!N11</f>
        <v>#REF!</v>
      </c>
      <c r="I8" s="127" t="e">
        <f>Summary!O11</f>
        <v>#REF!</v>
      </c>
      <c r="J8" s="127" t="e">
        <f>Summary!P11</f>
        <v>#REF!</v>
      </c>
      <c r="K8" s="127" t="e">
        <f>Summary!Q11</f>
        <v>#REF!</v>
      </c>
      <c r="L8" s="127" t="e">
        <f>Summary!R11</f>
        <v>#REF!</v>
      </c>
      <c r="M8" s="127" t="e">
        <f>Summary!S11</f>
        <v>#REF!</v>
      </c>
      <c r="N8" s="127" t="e">
        <f>Summary!T11</f>
        <v>#REF!</v>
      </c>
      <c r="O8" s="127" t="e">
        <f>Summary!U11</f>
        <v>#REF!</v>
      </c>
      <c r="P8" s="127" t="e">
        <f>Summary!V11</f>
        <v>#REF!</v>
      </c>
      <c r="Q8" s="127" t="e">
        <f>Summary!W11</f>
        <v>#REF!</v>
      </c>
      <c r="R8" s="127" t="e">
        <f>Summary!X11</f>
        <v>#REF!</v>
      </c>
      <c r="S8" s="127" t="e">
        <f>Summary!Y11</f>
        <v>#REF!</v>
      </c>
      <c r="T8" s="127" t="e">
        <f>Summary!Z11</f>
        <v>#REF!</v>
      </c>
      <c r="U8" s="127" t="e">
        <f>Summary!AA11</f>
        <v>#REF!</v>
      </c>
      <c r="V8" s="127" t="e">
        <f>Summary!AB11</f>
        <v>#REF!</v>
      </c>
    </row>
    <row r="9" spans="1:23" ht="16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</row>
    <row r="10" spans="1:23" ht="16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</row>
    <row r="32" spans="1:1">
      <c r="A32" s="129" t="s">
        <v>603</v>
      </c>
    </row>
    <row r="33" spans="1:13" ht="16">
      <c r="B33" s="126" t="s">
        <v>121</v>
      </c>
      <c r="C33" s="126" t="s">
        <v>0</v>
      </c>
      <c r="D33" s="126" t="s">
        <v>1</v>
      </c>
      <c r="E33" s="126" t="s">
        <v>2</v>
      </c>
      <c r="F33" s="126" t="s">
        <v>99</v>
      </c>
      <c r="G33" s="126" t="s">
        <v>100</v>
      </c>
      <c r="H33" s="126" t="s">
        <v>101</v>
      </c>
      <c r="I33" s="126" t="s">
        <v>102</v>
      </c>
      <c r="J33" s="126" t="s">
        <v>103</v>
      </c>
      <c r="K33" s="126" t="s">
        <v>104</v>
      </c>
      <c r="L33" s="126" t="s">
        <v>105</v>
      </c>
      <c r="M33" s="126" t="s">
        <v>106</v>
      </c>
    </row>
    <row r="34" spans="1:13">
      <c r="A34" s="6" t="s">
        <v>122</v>
      </c>
      <c r="B34" s="130">
        <f>ISBSCF!D6</f>
        <v>0</v>
      </c>
      <c r="C34" s="130" t="e">
        <f>ISBSCF!E6</f>
        <v>#REF!</v>
      </c>
      <c r="D34" s="130" t="e">
        <f>ISBSCF!F6</f>
        <v>#REF!</v>
      </c>
      <c r="E34" s="130" t="e">
        <f>ISBSCF!G6</f>
        <v>#REF!</v>
      </c>
      <c r="F34" s="130" t="e">
        <f>ISBSCF!H6</f>
        <v>#REF!</v>
      </c>
      <c r="G34" s="130" t="e">
        <f>ISBSCF!I6</f>
        <v>#REF!</v>
      </c>
      <c r="H34" s="130" t="e">
        <f>ISBSCF!J6</f>
        <v>#REF!</v>
      </c>
      <c r="I34" s="130" t="e">
        <f>ISBSCF!K6</f>
        <v>#REF!</v>
      </c>
      <c r="J34" s="130" t="e">
        <f>ISBSCF!L6</f>
        <v>#REF!</v>
      </c>
      <c r="K34" s="130" t="e">
        <f>ISBSCF!M6</f>
        <v>#REF!</v>
      </c>
      <c r="L34" s="130" t="e">
        <f>ISBSCF!N6</f>
        <v>#REF!</v>
      </c>
      <c r="M34" s="130" t="e">
        <f>ISBSCF!O6</f>
        <v>#REF!</v>
      </c>
    </row>
    <row r="35" spans="1:13">
      <c r="A35" s="6" t="s">
        <v>123</v>
      </c>
      <c r="B35" s="131"/>
      <c r="C35" s="131"/>
      <c r="D35" s="131"/>
      <c r="E35" s="131" t="e">
        <f t="shared" ref="E35:M35" si="0">E34/D34-1</f>
        <v>#REF!</v>
      </c>
      <c r="F35" s="131" t="e">
        <f t="shared" si="0"/>
        <v>#REF!</v>
      </c>
      <c r="G35" s="131" t="e">
        <f t="shared" si="0"/>
        <v>#REF!</v>
      </c>
      <c r="H35" s="131" t="e">
        <f t="shared" si="0"/>
        <v>#REF!</v>
      </c>
      <c r="I35" s="131" t="e">
        <f t="shared" si="0"/>
        <v>#REF!</v>
      </c>
      <c r="J35" s="131" t="e">
        <f t="shared" si="0"/>
        <v>#REF!</v>
      </c>
      <c r="K35" s="131" t="e">
        <f t="shared" si="0"/>
        <v>#REF!</v>
      </c>
      <c r="L35" s="131" t="e">
        <f t="shared" si="0"/>
        <v>#REF!</v>
      </c>
      <c r="M35" s="131" t="e">
        <f t="shared" si="0"/>
        <v>#REF!</v>
      </c>
    </row>
    <row r="55" spans="1:13">
      <c r="A55" s="129" t="s">
        <v>124</v>
      </c>
    </row>
    <row r="56" spans="1:13" ht="16">
      <c r="B56" s="126">
        <v>2019</v>
      </c>
      <c r="C56" s="126" t="s">
        <v>0</v>
      </c>
      <c r="D56" s="126" t="s">
        <v>1</v>
      </c>
      <c r="E56" s="126" t="s">
        <v>2</v>
      </c>
      <c r="F56" s="126" t="s">
        <v>99</v>
      </c>
      <c r="G56" s="126" t="s">
        <v>100</v>
      </c>
      <c r="H56" s="126" t="s">
        <v>101</v>
      </c>
      <c r="I56" s="126" t="s">
        <v>102</v>
      </c>
      <c r="J56" s="126" t="s">
        <v>103</v>
      </c>
      <c r="K56" s="126" t="s">
        <v>104</v>
      </c>
      <c r="L56" s="126" t="s">
        <v>105</v>
      </c>
      <c r="M56" s="126" t="s">
        <v>106</v>
      </c>
    </row>
    <row r="57" spans="1:13">
      <c r="A57" s="6" t="s">
        <v>125</v>
      </c>
      <c r="B57" s="203">
        <f>ISBSCF!D8</f>
        <v>0</v>
      </c>
      <c r="C57" s="203" t="e">
        <f>ISBSCF!E8</f>
        <v>#REF!</v>
      </c>
      <c r="D57" s="203" t="e">
        <f>ISBSCF!F8</f>
        <v>#REF!</v>
      </c>
      <c r="E57" s="203" t="e">
        <f>ISBSCF!G8</f>
        <v>#REF!</v>
      </c>
      <c r="F57" s="203" t="e">
        <f>ISBSCF!H8</f>
        <v>#REF!</v>
      </c>
      <c r="G57" s="203" t="e">
        <f>ISBSCF!I8</f>
        <v>#REF!</v>
      </c>
      <c r="H57" s="203" t="e">
        <f>ISBSCF!J8</f>
        <v>#REF!</v>
      </c>
      <c r="I57" s="203" t="e">
        <f>ISBSCF!K8</f>
        <v>#REF!</v>
      </c>
      <c r="J57" s="203" t="e">
        <f>ISBSCF!L8</f>
        <v>#REF!</v>
      </c>
      <c r="K57" s="203" t="e">
        <f>ISBSCF!M8</f>
        <v>#REF!</v>
      </c>
      <c r="L57" s="203" t="e">
        <f>ISBSCF!N8</f>
        <v>#REF!</v>
      </c>
      <c r="M57" s="203" t="e">
        <f>ISBSCF!O8</f>
        <v>#REF!</v>
      </c>
    </row>
    <row r="58" spans="1:13">
      <c r="A58" s="6" t="s">
        <v>126</v>
      </c>
      <c r="B58" s="131"/>
      <c r="C58" s="131"/>
      <c r="D58" s="131"/>
      <c r="E58" s="131" t="e">
        <f t="shared" ref="E58:M58" si="1">E57/D57-1</f>
        <v>#REF!</v>
      </c>
      <c r="F58" s="131" t="e">
        <f t="shared" si="1"/>
        <v>#REF!</v>
      </c>
      <c r="G58" s="131" t="e">
        <f t="shared" si="1"/>
        <v>#REF!</v>
      </c>
      <c r="H58" s="131" t="e">
        <f t="shared" si="1"/>
        <v>#REF!</v>
      </c>
      <c r="I58" s="131" t="e">
        <f t="shared" si="1"/>
        <v>#REF!</v>
      </c>
      <c r="J58" s="131" t="e">
        <f t="shared" si="1"/>
        <v>#REF!</v>
      </c>
      <c r="K58" s="131" t="e">
        <f t="shared" si="1"/>
        <v>#REF!</v>
      </c>
      <c r="L58" s="131" t="e">
        <f t="shared" si="1"/>
        <v>#REF!</v>
      </c>
      <c r="M58" s="131" t="e">
        <f t="shared" si="1"/>
        <v>#REF!</v>
      </c>
    </row>
    <row r="76" spans="1:13">
      <c r="A76" s="129" t="s">
        <v>127</v>
      </c>
    </row>
    <row r="77" spans="1:13" ht="16">
      <c r="B77" s="126">
        <v>2019</v>
      </c>
      <c r="C77" s="126" t="s">
        <v>0</v>
      </c>
      <c r="D77" s="126" t="s">
        <v>1</v>
      </c>
      <c r="E77" s="126" t="s">
        <v>2</v>
      </c>
      <c r="F77" s="126" t="s">
        <v>99</v>
      </c>
      <c r="G77" s="126" t="s">
        <v>100</v>
      </c>
      <c r="H77" s="126" t="s">
        <v>101</v>
      </c>
      <c r="I77" s="126" t="s">
        <v>102</v>
      </c>
      <c r="J77" s="126" t="s">
        <v>103</v>
      </c>
      <c r="K77" s="126" t="s">
        <v>104</v>
      </c>
      <c r="L77" s="126" t="s">
        <v>105</v>
      </c>
      <c r="M77" s="126" t="s">
        <v>106</v>
      </c>
    </row>
    <row r="78" spans="1:13">
      <c r="A78" s="6" t="s">
        <v>128</v>
      </c>
      <c r="B78" s="203">
        <f>ISBSCF!D25</f>
        <v>-45.905000000000001</v>
      </c>
      <c r="C78" s="203" t="e">
        <f>ISBSCF!E25</f>
        <v>#REF!</v>
      </c>
      <c r="D78" s="203" t="e">
        <f>ISBSCF!F25</f>
        <v>#REF!</v>
      </c>
      <c r="E78" s="203" t="e">
        <f>ISBSCF!G25</f>
        <v>#REF!</v>
      </c>
      <c r="F78" s="203" t="e">
        <f>ISBSCF!H25</f>
        <v>#REF!</v>
      </c>
      <c r="G78" s="203" t="e">
        <f>ISBSCF!I25</f>
        <v>#REF!</v>
      </c>
      <c r="H78" s="203" t="e">
        <f>ISBSCF!J25</f>
        <v>#REF!</v>
      </c>
      <c r="I78" s="203" t="e">
        <f>ISBSCF!K25</f>
        <v>#REF!</v>
      </c>
      <c r="J78" s="203" t="e">
        <f>ISBSCF!L25</f>
        <v>#REF!</v>
      </c>
      <c r="K78" s="203" t="e">
        <f>ISBSCF!M25</f>
        <v>#REF!</v>
      </c>
      <c r="L78" s="203" t="e">
        <f>ISBSCF!N25</f>
        <v>#REF!</v>
      </c>
      <c r="M78" s="203" t="e">
        <f>ISBSCF!O25</f>
        <v>#REF!</v>
      </c>
    </row>
    <row r="79" spans="1:13">
      <c r="A79" s="6" t="s">
        <v>129</v>
      </c>
      <c r="B79" s="131"/>
      <c r="C79" s="131" t="str">
        <f t="shared" ref="C79:H79" si="2">IFERROR(-(C78/B78-1),"NM")</f>
        <v>NM</v>
      </c>
      <c r="D79" s="131" t="str">
        <f t="shared" si="2"/>
        <v>NM</v>
      </c>
      <c r="E79" s="131" t="str">
        <f t="shared" si="2"/>
        <v>NM</v>
      </c>
      <c r="F79" s="131" t="str">
        <f t="shared" si="2"/>
        <v>NM</v>
      </c>
      <c r="G79" s="131" t="str">
        <f t="shared" si="2"/>
        <v>NM</v>
      </c>
      <c r="H79" s="131" t="str">
        <f t="shared" si="2"/>
        <v>NM</v>
      </c>
      <c r="I79" s="131" t="e">
        <f>I78/H78-1</f>
        <v>#REF!</v>
      </c>
      <c r="J79" s="131" t="e">
        <f>J78/I78-1</f>
        <v>#REF!</v>
      </c>
      <c r="K79" s="131" t="e">
        <f>K78/J78-1</f>
        <v>#REF!</v>
      </c>
      <c r="L79" s="131" t="e">
        <f>L78/K78-1</f>
        <v>#REF!</v>
      </c>
      <c r="M79" s="131" t="e">
        <f>M78/L78-1</f>
        <v>#REF!</v>
      </c>
    </row>
    <row r="80" spans="1:13"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</row>
    <row r="81" spans="1:13"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</row>
    <row r="82" spans="1:13"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</row>
    <row r="84" spans="1:13">
      <c r="A84" s="132" t="s">
        <v>130</v>
      </c>
    </row>
    <row r="85" spans="1:13" ht="16">
      <c r="B85" s="126" t="s">
        <v>121</v>
      </c>
      <c r="C85" s="126" t="s">
        <v>0</v>
      </c>
      <c r="D85" s="126" t="s">
        <v>1</v>
      </c>
      <c r="E85" s="126" t="s">
        <v>2</v>
      </c>
      <c r="F85" s="126" t="s">
        <v>99</v>
      </c>
      <c r="G85" s="126" t="s">
        <v>100</v>
      </c>
      <c r="H85" s="126" t="s">
        <v>101</v>
      </c>
      <c r="I85" s="126" t="s">
        <v>102</v>
      </c>
      <c r="J85" s="126" t="s">
        <v>103</v>
      </c>
      <c r="K85" s="126" t="s">
        <v>104</v>
      </c>
      <c r="L85" s="126" t="s">
        <v>105</v>
      </c>
      <c r="M85" s="126" t="s">
        <v>106</v>
      </c>
    </row>
    <row r="86" spans="1:13">
      <c r="A86" s="6" t="s">
        <v>74</v>
      </c>
      <c r="B86" s="128">
        <f>B57</f>
        <v>0</v>
      </c>
      <c r="C86" s="128" t="e">
        <f t="shared" ref="C86:M86" si="3">C57</f>
        <v>#REF!</v>
      </c>
      <c r="D86" s="128" t="e">
        <f t="shared" si="3"/>
        <v>#REF!</v>
      </c>
      <c r="E86" s="128" t="e">
        <f t="shared" si="3"/>
        <v>#REF!</v>
      </c>
      <c r="F86" s="128" t="e">
        <f t="shared" si="3"/>
        <v>#REF!</v>
      </c>
      <c r="G86" s="128" t="e">
        <f t="shared" si="3"/>
        <v>#REF!</v>
      </c>
      <c r="H86" s="128" t="e">
        <f t="shared" si="3"/>
        <v>#REF!</v>
      </c>
      <c r="I86" s="128" t="e">
        <f t="shared" si="3"/>
        <v>#REF!</v>
      </c>
      <c r="J86" s="128" t="e">
        <f t="shared" si="3"/>
        <v>#REF!</v>
      </c>
      <c r="K86" s="128" t="e">
        <f t="shared" si="3"/>
        <v>#REF!</v>
      </c>
      <c r="L86" s="128" t="e">
        <f t="shared" si="3"/>
        <v>#REF!</v>
      </c>
      <c r="M86" s="128" t="e">
        <f t="shared" si="3"/>
        <v>#REF!</v>
      </c>
    </row>
    <row r="87" spans="1:13">
      <c r="A87" s="6" t="s">
        <v>131</v>
      </c>
      <c r="B87" s="128">
        <f>ISBSCF!D25</f>
        <v>-45.905000000000001</v>
      </c>
      <c r="C87" s="128" t="e">
        <f>ISBSCF!E25</f>
        <v>#REF!</v>
      </c>
      <c r="D87" s="128" t="e">
        <f>ISBSCF!F25</f>
        <v>#REF!</v>
      </c>
      <c r="E87" s="128" t="e">
        <f>ISBSCF!G25</f>
        <v>#REF!</v>
      </c>
      <c r="F87" s="128" t="e">
        <f>ISBSCF!H25</f>
        <v>#REF!</v>
      </c>
      <c r="G87" s="128" t="e">
        <f>ISBSCF!I25</f>
        <v>#REF!</v>
      </c>
      <c r="H87" s="128" t="e">
        <f>ISBSCF!J25</f>
        <v>#REF!</v>
      </c>
      <c r="I87" s="128" t="e">
        <f>ISBSCF!K25</f>
        <v>#REF!</v>
      </c>
      <c r="J87" s="128" t="e">
        <f>ISBSCF!L25</f>
        <v>#REF!</v>
      </c>
      <c r="K87" s="128" t="e">
        <f>ISBSCF!M25</f>
        <v>#REF!</v>
      </c>
      <c r="L87" s="128" t="e">
        <f>ISBSCF!N25</f>
        <v>#REF!</v>
      </c>
      <c r="M87" s="128" t="e">
        <f>ISBSCF!O25</f>
        <v>#REF!</v>
      </c>
    </row>
    <row r="88" spans="1:13">
      <c r="A88" s="6" t="s">
        <v>80</v>
      </c>
      <c r="B88" s="131" t="e">
        <f>B86/ISBSCF!D6</f>
        <v>#DIV/0!</v>
      </c>
      <c r="C88" s="131" t="e">
        <f>C86/ISBSCF!E6</f>
        <v>#REF!</v>
      </c>
      <c r="D88" s="131" t="e">
        <f>D86/ISBSCF!F6</f>
        <v>#REF!</v>
      </c>
      <c r="E88" s="131" t="e">
        <f>E86/ISBSCF!G6</f>
        <v>#REF!</v>
      </c>
      <c r="F88" s="131" t="e">
        <f>F86/ISBSCF!H6</f>
        <v>#REF!</v>
      </c>
      <c r="G88" s="131" t="e">
        <f>G86/ISBSCF!I6</f>
        <v>#REF!</v>
      </c>
      <c r="H88" s="131" t="e">
        <f>H86/ISBSCF!J6</f>
        <v>#REF!</v>
      </c>
      <c r="I88" s="131" t="e">
        <f>I86/ISBSCF!K6</f>
        <v>#REF!</v>
      </c>
      <c r="J88" s="131" t="e">
        <f>J86/ISBSCF!L6</f>
        <v>#REF!</v>
      </c>
      <c r="K88" s="131" t="e">
        <f>K86/ISBSCF!M6</f>
        <v>#REF!</v>
      </c>
      <c r="L88" s="131" t="e">
        <f>L86/ISBSCF!N6</f>
        <v>#REF!</v>
      </c>
      <c r="M88" s="131" t="e">
        <f>M86/ISBSCF!O6</f>
        <v>#REF!</v>
      </c>
    </row>
    <row r="89" spans="1:13">
      <c r="A89" s="6" t="s">
        <v>132</v>
      </c>
      <c r="B89" s="133" t="e">
        <f>B87/ISBSCF!D6</f>
        <v>#DIV/0!</v>
      </c>
      <c r="C89" s="133" t="e">
        <f>C87/ISBSCF!E6</f>
        <v>#REF!</v>
      </c>
      <c r="D89" s="133" t="e">
        <f>D87/ISBSCF!F6</f>
        <v>#REF!</v>
      </c>
      <c r="E89" s="133" t="e">
        <f>E87/ISBSCF!G6</f>
        <v>#REF!</v>
      </c>
      <c r="F89" s="133" t="e">
        <f>F87/ISBSCF!H6</f>
        <v>#REF!</v>
      </c>
      <c r="G89" s="133" t="e">
        <f>G87/ISBSCF!I6</f>
        <v>#REF!</v>
      </c>
      <c r="H89" s="133" t="e">
        <f>H87/ISBSCF!J6</f>
        <v>#REF!</v>
      </c>
      <c r="I89" s="133" t="e">
        <f>I87/ISBSCF!K6</f>
        <v>#REF!</v>
      </c>
      <c r="J89" s="133" t="e">
        <f>J87/ISBSCF!L6</f>
        <v>#REF!</v>
      </c>
      <c r="K89" s="133" t="e">
        <f>K87/ISBSCF!M6</f>
        <v>#REF!</v>
      </c>
      <c r="L89" s="133" t="e">
        <f>L87/ISBSCF!N6</f>
        <v>#REF!</v>
      </c>
      <c r="M89" s="133" t="e">
        <f>M87/ISBSCF!O6</f>
        <v>#REF!</v>
      </c>
    </row>
    <row r="108" spans="1:13">
      <c r="A108" s="132" t="s">
        <v>133</v>
      </c>
    </row>
    <row r="109" spans="1:13" ht="16">
      <c r="B109" s="126">
        <v>2018</v>
      </c>
      <c r="C109" s="6">
        <v>2019</v>
      </c>
      <c r="D109" s="126" t="s">
        <v>0</v>
      </c>
      <c r="E109" s="126" t="s">
        <v>1</v>
      </c>
      <c r="F109" s="126" t="s">
        <v>2</v>
      </c>
      <c r="G109" s="126" t="s">
        <v>99</v>
      </c>
      <c r="H109" s="126" t="s">
        <v>100</v>
      </c>
      <c r="I109" s="126" t="s">
        <v>101</v>
      </c>
      <c r="J109" s="126" t="s">
        <v>102</v>
      </c>
      <c r="K109" s="126" t="s">
        <v>103</v>
      </c>
      <c r="L109" s="126" t="s">
        <v>104</v>
      </c>
      <c r="M109" s="126"/>
    </row>
    <row r="110" spans="1:13">
      <c r="A110" s="6" t="s">
        <v>5</v>
      </c>
      <c r="B110" s="128">
        <f>DCF!G14</f>
        <v>0</v>
      </c>
      <c r="C110" s="128">
        <f>DCF!H14</f>
        <v>-45.046999999999997</v>
      </c>
      <c r="D110" s="128" t="e">
        <f>DCF!I14</f>
        <v>#REF!</v>
      </c>
      <c r="E110" s="128" t="e">
        <f>DCF!J14</f>
        <v>#REF!</v>
      </c>
      <c r="F110" s="128" t="e">
        <f>DCF!K14</f>
        <v>#REF!</v>
      </c>
      <c r="G110" s="128" t="e">
        <f>DCF!L14</f>
        <v>#REF!</v>
      </c>
      <c r="H110" s="128" t="e">
        <f>DCF!M14</f>
        <v>#REF!</v>
      </c>
      <c r="I110" s="128" t="e">
        <f>DCF!N14</f>
        <v>#REF!</v>
      </c>
      <c r="J110" s="128" t="e">
        <f>DCF!O14</f>
        <v>#REF!</v>
      </c>
      <c r="K110" s="128" t="e">
        <f>DCF!P14</f>
        <v>#REF!</v>
      </c>
      <c r="L110" s="128" t="e">
        <f>DCF!Q14</f>
        <v>#REF!</v>
      </c>
    </row>
    <row r="131" spans="1:15">
      <c r="A131" s="132" t="s">
        <v>134</v>
      </c>
    </row>
    <row r="132" spans="1:15">
      <c r="B132" s="6" t="s">
        <v>0</v>
      </c>
      <c r="C132" s="6" t="s">
        <v>1</v>
      </c>
      <c r="D132" s="6" t="s">
        <v>2</v>
      </c>
      <c r="E132" s="6" t="s">
        <v>99</v>
      </c>
    </row>
    <row r="133" spans="1:15">
      <c r="A133" s="6" t="s">
        <v>135</v>
      </c>
      <c r="B133" s="128">
        <f>-ISBSCF!E11</f>
        <v>27.663</v>
      </c>
      <c r="C133" s="128">
        <f>-ISBSCF!F11</f>
        <v>41.494500000000002</v>
      </c>
      <c r="D133" s="128">
        <f>-ISBSCF!G11</f>
        <v>58.092300000000002</v>
      </c>
      <c r="E133" s="128">
        <f>-ISBSCF!H11</f>
        <v>81.329219999999992</v>
      </c>
      <c r="F133" s="128">
        <f>-ISBSCF!I11</f>
        <v>113.86090799999998</v>
      </c>
      <c r="G133" s="128"/>
      <c r="H133" s="128"/>
      <c r="I133" s="128"/>
      <c r="J133" s="128"/>
    </row>
    <row r="134" spans="1:15">
      <c r="A134" s="6" t="s">
        <v>136</v>
      </c>
      <c r="B134" s="128">
        <f>-ISBSCF!E13</f>
        <v>0</v>
      </c>
      <c r="C134" s="128" t="e">
        <f>-ISBSCF!F13</f>
        <v>#REF!</v>
      </c>
      <c r="D134" s="128" t="e">
        <f>-ISBSCF!G13</f>
        <v>#REF!</v>
      </c>
      <c r="E134" s="128" t="e">
        <f>-ISBSCF!H13</f>
        <v>#REF!</v>
      </c>
      <c r="F134" s="128" t="e">
        <f>-ISBSCF!I13</f>
        <v>#REF!</v>
      </c>
      <c r="G134" s="128"/>
      <c r="H134" s="128"/>
      <c r="I134" s="128"/>
      <c r="J134" s="128"/>
    </row>
    <row r="135" spans="1:15">
      <c r="A135" s="6" t="s">
        <v>137</v>
      </c>
      <c r="B135" s="128">
        <f>-ISBSCF!E12</f>
        <v>9.4589999999999996</v>
      </c>
      <c r="C135" s="128">
        <f>-ISBSCF!F12</f>
        <v>14.188499999999999</v>
      </c>
      <c r="D135" s="128">
        <f>-ISBSCF!G12</f>
        <v>21.28275</v>
      </c>
      <c r="E135" s="128">
        <f>-ISBSCF!H12</f>
        <v>31.924125</v>
      </c>
      <c r="F135" s="128">
        <f>-ISBSCF!I12</f>
        <v>47.886187499999998</v>
      </c>
      <c r="G135" s="128"/>
      <c r="H135" s="128"/>
      <c r="I135" s="128"/>
      <c r="J135" s="128"/>
    </row>
    <row r="136" spans="1:15">
      <c r="A136" s="6" t="s">
        <v>138</v>
      </c>
      <c r="B136" s="128">
        <f>-DCF!I13</f>
        <v>10.313000000000001</v>
      </c>
      <c r="C136" s="128">
        <f>-DCF!J13</f>
        <v>10.356999999999999</v>
      </c>
      <c r="D136" s="128">
        <f>-DCF!K13</f>
        <v>10.356999999999999</v>
      </c>
      <c r="E136" s="128">
        <f>-DCF!L13</f>
        <v>10.356999999999999</v>
      </c>
      <c r="F136" s="128">
        <f>-DCF!M13</f>
        <v>10.356999999999999</v>
      </c>
      <c r="G136" s="128"/>
      <c r="H136" s="128"/>
      <c r="I136" s="128"/>
      <c r="J136" s="128"/>
    </row>
    <row r="141" spans="1:15">
      <c r="O141" s="6" t="s">
        <v>139</v>
      </c>
    </row>
    <row r="150" spans="2:7">
      <c r="B150" s="199" t="s">
        <v>140</v>
      </c>
      <c r="C150" s="200" t="s">
        <v>141</v>
      </c>
      <c r="D150" s="200" t="s">
        <v>142</v>
      </c>
      <c r="E150" s="200" t="s">
        <v>143</v>
      </c>
      <c r="F150" s="200" t="s">
        <v>144</v>
      </c>
      <c r="G150" s="200" t="s">
        <v>6</v>
      </c>
    </row>
    <row r="151" spans="2:7">
      <c r="B151" s="379" t="s">
        <v>117</v>
      </c>
      <c r="C151" s="1">
        <f>Summary!I35</f>
        <v>2024</v>
      </c>
      <c r="D151" s="202">
        <f>Summary!G35</f>
        <v>324.55916753220492</v>
      </c>
      <c r="E151" s="202">
        <f>Summary!G44</f>
        <v>16.402054776479758</v>
      </c>
      <c r="F151" s="1">
        <f>Summary!K35</f>
        <v>2029</v>
      </c>
      <c r="G151" s="1"/>
    </row>
    <row r="152" spans="2:7">
      <c r="B152" s="379" t="s">
        <v>118</v>
      </c>
      <c r="C152" s="1">
        <f>Summary!I36</f>
        <v>2026</v>
      </c>
      <c r="D152" s="202" t="e">
        <f>Summary!G36</f>
        <v>#REF!</v>
      </c>
      <c r="E152" s="202" t="e">
        <f>Summary!G45</f>
        <v>#REF!</v>
      </c>
      <c r="F152" s="1">
        <f>Summary!K36</f>
        <v>2032</v>
      </c>
      <c r="G152" s="202" t="s">
        <v>8</v>
      </c>
    </row>
    <row r="153" spans="2:7">
      <c r="B153" s="7" t="s">
        <v>119</v>
      </c>
      <c r="C153" s="1">
        <f>Summary!I37</f>
        <v>2024</v>
      </c>
      <c r="D153" s="202" t="e">
        <f>Summary!G37</f>
        <v>#REF!</v>
      </c>
      <c r="E153" s="202" t="e">
        <f>Summary!G46</f>
        <v>#REF!</v>
      </c>
      <c r="F153" s="1">
        <f>Summary!K37</f>
        <v>2030</v>
      </c>
      <c r="G153" s="202" t="s">
        <v>9</v>
      </c>
    </row>
    <row r="154" spans="2:7">
      <c r="B154" s="379" t="s">
        <v>120</v>
      </c>
      <c r="C154" s="1">
        <f>Summary!I38</f>
        <v>2025</v>
      </c>
      <c r="D154" s="202" t="e">
        <f>Summary!G38</f>
        <v>#REF!</v>
      </c>
      <c r="E154" s="202" t="e">
        <f>Summary!G47</f>
        <v>#REF!</v>
      </c>
      <c r="F154" s="1">
        <f>Summary!K38</f>
        <v>2030</v>
      </c>
      <c r="G154" s="202" t="s">
        <v>7</v>
      </c>
    </row>
    <row r="155" spans="2:7">
      <c r="B155" s="7"/>
      <c r="C155" s="201"/>
      <c r="D155" s="202"/>
      <c r="E155" s="202"/>
      <c r="F155" s="234"/>
      <c r="G155" s="202"/>
    </row>
    <row r="156" spans="2:7">
      <c r="B156" s="380"/>
      <c r="C156" s="1"/>
      <c r="D156" s="202"/>
      <c r="E156" s="202"/>
      <c r="F156" s="1"/>
      <c r="G156" s="1"/>
    </row>
    <row r="157" spans="2:7">
      <c r="B157" s="391"/>
      <c r="C157" s="392"/>
      <c r="D157" s="392"/>
      <c r="E157" s="392"/>
      <c r="F157" s="392"/>
      <c r="G157" s="392"/>
    </row>
    <row r="158" spans="2:7">
      <c r="B158" s="391"/>
      <c r="C158" s="392"/>
      <c r="D158" s="392"/>
      <c r="E158" s="392"/>
      <c r="F158" s="392"/>
      <c r="G158" s="392"/>
    </row>
    <row r="171" spans="2:2">
      <c r="B171" s="1"/>
    </row>
    <row r="177" spans="2:5">
      <c r="E177" s="220"/>
    </row>
    <row r="178" spans="2:5">
      <c r="E178" s="219"/>
    </row>
    <row r="179" spans="2:5">
      <c r="E179" s="219"/>
    </row>
    <row r="180" spans="2:5">
      <c r="E180" s="219"/>
    </row>
    <row r="181" spans="2:5">
      <c r="E181" s="219"/>
    </row>
    <row r="182" spans="2:5">
      <c r="B182" s="381"/>
      <c r="C182" s="381">
        <v>2019</v>
      </c>
      <c r="D182" s="381" t="s">
        <v>145</v>
      </c>
      <c r="E182" s="219"/>
    </row>
    <row r="183" spans="2:5">
      <c r="B183" s="382" t="s">
        <v>146</v>
      </c>
      <c r="C183" s="383">
        <v>12.680999999999999</v>
      </c>
      <c r="D183" s="383">
        <v>16.462</v>
      </c>
      <c r="E183" s="221"/>
    </row>
    <row r="184" spans="2:5">
      <c r="B184" s="382" t="s">
        <v>147</v>
      </c>
      <c r="C184" s="383">
        <v>4.2590000000000003</v>
      </c>
      <c r="D184" s="383">
        <v>4.6379999999999999</v>
      </c>
      <c r="E184" s="133"/>
    </row>
    <row r="185" spans="2:5">
      <c r="B185" s="382" t="s">
        <v>148</v>
      </c>
      <c r="C185" s="383">
        <v>1.502</v>
      </c>
      <c r="D185" s="383">
        <v>0.97099999999999997</v>
      </c>
    </row>
    <row r="186" spans="2:5">
      <c r="B186" s="384" t="s">
        <v>149</v>
      </c>
      <c r="C186" s="385">
        <f>SUM(C183:C185)</f>
        <v>18.441999999999997</v>
      </c>
      <c r="D186" s="385">
        <f>SUM(D183:D185)</f>
        <v>22.071000000000002</v>
      </c>
    </row>
    <row r="187" spans="2:5">
      <c r="B187" s="382" t="s">
        <v>150</v>
      </c>
      <c r="C187" s="382"/>
      <c r="D187" s="386">
        <f>D186/C186-1</f>
        <v>0.19677909120485881</v>
      </c>
    </row>
    <row r="198" spans="8:10" ht="24">
      <c r="H198" s="377" t="s">
        <v>140</v>
      </c>
      <c r="I198" s="377" t="s">
        <v>46</v>
      </c>
      <c r="J198" s="377" t="s">
        <v>48</v>
      </c>
    </row>
    <row r="199" spans="8:10" ht="24">
      <c r="H199" s="448" t="s">
        <v>117</v>
      </c>
      <c r="I199" s="378" t="s">
        <v>151</v>
      </c>
      <c r="J199" s="388">
        <v>90.066240000000008</v>
      </c>
    </row>
    <row r="200" spans="8:10">
      <c r="H200" s="448"/>
      <c r="I200" s="378" t="s">
        <v>152</v>
      </c>
      <c r="J200" s="388">
        <v>90.066240000000008</v>
      </c>
    </row>
    <row r="201" spans="8:10">
      <c r="H201" s="448"/>
      <c r="I201" s="378" t="s">
        <v>153</v>
      </c>
      <c r="J201" s="388">
        <v>90.066240000000008</v>
      </c>
    </row>
    <row r="202" spans="8:10" ht="24">
      <c r="H202" s="448" t="s">
        <v>118</v>
      </c>
      <c r="I202" s="378" t="s">
        <v>151</v>
      </c>
      <c r="J202" s="387">
        <v>378.04</v>
      </c>
    </row>
    <row r="203" spans="8:10" ht="20" customHeight="1">
      <c r="H203" s="448"/>
      <c r="I203" s="378" t="s">
        <v>154</v>
      </c>
      <c r="J203" s="387"/>
    </row>
    <row r="204" spans="8:10">
      <c r="H204" s="427" t="s">
        <v>119</v>
      </c>
      <c r="I204" s="378" t="s">
        <v>154</v>
      </c>
      <c r="J204" s="388">
        <v>119.44799999999999</v>
      </c>
    </row>
    <row r="205" spans="8:10" ht="24">
      <c r="H205" s="448" t="s">
        <v>120</v>
      </c>
      <c r="I205" s="378" t="s">
        <v>151</v>
      </c>
      <c r="J205" s="388">
        <v>221.37142857142854</v>
      </c>
    </row>
    <row r="206" spans="8:10">
      <c r="H206" s="448"/>
      <c r="I206" s="378" t="s">
        <v>155</v>
      </c>
      <c r="J206" s="388">
        <v>366.69880000000001</v>
      </c>
    </row>
    <row r="207" spans="8:10">
      <c r="H207" s="448"/>
      <c r="I207" s="378" t="s">
        <v>156</v>
      </c>
      <c r="J207" s="388"/>
    </row>
    <row r="208" spans="8:10">
      <c r="H208" s="448"/>
      <c r="I208" s="378" t="s">
        <v>157</v>
      </c>
      <c r="J208" s="388"/>
    </row>
    <row r="209" spans="8:13">
      <c r="H209" s="448"/>
      <c r="I209" s="378" t="s">
        <v>158</v>
      </c>
      <c r="J209" s="388"/>
    </row>
    <row r="210" spans="8:13">
      <c r="H210" s="448"/>
      <c r="I210" s="378" t="s">
        <v>159</v>
      </c>
      <c r="J210" s="388"/>
    </row>
    <row r="211" spans="8:13">
      <c r="H211" s="448"/>
      <c r="I211" s="378" t="s">
        <v>160</v>
      </c>
      <c r="J211" s="393"/>
    </row>
    <row r="212" spans="8:13">
      <c r="L212" s="6">
        <v>1000</v>
      </c>
    </row>
    <row r="221" spans="8:13">
      <c r="M221" s="379"/>
    </row>
    <row r="222" spans="8:13">
      <c r="M222" s="379"/>
    </row>
    <row r="223" spans="8:13">
      <c r="M223" s="7"/>
    </row>
    <row r="224" spans="8:13">
      <c r="M224" s="379"/>
    </row>
    <row r="225" spans="13:13">
      <c r="M225" s="7"/>
    </row>
    <row r="226" spans="13:13">
      <c r="M226" s="380"/>
    </row>
  </sheetData>
  <mergeCells count="3">
    <mergeCell ref="H199:H201"/>
    <mergeCell ref="H202:H203"/>
    <mergeCell ref="H205:H2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7"/>
  <sheetViews>
    <sheetView topLeftCell="E1" workbookViewId="0"/>
  </sheetViews>
  <sheetFormatPr baseColWidth="10" defaultColWidth="9.1640625" defaultRowHeight="14"/>
  <cols>
    <col min="1" max="1" width="31.6640625" style="6" hidden="1" customWidth="1"/>
    <col min="2" max="2" width="9" style="6" hidden="1" customWidth="1"/>
    <col min="3" max="3" width="13.5" style="6" hidden="1" customWidth="1"/>
    <col min="4" max="4" width="11" style="6" hidden="1" customWidth="1"/>
    <col min="5" max="5" width="10" style="6" customWidth="1"/>
    <col min="6" max="6" width="24.6640625" style="6" customWidth="1"/>
    <col min="7" max="14" width="13" style="6" customWidth="1"/>
    <col min="15" max="16384" width="9.1640625" style="6"/>
  </cols>
  <sheetData>
    <row r="1" spans="1:28">
      <c r="A1" s="430" t="s">
        <v>601</v>
      </c>
    </row>
    <row r="5" spans="1:28">
      <c r="F5" s="300" t="s">
        <v>161</v>
      </c>
      <c r="G5" s="5">
        <v>2019</v>
      </c>
      <c r="H5" s="5">
        <f>G5+1</f>
        <v>2020</v>
      </c>
      <c r="I5" s="5">
        <f t="shared" ref="I5:AB5" si="0">H5+1</f>
        <v>2021</v>
      </c>
      <c r="J5" s="5">
        <f t="shared" si="0"/>
        <v>2022</v>
      </c>
      <c r="K5" s="5">
        <f t="shared" si="0"/>
        <v>2023</v>
      </c>
      <c r="L5" s="5">
        <f t="shared" si="0"/>
        <v>2024</v>
      </c>
      <c r="M5" s="5">
        <f t="shared" si="0"/>
        <v>2025</v>
      </c>
      <c r="N5" s="5">
        <f t="shared" si="0"/>
        <v>2026</v>
      </c>
      <c r="O5" s="5">
        <f t="shared" si="0"/>
        <v>2027</v>
      </c>
      <c r="P5" s="5">
        <f t="shared" si="0"/>
        <v>2028</v>
      </c>
      <c r="Q5" s="5">
        <f t="shared" si="0"/>
        <v>2029</v>
      </c>
      <c r="R5" s="5">
        <f t="shared" si="0"/>
        <v>2030</v>
      </c>
      <c r="S5" s="5">
        <f t="shared" si="0"/>
        <v>2031</v>
      </c>
      <c r="T5" s="5">
        <f t="shared" si="0"/>
        <v>2032</v>
      </c>
      <c r="U5" s="5">
        <f t="shared" si="0"/>
        <v>2033</v>
      </c>
      <c r="V5" s="5">
        <f t="shared" si="0"/>
        <v>2034</v>
      </c>
      <c r="W5" s="5">
        <f t="shared" si="0"/>
        <v>2035</v>
      </c>
      <c r="X5" s="5">
        <f t="shared" si="0"/>
        <v>2036</v>
      </c>
      <c r="Y5" s="5">
        <f t="shared" si="0"/>
        <v>2037</v>
      </c>
      <c r="Z5" s="5">
        <f t="shared" si="0"/>
        <v>2038</v>
      </c>
      <c r="AA5" s="5">
        <f t="shared" si="0"/>
        <v>2039</v>
      </c>
      <c r="AB5" s="5">
        <f t="shared" si="0"/>
        <v>2040</v>
      </c>
    </row>
    <row r="6" spans="1:28">
      <c r="F6" s="300" t="s">
        <v>162</v>
      </c>
      <c r="G6" s="5">
        <v>0</v>
      </c>
      <c r="H6" s="5">
        <v>1</v>
      </c>
      <c r="I6" s="5">
        <v>2</v>
      </c>
      <c r="J6" s="5">
        <v>3</v>
      </c>
      <c r="K6" s="5">
        <v>4</v>
      </c>
      <c r="L6" s="5">
        <v>5</v>
      </c>
      <c r="M6" s="5">
        <v>6</v>
      </c>
      <c r="N6" s="5">
        <v>7</v>
      </c>
      <c r="O6" s="5">
        <v>8</v>
      </c>
      <c r="P6" s="5">
        <v>9</v>
      </c>
      <c r="Q6" s="5">
        <v>10</v>
      </c>
      <c r="R6" s="5">
        <v>11</v>
      </c>
      <c r="S6" s="5">
        <v>12</v>
      </c>
      <c r="T6" s="5">
        <v>13</v>
      </c>
      <c r="U6" s="5">
        <v>14</v>
      </c>
      <c r="V6" s="5">
        <v>15</v>
      </c>
      <c r="W6" s="5">
        <v>16</v>
      </c>
      <c r="X6" s="5">
        <v>17</v>
      </c>
      <c r="Y6" s="5">
        <v>18</v>
      </c>
      <c r="Z6" s="5">
        <v>19</v>
      </c>
      <c r="AA6" s="5">
        <v>20</v>
      </c>
      <c r="AB6" s="5">
        <v>21</v>
      </c>
    </row>
    <row r="7" spans="1:28">
      <c r="F7" s="300" t="s">
        <v>163</v>
      </c>
      <c r="G7" s="301"/>
      <c r="H7" s="301"/>
      <c r="I7" s="301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</row>
    <row r="8" spans="1:28">
      <c r="F8" s="7" t="s">
        <v>117</v>
      </c>
      <c r="G8" s="303">
        <f>'APL101'!P135</f>
        <v>0</v>
      </c>
      <c r="H8" s="303">
        <f>'APL101'!Q135</f>
        <v>0</v>
      </c>
      <c r="I8" s="303">
        <f>'APL101'!R135</f>
        <v>0</v>
      </c>
      <c r="J8" s="303">
        <f>'APL101'!S135</f>
        <v>0</v>
      </c>
      <c r="K8" s="303">
        <f>'APL101'!T135</f>
        <v>0</v>
      </c>
      <c r="L8" s="303">
        <f>'APL101'!U135</f>
        <v>30.668977212824018</v>
      </c>
      <c r="M8" s="303">
        <f>'APL101'!V135</f>
        <v>94.391776613040804</v>
      </c>
      <c r="N8" s="303">
        <f>'APL101'!W135</f>
        <v>161.45759180784026</v>
      </c>
      <c r="O8" s="303">
        <f>'APL101'!X135</f>
        <v>232.06926800162577</v>
      </c>
      <c r="P8" s="303">
        <f>'APL101'!Y135</f>
        <v>306.43786408050261</v>
      </c>
      <c r="Q8" s="303">
        <f>'APL101'!Z135</f>
        <v>324.55916753220492</v>
      </c>
      <c r="R8" s="303">
        <f>'APL101'!AA135</f>
        <v>307.3282222215604</v>
      </c>
      <c r="S8" s="303">
        <f>'APL101'!AB135</f>
        <v>291.06547348905031</v>
      </c>
      <c r="T8" s="303">
        <f>'APL101'!AC135</f>
        <v>275.712114115497</v>
      </c>
      <c r="U8" s="303">
        <f>'APL101'!AD135</f>
        <v>261.21322561833642</v>
      </c>
      <c r="V8" s="303">
        <f>'APL101'!AE135</f>
        <v>247.51750128842863</v>
      </c>
      <c r="W8" s="303">
        <f>'APL101'!AF135</f>
        <v>234.5769900232597</v>
      </c>
      <c r="X8" s="303">
        <f>'APL101'!AG135</f>
        <v>222.34685934515954</v>
      </c>
      <c r="Y8" s="303">
        <f>'APL101'!AH135</f>
        <v>210.7851761199706</v>
      </c>
      <c r="Z8" s="303">
        <f>'APL101'!AI135</f>
        <v>199.85270360838911</v>
      </c>
      <c r="AA8" s="303">
        <f>'APL101'!AJ135</f>
        <v>189.51271358972417</v>
      </c>
      <c r="AB8" s="303">
        <f>'APL101'!AK135</f>
        <v>179.73081239684865</v>
      </c>
    </row>
    <row r="9" spans="1:28">
      <c r="F9" s="7" t="s">
        <v>118</v>
      </c>
      <c r="G9" s="303" t="e">
        <f>#REF!</f>
        <v>#REF!</v>
      </c>
      <c r="H9" s="303" t="e">
        <f>#REF!</f>
        <v>#REF!</v>
      </c>
      <c r="I9" s="303" t="e">
        <f>#REF!</f>
        <v>#REF!</v>
      </c>
      <c r="J9" s="303" t="e">
        <f>#REF!</f>
        <v>#REF!</v>
      </c>
      <c r="K9" s="303" t="e">
        <f>#REF!</f>
        <v>#REF!</v>
      </c>
      <c r="L9" s="303" t="e">
        <f>#REF!</f>
        <v>#REF!</v>
      </c>
      <c r="M9" s="303" t="e">
        <f>#REF!</f>
        <v>#REF!</v>
      </c>
      <c r="N9" s="303" t="e">
        <f>#REF!</f>
        <v>#REF!</v>
      </c>
      <c r="O9" s="303" t="e">
        <f>#REF!</f>
        <v>#REF!</v>
      </c>
      <c r="P9" s="303" t="e">
        <f>#REF!</f>
        <v>#REF!</v>
      </c>
      <c r="Q9" s="303" t="e">
        <f>#REF!</f>
        <v>#REF!</v>
      </c>
      <c r="R9" s="303" t="e">
        <f>#REF!</f>
        <v>#REF!</v>
      </c>
      <c r="S9" s="303" t="e">
        <f>#REF!</f>
        <v>#REF!</v>
      </c>
      <c r="T9" s="303" t="e">
        <f>#REF!</f>
        <v>#REF!</v>
      </c>
      <c r="U9" s="303" t="e">
        <f>#REF!</f>
        <v>#REF!</v>
      </c>
      <c r="V9" s="303" t="e">
        <f>#REF!</f>
        <v>#REF!</v>
      </c>
      <c r="W9" s="303" t="e">
        <f>#REF!</f>
        <v>#REF!</v>
      </c>
      <c r="X9" s="303" t="e">
        <f>#REF!</f>
        <v>#REF!</v>
      </c>
      <c r="Y9" s="303" t="e">
        <f>#REF!</f>
        <v>#REF!</v>
      </c>
      <c r="Z9" s="303" t="e">
        <f>#REF!</f>
        <v>#REF!</v>
      </c>
      <c r="AA9" s="303" t="e">
        <f>#REF!</f>
        <v>#REF!</v>
      </c>
      <c r="AB9" s="303" t="e">
        <f>#REF!</f>
        <v>#REF!</v>
      </c>
    </row>
    <row r="10" spans="1:28">
      <c r="F10" s="7" t="s">
        <v>119</v>
      </c>
      <c r="G10" s="303" t="e">
        <f>#REF!</f>
        <v>#REF!</v>
      </c>
      <c r="H10" s="303" t="e">
        <f>#REF!</f>
        <v>#REF!</v>
      </c>
      <c r="I10" s="303" t="e">
        <f>#REF!</f>
        <v>#REF!</v>
      </c>
      <c r="J10" s="303" t="e">
        <f>#REF!</f>
        <v>#REF!</v>
      </c>
      <c r="K10" s="303" t="e">
        <f>#REF!</f>
        <v>#REF!</v>
      </c>
      <c r="L10" s="303" t="e">
        <f>#REF!</f>
        <v>#REF!</v>
      </c>
      <c r="M10" s="303" t="e">
        <f>#REF!</f>
        <v>#REF!</v>
      </c>
      <c r="N10" s="303" t="e">
        <f>#REF!</f>
        <v>#REF!</v>
      </c>
      <c r="O10" s="303" t="e">
        <f>#REF!</f>
        <v>#REF!</v>
      </c>
      <c r="P10" s="303" t="e">
        <f>#REF!</f>
        <v>#REF!</v>
      </c>
      <c r="Q10" s="303" t="e">
        <f>#REF!</f>
        <v>#REF!</v>
      </c>
      <c r="R10" s="303" t="e">
        <f>#REF!</f>
        <v>#REF!</v>
      </c>
      <c r="S10" s="303" t="e">
        <f>#REF!</f>
        <v>#REF!</v>
      </c>
      <c r="T10" s="303" t="e">
        <f>#REF!</f>
        <v>#REF!</v>
      </c>
      <c r="U10" s="303" t="e">
        <f>#REF!</f>
        <v>#REF!</v>
      </c>
      <c r="V10" s="303" t="e">
        <f>#REF!</f>
        <v>#REF!</v>
      </c>
      <c r="W10" s="303" t="e">
        <f>#REF!</f>
        <v>#REF!</v>
      </c>
      <c r="X10" s="303" t="e">
        <f>#REF!</f>
        <v>#REF!</v>
      </c>
      <c r="Y10" s="303" t="e">
        <f>#REF!</f>
        <v>#REF!</v>
      </c>
      <c r="Z10" s="303" t="e">
        <f>#REF!</f>
        <v>#REF!</v>
      </c>
      <c r="AA10" s="303" t="e">
        <f>#REF!</f>
        <v>#REF!</v>
      </c>
      <c r="AB10" s="303" t="e">
        <f>#REF!</f>
        <v>#REF!</v>
      </c>
    </row>
    <row r="11" spans="1:28">
      <c r="F11" s="7" t="s">
        <v>120</v>
      </c>
      <c r="G11" s="303" t="e">
        <f>#REF!</f>
        <v>#REF!</v>
      </c>
      <c r="H11" s="303" t="e">
        <f>#REF!</f>
        <v>#REF!</v>
      </c>
      <c r="I11" s="303" t="e">
        <f>#REF!</f>
        <v>#REF!</v>
      </c>
      <c r="J11" s="303" t="e">
        <f>#REF!</f>
        <v>#REF!</v>
      </c>
      <c r="K11" s="303" t="e">
        <f>#REF!</f>
        <v>#REF!</v>
      </c>
      <c r="L11" s="303" t="e">
        <f>#REF!</f>
        <v>#REF!</v>
      </c>
      <c r="M11" s="303" t="e">
        <f>#REF!</f>
        <v>#REF!</v>
      </c>
      <c r="N11" s="303" t="e">
        <f>#REF!</f>
        <v>#REF!</v>
      </c>
      <c r="O11" s="303" t="e">
        <f>#REF!</f>
        <v>#REF!</v>
      </c>
      <c r="P11" s="303" t="e">
        <f>#REF!</f>
        <v>#REF!</v>
      </c>
      <c r="Q11" s="303" t="e">
        <f>#REF!</f>
        <v>#REF!</v>
      </c>
      <c r="R11" s="303" t="e">
        <f>#REF!</f>
        <v>#REF!</v>
      </c>
      <c r="S11" s="303" t="e">
        <f>#REF!</f>
        <v>#REF!</v>
      </c>
      <c r="T11" s="303" t="e">
        <f>#REF!</f>
        <v>#REF!</v>
      </c>
      <c r="U11" s="303" t="e">
        <f>#REF!</f>
        <v>#REF!</v>
      </c>
      <c r="V11" s="303" t="e">
        <f>#REF!</f>
        <v>#REF!</v>
      </c>
      <c r="W11" s="303" t="e">
        <f>#REF!</f>
        <v>#REF!</v>
      </c>
      <c r="X11" s="303" t="e">
        <f>#REF!</f>
        <v>#REF!</v>
      </c>
      <c r="Y11" s="303" t="e">
        <f>#REF!</f>
        <v>#REF!</v>
      </c>
      <c r="Z11" s="303" t="e">
        <f>#REF!</f>
        <v>#REF!</v>
      </c>
      <c r="AA11" s="303" t="e">
        <f>#REF!</f>
        <v>#REF!</v>
      </c>
      <c r="AB11" s="303" t="e">
        <f>#REF!</f>
        <v>#REF!</v>
      </c>
    </row>
    <row r="12" spans="1:28">
      <c r="F12" s="300" t="s">
        <v>149</v>
      </c>
      <c r="G12" s="304" t="e">
        <f t="shared" ref="G12:AB12" si="1">SUM(G8:G11)</f>
        <v>#REF!</v>
      </c>
      <c r="H12" s="304" t="e">
        <f t="shared" si="1"/>
        <v>#REF!</v>
      </c>
      <c r="I12" s="304" t="e">
        <f t="shared" si="1"/>
        <v>#REF!</v>
      </c>
      <c r="J12" s="304" t="e">
        <f t="shared" si="1"/>
        <v>#REF!</v>
      </c>
      <c r="K12" s="304" t="e">
        <f t="shared" si="1"/>
        <v>#REF!</v>
      </c>
      <c r="L12" s="304" t="e">
        <f t="shared" si="1"/>
        <v>#REF!</v>
      </c>
      <c r="M12" s="304" t="e">
        <f t="shared" si="1"/>
        <v>#REF!</v>
      </c>
      <c r="N12" s="304" t="e">
        <f t="shared" si="1"/>
        <v>#REF!</v>
      </c>
      <c r="O12" s="304" t="e">
        <f t="shared" si="1"/>
        <v>#REF!</v>
      </c>
      <c r="P12" s="304" t="e">
        <f t="shared" si="1"/>
        <v>#REF!</v>
      </c>
      <c r="Q12" s="304" t="e">
        <f t="shared" si="1"/>
        <v>#REF!</v>
      </c>
      <c r="R12" s="304" t="e">
        <f t="shared" si="1"/>
        <v>#REF!</v>
      </c>
      <c r="S12" s="304" t="e">
        <f t="shared" si="1"/>
        <v>#REF!</v>
      </c>
      <c r="T12" s="304" t="e">
        <f t="shared" si="1"/>
        <v>#REF!</v>
      </c>
      <c r="U12" s="304" t="e">
        <f t="shared" si="1"/>
        <v>#REF!</v>
      </c>
      <c r="V12" s="304" t="e">
        <f t="shared" si="1"/>
        <v>#REF!</v>
      </c>
      <c r="W12" s="304" t="e">
        <f t="shared" si="1"/>
        <v>#REF!</v>
      </c>
      <c r="X12" s="304" t="e">
        <f t="shared" si="1"/>
        <v>#REF!</v>
      </c>
      <c r="Y12" s="304" t="e">
        <f t="shared" si="1"/>
        <v>#REF!</v>
      </c>
      <c r="Z12" s="304" t="e">
        <f t="shared" si="1"/>
        <v>#REF!</v>
      </c>
      <c r="AA12" s="304" t="e">
        <f t="shared" si="1"/>
        <v>#REF!</v>
      </c>
      <c r="AB12" s="304" t="e">
        <f t="shared" si="1"/>
        <v>#REF!</v>
      </c>
    </row>
    <row r="16" spans="1:28">
      <c r="F16" s="7"/>
      <c r="G16" s="301"/>
      <c r="H16" s="301"/>
      <c r="I16" s="301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</row>
    <row r="17" spans="6:28">
      <c r="F17" s="300" t="s">
        <v>164</v>
      </c>
      <c r="G17" s="301"/>
      <c r="H17" s="301"/>
      <c r="I17" s="301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</row>
    <row r="18" spans="6:28">
      <c r="F18" s="7" t="s">
        <v>117</v>
      </c>
      <c r="G18" s="303">
        <f>G8*0.9</f>
        <v>0</v>
      </c>
      <c r="H18" s="303">
        <f t="shared" ref="H18:AB18" si="2">H8*0.9</f>
        <v>0</v>
      </c>
      <c r="I18" s="303">
        <f t="shared" si="2"/>
        <v>0</v>
      </c>
      <c r="J18" s="303">
        <f t="shared" si="2"/>
        <v>0</v>
      </c>
      <c r="K18" s="303">
        <f t="shared" si="2"/>
        <v>0</v>
      </c>
      <c r="L18" s="303">
        <f t="shared" si="2"/>
        <v>27.602079491541616</v>
      </c>
      <c r="M18" s="303">
        <f t="shared" si="2"/>
        <v>84.952598951736732</v>
      </c>
      <c r="N18" s="303">
        <f t="shared" si="2"/>
        <v>145.31183262705625</v>
      </c>
      <c r="O18" s="303">
        <f t="shared" si="2"/>
        <v>208.86234120146321</v>
      </c>
      <c r="P18" s="303">
        <f t="shared" si="2"/>
        <v>275.79407767245237</v>
      </c>
      <c r="Q18" s="303">
        <f t="shared" si="2"/>
        <v>292.10325077898443</v>
      </c>
      <c r="R18" s="303">
        <f t="shared" si="2"/>
        <v>276.59539999940438</v>
      </c>
      <c r="S18" s="303">
        <f t="shared" si="2"/>
        <v>261.95892614014531</v>
      </c>
      <c r="T18" s="303">
        <f t="shared" si="2"/>
        <v>248.14090270394732</v>
      </c>
      <c r="U18" s="303">
        <f t="shared" si="2"/>
        <v>235.09190305650279</v>
      </c>
      <c r="V18" s="303">
        <f t="shared" si="2"/>
        <v>222.76575115958576</v>
      </c>
      <c r="W18" s="303">
        <f t="shared" si="2"/>
        <v>211.11929102093373</v>
      </c>
      <c r="X18" s="303">
        <f t="shared" si="2"/>
        <v>200.11217341064361</v>
      </c>
      <c r="Y18" s="303">
        <f t="shared" si="2"/>
        <v>189.70665850797354</v>
      </c>
      <c r="Z18" s="303">
        <f t="shared" si="2"/>
        <v>179.8674332475502</v>
      </c>
      <c r="AA18" s="303">
        <f t="shared" si="2"/>
        <v>170.56144223075177</v>
      </c>
      <c r="AB18" s="303">
        <f t="shared" si="2"/>
        <v>161.75773115716379</v>
      </c>
    </row>
    <row r="19" spans="6:28">
      <c r="F19" s="7" t="s">
        <v>118</v>
      </c>
      <c r="G19" s="303" t="e">
        <f t="shared" ref="G19:AB19" si="3">G9*0.9</f>
        <v>#REF!</v>
      </c>
      <c r="H19" s="303" t="e">
        <f t="shared" si="3"/>
        <v>#REF!</v>
      </c>
      <c r="I19" s="303" t="e">
        <f t="shared" si="3"/>
        <v>#REF!</v>
      </c>
      <c r="J19" s="303" t="e">
        <f t="shared" si="3"/>
        <v>#REF!</v>
      </c>
      <c r="K19" s="303" t="e">
        <f t="shared" si="3"/>
        <v>#REF!</v>
      </c>
      <c r="L19" s="303" t="e">
        <f t="shared" si="3"/>
        <v>#REF!</v>
      </c>
      <c r="M19" s="303" t="e">
        <f t="shared" si="3"/>
        <v>#REF!</v>
      </c>
      <c r="N19" s="303" t="e">
        <f t="shared" si="3"/>
        <v>#REF!</v>
      </c>
      <c r="O19" s="303" t="e">
        <f t="shared" si="3"/>
        <v>#REF!</v>
      </c>
      <c r="P19" s="303" t="e">
        <f t="shared" si="3"/>
        <v>#REF!</v>
      </c>
      <c r="Q19" s="303" t="e">
        <f t="shared" si="3"/>
        <v>#REF!</v>
      </c>
      <c r="R19" s="303" t="e">
        <f t="shared" si="3"/>
        <v>#REF!</v>
      </c>
      <c r="S19" s="303" t="e">
        <f t="shared" si="3"/>
        <v>#REF!</v>
      </c>
      <c r="T19" s="303" t="e">
        <f t="shared" si="3"/>
        <v>#REF!</v>
      </c>
      <c r="U19" s="303" t="e">
        <f t="shared" si="3"/>
        <v>#REF!</v>
      </c>
      <c r="V19" s="303" t="e">
        <f t="shared" si="3"/>
        <v>#REF!</v>
      </c>
      <c r="W19" s="303" t="e">
        <f t="shared" si="3"/>
        <v>#REF!</v>
      </c>
      <c r="X19" s="303" t="e">
        <f t="shared" si="3"/>
        <v>#REF!</v>
      </c>
      <c r="Y19" s="303" t="e">
        <f t="shared" si="3"/>
        <v>#REF!</v>
      </c>
      <c r="Z19" s="303" t="e">
        <f t="shared" si="3"/>
        <v>#REF!</v>
      </c>
      <c r="AA19" s="303" t="e">
        <f t="shared" si="3"/>
        <v>#REF!</v>
      </c>
      <c r="AB19" s="303" t="e">
        <f t="shared" si="3"/>
        <v>#REF!</v>
      </c>
    </row>
    <row r="20" spans="6:28">
      <c r="F20" s="7" t="s">
        <v>119</v>
      </c>
      <c r="G20" s="303" t="e">
        <f t="shared" ref="G20:AB20" si="4">G10*0.9</f>
        <v>#REF!</v>
      </c>
      <c r="H20" s="303" t="e">
        <f t="shared" si="4"/>
        <v>#REF!</v>
      </c>
      <c r="I20" s="303" t="e">
        <f t="shared" si="4"/>
        <v>#REF!</v>
      </c>
      <c r="J20" s="303" t="e">
        <f t="shared" si="4"/>
        <v>#REF!</v>
      </c>
      <c r="K20" s="303" t="e">
        <f t="shared" si="4"/>
        <v>#REF!</v>
      </c>
      <c r="L20" s="303" t="e">
        <f t="shared" si="4"/>
        <v>#REF!</v>
      </c>
      <c r="M20" s="303" t="e">
        <f t="shared" si="4"/>
        <v>#REF!</v>
      </c>
      <c r="N20" s="303" t="e">
        <f t="shared" si="4"/>
        <v>#REF!</v>
      </c>
      <c r="O20" s="303" t="e">
        <f t="shared" si="4"/>
        <v>#REF!</v>
      </c>
      <c r="P20" s="303" t="e">
        <f t="shared" si="4"/>
        <v>#REF!</v>
      </c>
      <c r="Q20" s="303" t="e">
        <f t="shared" si="4"/>
        <v>#REF!</v>
      </c>
      <c r="R20" s="303" t="e">
        <f t="shared" si="4"/>
        <v>#REF!</v>
      </c>
      <c r="S20" s="303" t="e">
        <f t="shared" si="4"/>
        <v>#REF!</v>
      </c>
      <c r="T20" s="303" t="e">
        <f t="shared" si="4"/>
        <v>#REF!</v>
      </c>
      <c r="U20" s="303" t="e">
        <f t="shared" si="4"/>
        <v>#REF!</v>
      </c>
      <c r="V20" s="303" t="e">
        <f t="shared" si="4"/>
        <v>#REF!</v>
      </c>
      <c r="W20" s="303" t="e">
        <f t="shared" si="4"/>
        <v>#REF!</v>
      </c>
      <c r="X20" s="303" t="e">
        <f t="shared" si="4"/>
        <v>#REF!</v>
      </c>
      <c r="Y20" s="303" t="e">
        <f t="shared" si="4"/>
        <v>#REF!</v>
      </c>
      <c r="Z20" s="303" t="e">
        <f t="shared" si="4"/>
        <v>#REF!</v>
      </c>
      <c r="AA20" s="303" t="e">
        <f t="shared" si="4"/>
        <v>#REF!</v>
      </c>
      <c r="AB20" s="303" t="e">
        <f t="shared" si="4"/>
        <v>#REF!</v>
      </c>
    </row>
    <row r="21" spans="6:28">
      <c r="F21" s="7" t="s">
        <v>120</v>
      </c>
      <c r="G21" s="303" t="e">
        <f t="shared" ref="G21:AB21" si="5">G11*0.9</f>
        <v>#REF!</v>
      </c>
      <c r="H21" s="303" t="e">
        <f t="shared" si="5"/>
        <v>#REF!</v>
      </c>
      <c r="I21" s="303" t="e">
        <f t="shared" si="5"/>
        <v>#REF!</v>
      </c>
      <c r="J21" s="303" t="e">
        <f t="shared" si="5"/>
        <v>#REF!</v>
      </c>
      <c r="K21" s="303" t="e">
        <f t="shared" si="5"/>
        <v>#REF!</v>
      </c>
      <c r="L21" s="303" t="e">
        <f t="shared" si="5"/>
        <v>#REF!</v>
      </c>
      <c r="M21" s="303" t="e">
        <f t="shared" si="5"/>
        <v>#REF!</v>
      </c>
      <c r="N21" s="303" t="e">
        <f t="shared" si="5"/>
        <v>#REF!</v>
      </c>
      <c r="O21" s="303" t="e">
        <f t="shared" si="5"/>
        <v>#REF!</v>
      </c>
      <c r="P21" s="303" t="e">
        <f t="shared" si="5"/>
        <v>#REF!</v>
      </c>
      <c r="Q21" s="303" t="e">
        <f t="shared" si="5"/>
        <v>#REF!</v>
      </c>
      <c r="R21" s="303" t="e">
        <f t="shared" si="5"/>
        <v>#REF!</v>
      </c>
      <c r="S21" s="303" t="e">
        <f t="shared" si="5"/>
        <v>#REF!</v>
      </c>
      <c r="T21" s="303" t="e">
        <f t="shared" si="5"/>
        <v>#REF!</v>
      </c>
      <c r="U21" s="303" t="e">
        <f t="shared" si="5"/>
        <v>#REF!</v>
      </c>
      <c r="V21" s="303" t="e">
        <f t="shared" si="5"/>
        <v>#REF!</v>
      </c>
      <c r="W21" s="303" t="e">
        <f t="shared" si="5"/>
        <v>#REF!</v>
      </c>
      <c r="X21" s="303" t="e">
        <f t="shared" si="5"/>
        <v>#REF!</v>
      </c>
      <c r="Y21" s="303" t="e">
        <f t="shared" si="5"/>
        <v>#REF!</v>
      </c>
      <c r="Z21" s="303" t="e">
        <f t="shared" si="5"/>
        <v>#REF!</v>
      </c>
      <c r="AA21" s="303" t="e">
        <f t="shared" si="5"/>
        <v>#REF!</v>
      </c>
      <c r="AB21" s="303" t="e">
        <f t="shared" si="5"/>
        <v>#REF!</v>
      </c>
    </row>
    <row r="22" spans="6:28">
      <c r="F22" s="300" t="s">
        <v>149</v>
      </c>
      <c r="G22" s="304" t="e">
        <f>SUM(G18:G21)</f>
        <v>#REF!</v>
      </c>
      <c r="H22" s="304" t="e">
        <f t="shared" ref="H22:AB22" si="6">SUM(H18:H21)</f>
        <v>#REF!</v>
      </c>
      <c r="I22" s="304" t="e">
        <f t="shared" si="6"/>
        <v>#REF!</v>
      </c>
      <c r="J22" s="304" t="e">
        <f t="shared" si="6"/>
        <v>#REF!</v>
      </c>
      <c r="K22" s="304" t="e">
        <f t="shared" si="6"/>
        <v>#REF!</v>
      </c>
      <c r="L22" s="304" t="e">
        <f t="shared" si="6"/>
        <v>#REF!</v>
      </c>
      <c r="M22" s="304" t="e">
        <f t="shared" si="6"/>
        <v>#REF!</v>
      </c>
      <c r="N22" s="304" t="e">
        <f t="shared" si="6"/>
        <v>#REF!</v>
      </c>
      <c r="O22" s="304" t="e">
        <f t="shared" si="6"/>
        <v>#REF!</v>
      </c>
      <c r="P22" s="304" t="e">
        <f t="shared" si="6"/>
        <v>#REF!</v>
      </c>
      <c r="Q22" s="304" t="e">
        <f t="shared" si="6"/>
        <v>#REF!</v>
      </c>
      <c r="R22" s="304" t="e">
        <f t="shared" si="6"/>
        <v>#REF!</v>
      </c>
      <c r="S22" s="304" t="e">
        <f t="shared" si="6"/>
        <v>#REF!</v>
      </c>
      <c r="T22" s="304" t="e">
        <f t="shared" si="6"/>
        <v>#REF!</v>
      </c>
      <c r="U22" s="304" t="e">
        <f t="shared" si="6"/>
        <v>#REF!</v>
      </c>
      <c r="V22" s="304" t="e">
        <f t="shared" si="6"/>
        <v>#REF!</v>
      </c>
      <c r="W22" s="304" t="e">
        <f t="shared" si="6"/>
        <v>#REF!</v>
      </c>
      <c r="X22" s="304" t="e">
        <f t="shared" si="6"/>
        <v>#REF!</v>
      </c>
      <c r="Y22" s="304" t="e">
        <f t="shared" si="6"/>
        <v>#REF!</v>
      </c>
      <c r="Z22" s="304" t="e">
        <f t="shared" si="6"/>
        <v>#REF!</v>
      </c>
      <c r="AA22" s="304" t="e">
        <f t="shared" si="6"/>
        <v>#REF!</v>
      </c>
      <c r="AB22" s="304" t="e">
        <f t="shared" si="6"/>
        <v>#REF!</v>
      </c>
    </row>
    <row r="24" spans="6:28">
      <c r="F24" s="300" t="s">
        <v>165</v>
      </c>
      <c r="G24" s="301"/>
      <c r="H24" s="301"/>
      <c r="I24" s="301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</row>
    <row r="25" spans="6:28">
      <c r="F25" s="7" t="s">
        <v>117</v>
      </c>
      <c r="G25" s="303">
        <f>'APL101'!P137</f>
        <v>0</v>
      </c>
      <c r="H25" s="303">
        <f>'APL101'!Q137</f>
        <v>0</v>
      </c>
      <c r="I25" s="303">
        <f>'APL101'!R137</f>
        <v>0</v>
      </c>
      <c r="J25" s="303">
        <f>'APL101'!S137</f>
        <v>0</v>
      </c>
      <c r="K25" s="303">
        <f>'APL101'!T137</f>
        <v>0</v>
      </c>
      <c r="L25" s="303">
        <f>'APL101'!U137</f>
        <v>0.69979697969483001</v>
      </c>
      <c r="M25" s="303">
        <f>'APL101'!V137</f>
        <v>2.220420339858638</v>
      </c>
      <c r="N25" s="303">
        <f>'APL101'!W137</f>
        <v>3.915504910289394</v>
      </c>
      <c r="O25" s="303">
        <f>'APL101'!X137</f>
        <v>5.8019662810734074</v>
      </c>
      <c r="P25" s="303">
        <f>'APL101'!Y137</f>
        <v>7.8982024294413025</v>
      </c>
      <c r="Q25" s="303">
        <f>'APL101'!Z137</f>
        <v>9.2947391297675992</v>
      </c>
      <c r="R25" s="303">
        <f>'APL101'!AA137</f>
        <v>9.7791984346179195</v>
      </c>
      <c r="S25" s="303">
        <f>'APL101'!AB137</f>
        <v>10.290796675293851</v>
      </c>
      <c r="T25" s="303">
        <f>'APL101'!AC137</f>
        <v>10.83107702831272</v>
      </c>
      <c r="U25" s="303">
        <f>'APL101'!AD137</f>
        <v>11.401669521859226</v>
      </c>
      <c r="V25" s="303">
        <f>'APL101'!AE137</f>
        <v>12.004295825912607</v>
      </c>
      <c r="W25" s="303">
        <f>'APL101'!AF137</f>
        <v>12.640774300058688</v>
      </c>
      <c r="X25" s="303">
        <f>'APL101'!AG137</f>
        <v>13.313025312454108</v>
      </c>
      <c r="Y25" s="303">
        <f>'APL101'!AH137</f>
        <v>14.023076844089735</v>
      </c>
      <c r="Z25" s="303">
        <f>'APL101'!AI137</f>
        <v>14.773070393213089</v>
      </c>
      <c r="AA25" s="303">
        <f>'APL101'!AJ137</f>
        <v>15.565267195516386</v>
      </c>
      <c r="AB25" s="303">
        <f>'APL101'!AK137</f>
        <v>16.402054776479758</v>
      </c>
    </row>
    <row r="26" spans="6:28">
      <c r="F26" s="7" t="s">
        <v>118</v>
      </c>
      <c r="G26" s="303" t="e">
        <f>#REF!</f>
        <v>#REF!</v>
      </c>
      <c r="H26" s="303" t="e">
        <f>#REF!</f>
        <v>#REF!</v>
      </c>
      <c r="I26" s="303" t="e">
        <f>#REF!</f>
        <v>#REF!</v>
      </c>
      <c r="J26" s="303" t="e">
        <f>#REF!</f>
        <v>#REF!</v>
      </c>
      <c r="K26" s="303" t="e">
        <f>#REF!</f>
        <v>#REF!</v>
      </c>
      <c r="L26" s="303" t="e">
        <f>#REF!</f>
        <v>#REF!</v>
      </c>
      <c r="M26" s="303" t="e">
        <f>#REF!</f>
        <v>#REF!</v>
      </c>
      <c r="N26" s="303" t="e">
        <f>#REF!</f>
        <v>#REF!</v>
      </c>
      <c r="O26" s="303" t="e">
        <f>#REF!</f>
        <v>#REF!</v>
      </c>
      <c r="P26" s="303" t="e">
        <f>#REF!</f>
        <v>#REF!</v>
      </c>
      <c r="Q26" s="303" t="e">
        <f>#REF!</f>
        <v>#REF!</v>
      </c>
      <c r="R26" s="303" t="e">
        <f>#REF!</f>
        <v>#REF!</v>
      </c>
      <c r="S26" s="303" t="e">
        <f>#REF!</f>
        <v>#REF!</v>
      </c>
      <c r="T26" s="303" t="e">
        <f>#REF!</f>
        <v>#REF!</v>
      </c>
      <c r="U26" s="303" t="e">
        <f>#REF!</f>
        <v>#REF!</v>
      </c>
      <c r="V26" s="303" t="e">
        <f>#REF!</f>
        <v>#REF!</v>
      </c>
      <c r="W26" s="303" t="e">
        <f>#REF!</f>
        <v>#REF!</v>
      </c>
      <c r="X26" s="303" t="e">
        <f>#REF!</f>
        <v>#REF!</v>
      </c>
      <c r="Y26" s="303" t="e">
        <f>#REF!</f>
        <v>#REF!</v>
      </c>
      <c r="Z26" s="303" t="e">
        <f>#REF!</f>
        <v>#REF!</v>
      </c>
      <c r="AA26" s="303" t="e">
        <f>#REF!</f>
        <v>#REF!</v>
      </c>
      <c r="AB26" s="303" t="e">
        <f>#REF!</f>
        <v>#REF!</v>
      </c>
    </row>
    <row r="27" spans="6:28">
      <c r="F27" s="7" t="s">
        <v>119</v>
      </c>
      <c r="G27" s="303" t="e">
        <f>#REF!</f>
        <v>#REF!</v>
      </c>
      <c r="H27" s="303" t="e">
        <f>#REF!</f>
        <v>#REF!</v>
      </c>
      <c r="I27" s="303" t="e">
        <f>#REF!</f>
        <v>#REF!</v>
      </c>
      <c r="J27" s="303" t="e">
        <f>#REF!</f>
        <v>#REF!</v>
      </c>
      <c r="K27" s="303" t="e">
        <f>#REF!</f>
        <v>#REF!</v>
      </c>
      <c r="L27" s="303" t="e">
        <f>#REF!</f>
        <v>#REF!</v>
      </c>
      <c r="M27" s="303" t="e">
        <f>#REF!</f>
        <v>#REF!</v>
      </c>
      <c r="N27" s="303" t="e">
        <f>#REF!</f>
        <v>#REF!</v>
      </c>
      <c r="O27" s="303" t="e">
        <f>#REF!</f>
        <v>#REF!</v>
      </c>
      <c r="P27" s="303" t="e">
        <f>#REF!</f>
        <v>#REF!</v>
      </c>
      <c r="Q27" s="303" t="e">
        <f>#REF!</f>
        <v>#REF!</v>
      </c>
      <c r="R27" s="303" t="e">
        <f>#REF!</f>
        <v>#REF!</v>
      </c>
      <c r="S27" s="303" t="e">
        <f>#REF!</f>
        <v>#REF!</v>
      </c>
      <c r="T27" s="303" t="e">
        <f>#REF!</f>
        <v>#REF!</v>
      </c>
      <c r="U27" s="303" t="e">
        <f>#REF!</f>
        <v>#REF!</v>
      </c>
      <c r="V27" s="303" t="e">
        <f>#REF!</f>
        <v>#REF!</v>
      </c>
      <c r="W27" s="303" t="e">
        <f>#REF!</f>
        <v>#REF!</v>
      </c>
      <c r="X27" s="303" t="e">
        <f>#REF!</f>
        <v>#REF!</v>
      </c>
      <c r="Y27" s="303" t="e">
        <f>#REF!</f>
        <v>#REF!</v>
      </c>
      <c r="Z27" s="303" t="e">
        <f>#REF!</f>
        <v>#REF!</v>
      </c>
      <c r="AA27" s="303" t="e">
        <f>#REF!</f>
        <v>#REF!</v>
      </c>
      <c r="AB27" s="303" t="e">
        <f>#REF!</f>
        <v>#REF!</v>
      </c>
    </row>
    <row r="28" spans="6:28">
      <c r="F28" s="7" t="s">
        <v>120</v>
      </c>
      <c r="G28" s="303" t="e">
        <f>#REF!</f>
        <v>#REF!</v>
      </c>
      <c r="H28" s="303" t="e">
        <f>#REF!</f>
        <v>#REF!</v>
      </c>
      <c r="I28" s="303" t="e">
        <f>#REF!</f>
        <v>#REF!</v>
      </c>
      <c r="J28" s="303" t="e">
        <f>#REF!</f>
        <v>#REF!</v>
      </c>
      <c r="K28" s="303" t="e">
        <f>#REF!</f>
        <v>#REF!</v>
      </c>
      <c r="L28" s="303" t="e">
        <f>#REF!</f>
        <v>#REF!</v>
      </c>
      <c r="M28" s="303" t="e">
        <f>#REF!</f>
        <v>#REF!</v>
      </c>
      <c r="N28" s="303" t="e">
        <f>#REF!</f>
        <v>#REF!</v>
      </c>
      <c r="O28" s="303" t="e">
        <f>#REF!</f>
        <v>#REF!</v>
      </c>
      <c r="P28" s="303" t="e">
        <f>#REF!</f>
        <v>#REF!</v>
      </c>
      <c r="Q28" s="303" t="e">
        <f>#REF!</f>
        <v>#REF!</v>
      </c>
      <c r="R28" s="303" t="e">
        <f>#REF!</f>
        <v>#REF!</v>
      </c>
      <c r="S28" s="303" t="e">
        <f>#REF!</f>
        <v>#REF!</v>
      </c>
      <c r="T28" s="303" t="e">
        <f>#REF!</f>
        <v>#REF!</v>
      </c>
      <c r="U28" s="303" t="e">
        <f>#REF!</f>
        <v>#REF!</v>
      </c>
      <c r="V28" s="303" t="e">
        <f>#REF!</f>
        <v>#REF!</v>
      </c>
      <c r="W28" s="303" t="e">
        <f>#REF!</f>
        <v>#REF!</v>
      </c>
      <c r="X28" s="303" t="e">
        <f>#REF!</f>
        <v>#REF!</v>
      </c>
      <c r="Y28" s="303" t="e">
        <f>#REF!</f>
        <v>#REF!</v>
      </c>
      <c r="Z28" s="303" t="e">
        <f>#REF!</f>
        <v>#REF!</v>
      </c>
      <c r="AA28" s="303" t="e">
        <f>#REF!</f>
        <v>#REF!</v>
      </c>
      <c r="AB28" s="303" t="e">
        <f>#REF!</f>
        <v>#REF!</v>
      </c>
    </row>
    <row r="29" spans="6:28">
      <c r="F29" s="7"/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</row>
    <row r="30" spans="6:28">
      <c r="F30" s="7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</row>
    <row r="32" spans="6:28">
      <c r="F32" s="300"/>
    </row>
    <row r="33" spans="6:28">
      <c r="F33" s="300"/>
    </row>
    <row r="34" spans="6:28">
      <c r="F34" s="300" t="s">
        <v>142</v>
      </c>
      <c r="G34" s="301"/>
      <c r="H34" s="301"/>
      <c r="I34" s="306" t="s">
        <v>141</v>
      </c>
      <c r="J34" s="302"/>
      <c r="K34" s="306" t="s">
        <v>144</v>
      </c>
      <c r="L34" s="302"/>
      <c r="M34" s="302"/>
      <c r="N34" s="302"/>
      <c r="O34" s="302"/>
      <c r="P34" s="302"/>
      <c r="Q34" s="302"/>
      <c r="R34" s="302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</row>
    <row r="35" spans="6:28">
      <c r="F35" s="7" t="s">
        <v>117</v>
      </c>
      <c r="G35" s="303">
        <f>MAX(G8:AB8)</f>
        <v>324.55916753220492</v>
      </c>
      <c r="H35" s="301"/>
      <c r="I35" s="421">
        <v>2024</v>
      </c>
      <c r="J35" s="302"/>
      <c r="K35" s="421">
        <v>2029</v>
      </c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</row>
    <row r="36" spans="6:28">
      <c r="F36" s="7" t="s">
        <v>118</v>
      </c>
      <c r="G36" s="303" t="e">
        <f>MAX(G9:AB9)</f>
        <v>#REF!</v>
      </c>
      <c r="H36" s="301"/>
      <c r="I36" s="421">
        <v>2026</v>
      </c>
      <c r="J36" s="302"/>
      <c r="K36" s="421">
        <v>2032</v>
      </c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</row>
    <row r="37" spans="6:28">
      <c r="F37" s="7" t="s">
        <v>119</v>
      </c>
      <c r="G37" s="303" t="e">
        <f>MAX(G10:AB10)</f>
        <v>#REF!</v>
      </c>
      <c r="H37" s="301"/>
      <c r="I37" s="421">
        <v>2024</v>
      </c>
      <c r="J37" s="302"/>
      <c r="K37" s="421">
        <v>2030</v>
      </c>
      <c r="L37" s="302"/>
      <c r="M37" s="302"/>
      <c r="N37" s="302"/>
      <c r="O37" s="302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</row>
    <row r="38" spans="6:28">
      <c r="F38" s="7" t="s">
        <v>120</v>
      </c>
      <c r="G38" s="303" t="e">
        <f>MAX(G11:AB11)</f>
        <v>#REF!</v>
      </c>
      <c r="H38" s="301"/>
      <c r="I38" s="421">
        <v>2025</v>
      </c>
      <c r="J38" s="302"/>
      <c r="K38" s="421">
        <v>2030</v>
      </c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</row>
    <row r="39" spans="6:28">
      <c r="F39" s="7"/>
      <c r="G39" s="303"/>
    </row>
    <row r="40" spans="6:28">
      <c r="F40" s="7"/>
      <c r="G40" s="303"/>
    </row>
    <row r="41" spans="6:28">
      <c r="G41" s="303"/>
    </row>
    <row r="42" spans="6:28">
      <c r="F42" s="300"/>
    </row>
    <row r="43" spans="6:28">
      <c r="F43" s="300" t="s">
        <v>166</v>
      </c>
    </row>
    <row r="44" spans="6:28">
      <c r="F44" s="7" t="s">
        <v>117</v>
      </c>
      <c r="G44" s="303">
        <f>MAX(G25:AB25)</f>
        <v>16.402054776479758</v>
      </c>
    </row>
    <row r="45" spans="6:28">
      <c r="F45" s="7" t="s">
        <v>118</v>
      </c>
      <c r="G45" s="303" t="e">
        <f>MAX(G26:AB26)</f>
        <v>#REF!</v>
      </c>
    </row>
    <row r="46" spans="6:28">
      <c r="F46" s="7" t="s">
        <v>119</v>
      </c>
      <c r="G46" s="303" t="e">
        <f>MAX(G27:AB27)</f>
        <v>#REF!</v>
      </c>
    </row>
    <row r="47" spans="6:28">
      <c r="F47" s="7" t="s">
        <v>120</v>
      </c>
      <c r="G47" s="303" t="e">
        <f>MAX(G28:AB28)</f>
        <v>#REF!</v>
      </c>
    </row>
    <row r="48" spans="6:28">
      <c r="F48" s="7"/>
      <c r="G48" s="303"/>
    </row>
    <row r="49" spans="6:28">
      <c r="F49" s="7"/>
      <c r="G49" s="303"/>
    </row>
    <row r="50" spans="6:28">
      <c r="F50" s="300" t="s">
        <v>167</v>
      </c>
    </row>
    <row r="51" spans="6:28">
      <c r="F51" s="7" t="s">
        <v>118</v>
      </c>
      <c r="G51" s="419" t="e">
        <f>#REF!</f>
        <v>#REF!</v>
      </c>
      <c r="H51" s="419" t="e">
        <f>#REF!</f>
        <v>#REF!</v>
      </c>
      <c r="I51" s="419" t="e">
        <f>#REF!</f>
        <v>#REF!</v>
      </c>
      <c r="J51" s="419" t="e">
        <f>#REF!</f>
        <v>#REF!</v>
      </c>
      <c r="K51" s="419" t="e">
        <f>#REF!</f>
        <v>#REF!</v>
      </c>
      <c r="L51" s="419" t="e">
        <f>#REF!</f>
        <v>#REF!</v>
      </c>
      <c r="M51" s="419" t="e">
        <f>#REF!</f>
        <v>#REF!</v>
      </c>
      <c r="N51" s="419" t="e">
        <f>#REF!</f>
        <v>#REF!</v>
      </c>
      <c r="O51" s="419" t="e">
        <f>#REF!</f>
        <v>#REF!</v>
      </c>
      <c r="P51" s="419" t="e">
        <f>#REF!</f>
        <v>#REF!</v>
      </c>
      <c r="Q51" s="419" t="e">
        <f>#REF!</f>
        <v>#REF!</v>
      </c>
      <c r="R51" s="419" t="e">
        <f>#REF!</f>
        <v>#REF!</v>
      </c>
      <c r="S51" s="419" t="e">
        <f>#REF!</f>
        <v>#REF!</v>
      </c>
      <c r="T51" s="419" t="e">
        <f>#REF!</f>
        <v>#REF!</v>
      </c>
      <c r="U51" s="419" t="e">
        <f>#REF!</f>
        <v>#REF!</v>
      </c>
      <c r="V51" s="419" t="e">
        <f>#REF!</f>
        <v>#REF!</v>
      </c>
      <c r="W51" s="419" t="e">
        <f>#REF!</f>
        <v>#REF!</v>
      </c>
      <c r="X51" s="419" t="e">
        <f>#REF!</f>
        <v>#REF!</v>
      </c>
      <c r="Y51" s="419" t="e">
        <f>#REF!</f>
        <v>#REF!</v>
      </c>
      <c r="Z51" s="419" t="e">
        <f>#REF!</f>
        <v>#REF!</v>
      </c>
      <c r="AA51" s="419" t="e">
        <f>#REF!</f>
        <v>#REF!</v>
      </c>
      <c r="AB51" s="419" t="e">
        <f>#REF!</f>
        <v>#REF!</v>
      </c>
    </row>
    <row r="52" spans="6:28">
      <c r="F52" s="7" t="s">
        <v>119</v>
      </c>
      <c r="G52" s="419" t="e">
        <f>#REF!</f>
        <v>#REF!</v>
      </c>
      <c r="H52" s="419" t="e">
        <f>#REF!</f>
        <v>#REF!</v>
      </c>
      <c r="I52" s="419" t="e">
        <f>#REF!</f>
        <v>#REF!</v>
      </c>
      <c r="J52" s="419" t="e">
        <f>#REF!</f>
        <v>#REF!</v>
      </c>
      <c r="K52" s="419" t="e">
        <f>#REF!</f>
        <v>#REF!</v>
      </c>
      <c r="L52" s="419" t="e">
        <f>#REF!</f>
        <v>#REF!</v>
      </c>
      <c r="M52" s="419" t="e">
        <f>#REF!</f>
        <v>#REF!</v>
      </c>
      <c r="N52" s="419" t="e">
        <f>#REF!</f>
        <v>#REF!</v>
      </c>
      <c r="O52" s="419" t="e">
        <f>#REF!</f>
        <v>#REF!</v>
      </c>
      <c r="P52" s="419" t="e">
        <f>#REF!</f>
        <v>#REF!</v>
      </c>
      <c r="Q52" s="419" t="e">
        <f>#REF!</f>
        <v>#REF!</v>
      </c>
      <c r="R52" s="419" t="e">
        <f>#REF!</f>
        <v>#REF!</v>
      </c>
      <c r="S52" s="419" t="e">
        <f>#REF!</f>
        <v>#REF!</v>
      </c>
      <c r="T52" s="419" t="e">
        <f>#REF!</f>
        <v>#REF!</v>
      </c>
      <c r="U52" s="419" t="e">
        <f>#REF!</f>
        <v>#REF!</v>
      </c>
      <c r="V52" s="419" t="e">
        <f>#REF!</f>
        <v>#REF!</v>
      </c>
      <c r="W52" s="419" t="e">
        <f>#REF!</f>
        <v>#REF!</v>
      </c>
      <c r="X52" s="419" t="e">
        <f>#REF!</f>
        <v>#REF!</v>
      </c>
      <c r="Y52" s="419" t="e">
        <f>#REF!</f>
        <v>#REF!</v>
      </c>
      <c r="Z52" s="419" t="e">
        <f>#REF!</f>
        <v>#REF!</v>
      </c>
      <c r="AA52" s="419" t="e">
        <f>#REF!</f>
        <v>#REF!</v>
      </c>
      <c r="AB52" s="419" t="e">
        <f>#REF!</f>
        <v>#REF!</v>
      </c>
    </row>
    <row r="53" spans="6:28">
      <c r="F53" s="7"/>
      <c r="G53" s="303"/>
      <c r="H53" s="303"/>
      <c r="I53" s="303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305"/>
      <c r="AB53" s="305"/>
    </row>
    <row r="54" spans="6:28">
      <c r="F54" s="7"/>
      <c r="G54" s="303"/>
      <c r="H54" s="303"/>
      <c r="I54" s="303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  <c r="AA54" s="305"/>
      <c r="AB54" s="305"/>
    </row>
    <row r="55" spans="6:28">
      <c r="F55" s="7"/>
      <c r="G55" s="303"/>
      <c r="H55" s="303"/>
      <c r="I55" s="303"/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  <c r="Z55" s="305"/>
      <c r="AA55" s="305"/>
      <c r="AB55" s="305"/>
    </row>
    <row r="56" spans="6:28">
      <c r="F56" s="7"/>
      <c r="G56" s="303"/>
      <c r="H56" s="303"/>
      <c r="I56" s="303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  <c r="AB56" s="305"/>
    </row>
    <row r="57" spans="6:28">
      <c r="F57" s="7"/>
      <c r="G57" s="303"/>
      <c r="H57" s="303"/>
      <c r="I57" s="303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</row>
    <row r="58" spans="6:28">
      <c r="F58" s="7"/>
      <c r="G58" s="303"/>
      <c r="H58" s="303"/>
      <c r="I58" s="303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</row>
    <row r="59" spans="6:28">
      <c r="F59" s="7"/>
      <c r="G59" s="303"/>
      <c r="H59" s="303"/>
      <c r="I59" s="303"/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  <c r="AB59" s="305"/>
    </row>
    <row r="60" spans="6:28">
      <c r="F60" s="7"/>
      <c r="G60" s="303"/>
      <c r="H60" s="303"/>
      <c r="I60" s="303"/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  <c r="AA60" s="305"/>
      <c r="AB60" s="305"/>
    </row>
    <row r="61" spans="6:28" ht="18" customHeight="1">
      <c r="F61" s="7"/>
      <c r="G61" s="303"/>
      <c r="H61" s="303"/>
      <c r="I61" s="303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305"/>
      <c r="AB61" s="305"/>
    </row>
    <row r="62" spans="6:28">
      <c r="F62" s="7"/>
      <c r="G62" s="303"/>
      <c r="H62" s="303"/>
      <c r="I62" s="303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  <c r="AB62" s="305"/>
    </row>
    <row r="63" spans="6:28">
      <c r="F63" s="300"/>
      <c r="G63" s="306"/>
      <c r="H63" s="306"/>
      <c r="I63" s="306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  <c r="AA63" s="307"/>
      <c r="AB63" s="307"/>
    </row>
    <row r="66" spans="6:28">
      <c r="F66" s="300"/>
      <c r="G66" s="301"/>
      <c r="H66" s="301"/>
      <c r="I66" s="301"/>
      <c r="J66" s="302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</row>
    <row r="67" spans="6:28">
      <c r="F67" s="7"/>
      <c r="G67" s="301"/>
      <c r="H67" s="301"/>
      <c r="I67" s="301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</row>
    <row r="68" spans="6:28">
      <c r="F68" s="7"/>
      <c r="G68" s="301"/>
      <c r="H68" s="301"/>
      <c r="I68" s="301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</row>
    <row r="69" spans="6:28">
      <c r="F69" s="7"/>
      <c r="G69" s="301"/>
      <c r="H69" s="301"/>
      <c r="I69" s="301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</row>
    <row r="70" spans="6:28">
      <c r="F70" s="7"/>
      <c r="G70" s="301"/>
      <c r="H70" s="301"/>
      <c r="I70" s="301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</row>
    <row r="71" spans="6:28">
      <c r="F71" s="7"/>
      <c r="G71" s="301"/>
      <c r="H71" s="301"/>
      <c r="I71" s="301"/>
      <c r="J71" s="302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</row>
    <row r="72" spans="6:28">
      <c r="F72" s="7"/>
      <c r="G72" s="301"/>
      <c r="H72" s="301"/>
      <c r="I72" s="301"/>
      <c r="J72" s="302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</row>
    <row r="73" spans="6:28">
      <c r="F73" s="7"/>
      <c r="G73" s="301"/>
      <c r="H73" s="301"/>
      <c r="I73" s="301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</row>
    <row r="74" spans="6:28">
      <c r="F74" s="7"/>
      <c r="G74" s="301"/>
      <c r="H74" s="301"/>
      <c r="I74" s="301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</row>
    <row r="75" spans="6:28" ht="18" customHeight="1">
      <c r="F75" s="7"/>
      <c r="G75" s="301"/>
      <c r="H75" s="301"/>
      <c r="I75" s="301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</row>
    <row r="76" spans="6:28">
      <c r="F76" s="7"/>
      <c r="G76" s="301"/>
      <c r="H76" s="301"/>
      <c r="I76" s="301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</row>
    <row r="77" spans="6:28">
      <c r="F77" s="300"/>
      <c r="G77" s="306"/>
      <c r="H77" s="306"/>
      <c r="I77" s="306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  <c r="AA77" s="307"/>
      <c r="AB77" s="30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5"/>
  <sheetViews>
    <sheetView showGridLines="0" topLeftCell="E1" workbookViewId="0"/>
  </sheetViews>
  <sheetFormatPr baseColWidth="10" defaultColWidth="9.1640625" defaultRowHeight="13"/>
  <cols>
    <col min="1" max="2" width="9" style="19" hidden="1" customWidth="1"/>
    <col min="3" max="3" width="33.6640625" style="19" hidden="1" customWidth="1"/>
    <col min="4" max="4" width="11.83203125" style="19" hidden="1" customWidth="1"/>
    <col min="5" max="5" width="6" style="19" customWidth="1"/>
    <col min="6" max="6" width="33.6640625" style="19" customWidth="1"/>
    <col min="7" max="7" width="11.83203125" style="19" customWidth="1"/>
    <col min="8" max="8" width="10.1640625" style="19" customWidth="1"/>
    <col min="9" max="9" width="22.5" style="19" customWidth="1"/>
    <col min="10" max="17" width="9.1640625" style="19" customWidth="1"/>
    <col min="18" max="18" width="9.1640625" style="19"/>
    <col min="19" max="19" width="10.1640625" style="19" customWidth="1"/>
    <col min="20" max="20" width="9.1640625" style="19"/>
    <col min="21" max="21" width="32.1640625" style="19" customWidth="1"/>
    <col min="22" max="22" width="9.83203125" style="19" customWidth="1"/>
    <col min="23" max="23" width="11.33203125" style="19" customWidth="1"/>
    <col min="24" max="24" width="9.83203125" style="19" customWidth="1"/>
    <col min="25" max="25" width="10.1640625" style="19" customWidth="1"/>
    <col min="26" max="16384" width="9.1640625" style="19"/>
  </cols>
  <sheetData>
    <row r="1" spans="1:17">
      <c r="A1" s="430" t="s">
        <v>601</v>
      </c>
    </row>
    <row r="5" spans="1:17">
      <c r="F5" s="42" t="s">
        <v>72</v>
      </c>
      <c r="G5" s="8"/>
      <c r="H5" s="8" t="s">
        <v>171</v>
      </c>
      <c r="I5" s="8" t="s">
        <v>0</v>
      </c>
      <c r="J5" s="8" t="s">
        <v>1</v>
      </c>
      <c r="K5" s="8" t="s">
        <v>2</v>
      </c>
      <c r="L5" s="8" t="s">
        <v>99</v>
      </c>
      <c r="M5" s="8" t="s">
        <v>100</v>
      </c>
      <c r="N5" s="8" t="s">
        <v>101</v>
      </c>
      <c r="O5" s="8" t="s">
        <v>102</v>
      </c>
      <c r="P5" s="8" t="s">
        <v>103</v>
      </c>
      <c r="Q5" s="345" t="s">
        <v>104</v>
      </c>
    </row>
    <row r="6" spans="1:17">
      <c r="F6" s="9" t="s">
        <v>172</v>
      </c>
      <c r="G6" s="39"/>
      <c r="H6" s="39">
        <f>ISBSCF!D22</f>
        <v>-45.752000000000002</v>
      </c>
      <c r="I6" s="39" t="e">
        <f>ISBSCF!E22</f>
        <v>#REF!</v>
      </c>
      <c r="J6" s="39" t="e">
        <f>ISBSCF!F22</f>
        <v>#REF!</v>
      </c>
      <c r="K6" s="39" t="e">
        <f>ISBSCF!G22</f>
        <v>#REF!</v>
      </c>
      <c r="L6" s="39" t="e">
        <f>ISBSCF!H22</f>
        <v>#REF!</v>
      </c>
      <c r="M6" s="39" t="e">
        <f>ISBSCF!I22</f>
        <v>#REF!</v>
      </c>
      <c r="N6" s="39" t="e">
        <f>ISBSCF!J22</f>
        <v>#REF!</v>
      </c>
      <c r="O6" s="39" t="e">
        <f>ISBSCF!K22</f>
        <v>#REF!</v>
      </c>
      <c r="P6" s="39" t="e">
        <f>ISBSCF!L22</f>
        <v>#REF!</v>
      </c>
      <c r="Q6" s="97" t="e">
        <f>ISBSCF!M22</f>
        <v>#REF!</v>
      </c>
    </row>
    <row r="7" spans="1:17">
      <c r="F7" s="11" t="s">
        <v>173</v>
      </c>
      <c r="G7" s="12"/>
      <c r="H7" s="12">
        <f>-ISBSCF!D21</f>
        <v>4.5999999999999999E-2</v>
      </c>
      <c r="I7" s="12">
        <f>-ISBSCF!E21</f>
        <v>-0.76974000000000009</v>
      </c>
      <c r="J7" s="12" t="e">
        <f>-ISBSCF!F21</f>
        <v>#REF!</v>
      </c>
      <c r="K7" s="12" t="e">
        <f>-ISBSCF!G21</f>
        <v>#REF!</v>
      </c>
      <c r="L7" s="12" t="e">
        <f>-ISBSCF!H21</f>
        <v>#REF!</v>
      </c>
      <c r="M7" s="12" t="e">
        <f>-ISBSCF!I21</f>
        <v>#REF!</v>
      </c>
      <c r="N7" s="12" t="e">
        <f>-ISBSCF!J21</f>
        <v>#REF!</v>
      </c>
      <c r="O7" s="12" t="e">
        <f>-ISBSCF!K21</f>
        <v>#REF!</v>
      </c>
      <c r="P7" s="12" t="e">
        <f>-ISBSCF!L21</f>
        <v>#REF!</v>
      </c>
      <c r="Q7" s="346" t="e">
        <f>-ISBSCF!M21</f>
        <v>#REF!</v>
      </c>
    </row>
    <row r="8" spans="1:17">
      <c r="F8" s="13" t="s">
        <v>3</v>
      </c>
      <c r="G8" s="40"/>
      <c r="H8" s="40">
        <f>H6+H7</f>
        <v>-45.706000000000003</v>
      </c>
      <c r="I8" s="40" t="e">
        <f t="shared" ref="I8:Q8" si="0">I6+I7</f>
        <v>#REF!</v>
      </c>
      <c r="J8" s="40" t="e">
        <f t="shared" si="0"/>
        <v>#REF!</v>
      </c>
      <c r="K8" s="40" t="e">
        <f t="shared" si="0"/>
        <v>#REF!</v>
      </c>
      <c r="L8" s="40" t="e">
        <f t="shared" si="0"/>
        <v>#REF!</v>
      </c>
      <c r="M8" s="40" t="e">
        <f t="shared" si="0"/>
        <v>#REF!</v>
      </c>
      <c r="N8" s="40" t="e">
        <f t="shared" si="0"/>
        <v>#REF!</v>
      </c>
      <c r="O8" s="40" t="e">
        <f t="shared" si="0"/>
        <v>#REF!</v>
      </c>
      <c r="P8" s="40" t="e">
        <f t="shared" si="0"/>
        <v>#REF!</v>
      </c>
      <c r="Q8" s="14" t="e">
        <f t="shared" si="0"/>
        <v>#REF!</v>
      </c>
    </row>
    <row r="9" spans="1:17">
      <c r="F9" s="9" t="s">
        <v>170</v>
      </c>
      <c r="G9" s="39"/>
      <c r="H9" s="39">
        <f>H8+ISBSCF!D23</f>
        <v>-45.859000000000002</v>
      </c>
      <c r="I9" s="39" t="e">
        <f>I8+ISBSCF!E23</f>
        <v>#REF!</v>
      </c>
      <c r="J9" s="39" t="e">
        <f>J8+ISBSCF!F23</f>
        <v>#REF!</v>
      </c>
      <c r="K9" s="39" t="e">
        <f>K8+ISBSCF!G23</f>
        <v>#REF!</v>
      </c>
      <c r="L9" s="39" t="e">
        <f>L8+ISBSCF!H23</f>
        <v>#REF!</v>
      </c>
      <c r="M9" s="39" t="e">
        <f>M8+ISBSCF!I23</f>
        <v>#REF!</v>
      </c>
      <c r="N9" s="39" t="e">
        <f>N8+ISBSCF!J23</f>
        <v>#REF!</v>
      </c>
      <c r="O9" s="39" t="e">
        <f>O8+ISBSCF!K23</f>
        <v>#REF!</v>
      </c>
      <c r="P9" s="39" t="e">
        <f>P8+ISBSCF!L23</f>
        <v>#REF!</v>
      </c>
      <c r="Q9" s="10" t="e">
        <f>Q8+ISBSCF!M23</f>
        <v>#REF!</v>
      </c>
    </row>
    <row r="10" spans="1:17">
      <c r="F10" s="9" t="s">
        <v>174</v>
      </c>
      <c r="G10" s="39"/>
      <c r="H10" s="39">
        <f>ISBSCF!D73</f>
        <v>3.9E-2</v>
      </c>
      <c r="I10" s="39">
        <f>ISBSCF!E73</f>
        <v>3.9E-2</v>
      </c>
      <c r="J10" s="39">
        <f>ISBSCF!F73</f>
        <v>3.9E-2</v>
      </c>
      <c r="K10" s="39">
        <f>ISBSCF!G73</f>
        <v>3.9E-2</v>
      </c>
      <c r="L10" s="39">
        <f>ISBSCF!H73</f>
        <v>3.9E-2</v>
      </c>
      <c r="M10" s="39">
        <f>ISBSCF!I73</f>
        <v>3.9E-2</v>
      </c>
      <c r="N10" s="39">
        <f>ISBSCF!J73</f>
        <v>3.9E-2</v>
      </c>
      <c r="O10" s="39">
        <f>ISBSCF!K73</f>
        <v>3.9E-2</v>
      </c>
      <c r="P10" s="39">
        <f>ISBSCF!L73</f>
        <v>3.9E-2</v>
      </c>
      <c r="Q10" s="10">
        <f>ISBSCF!M73</f>
        <v>3.9E-2</v>
      </c>
    </row>
    <row r="11" spans="1:17">
      <c r="F11" s="9" t="s">
        <v>175</v>
      </c>
      <c r="G11" s="39"/>
      <c r="H11" s="39">
        <f>ISBSCF!D75</f>
        <v>0.02</v>
      </c>
      <c r="I11" s="39">
        <f>ISBSCF!E75</f>
        <v>1</v>
      </c>
      <c r="J11" s="39">
        <f>ISBSCF!F75</f>
        <v>1</v>
      </c>
      <c r="K11" s="39">
        <f>ISBSCF!G75</f>
        <v>1</v>
      </c>
      <c r="L11" s="39">
        <f>ISBSCF!H75</f>
        <v>1</v>
      </c>
      <c r="M11" s="39">
        <f>ISBSCF!I75</f>
        <v>1</v>
      </c>
      <c r="N11" s="39">
        <f>ISBSCF!J75</f>
        <v>1</v>
      </c>
      <c r="O11" s="39">
        <f>ISBSCF!K75</f>
        <v>1</v>
      </c>
      <c r="P11" s="39">
        <f>ISBSCF!L75</f>
        <v>1</v>
      </c>
      <c r="Q11" s="10">
        <f>ISBSCF!M75</f>
        <v>1</v>
      </c>
    </row>
    <row r="12" spans="1:17">
      <c r="F12" s="9" t="s">
        <v>176</v>
      </c>
      <c r="G12" s="39"/>
      <c r="H12" s="39">
        <f>ISBSCF!D84</f>
        <v>1.1099999999999999</v>
      </c>
      <c r="I12" s="39" t="e">
        <f>ISBSCF!E84</f>
        <v>#REF!</v>
      </c>
      <c r="J12" s="39" t="e">
        <f>ISBSCF!F84</f>
        <v>#REF!</v>
      </c>
      <c r="K12" s="39" t="e">
        <f>ISBSCF!G84</f>
        <v>#REF!</v>
      </c>
      <c r="L12" s="39" t="e">
        <f>ISBSCF!H84</f>
        <v>#REF!</v>
      </c>
      <c r="M12" s="39" t="e">
        <f>ISBSCF!I84</f>
        <v>#REF!</v>
      </c>
      <c r="N12" s="39" t="e">
        <f>ISBSCF!J84</f>
        <v>#REF!</v>
      </c>
      <c r="O12" s="39" t="e">
        <f>ISBSCF!K84</f>
        <v>#REF!</v>
      </c>
      <c r="P12" s="39" t="e">
        <f>ISBSCF!L84</f>
        <v>#REF!</v>
      </c>
      <c r="Q12" s="10" t="e">
        <f>ISBSCF!M84</f>
        <v>#REF!</v>
      </c>
    </row>
    <row r="13" spans="1:17">
      <c r="F13" s="11" t="s">
        <v>177</v>
      </c>
      <c r="G13" s="12"/>
      <c r="H13" s="12">
        <f>ISBSCF!D96</f>
        <v>-0.35699999999999998</v>
      </c>
      <c r="I13" s="12">
        <f>ISBSCF!E96+ISBSCF!E97</f>
        <v>-10.313000000000001</v>
      </c>
      <c r="J13" s="12">
        <f>ISBSCF!F96+ISBSCF!F97</f>
        <v>-10.356999999999999</v>
      </c>
      <c r="K13" s="12">
        <f>ISBSCF!G96+ISBSCF!G97</f>
        <v>-10.356999999999999</v>
      </c>
      <c r="L13" s="12">
        <f>ISBSCF!H96+ISBSCF!H97</f>
        <v>-10.356999999999999</v>
      </c>
      <c r="M13" s="12">
        <f>ISBSCF!I96+ISBSCF!I97</f>
        <v>-10.356999999999999</v>
      </c>
      <c r="N13" s="12">
        <f>ISBSCF!J96+ISBSCF!J97</f>
        <v>-10.356999999999999</v>
      </c>
      <c r="O13" s="12">
        <f>ISBSCF!K96+ISBSCF!K97</f>
        <v>-10.356999999999999</v>
      </c>
      <c r="P13" s="12">
        <f>ISBSCF!L96+ISBSCF!L97</f>
        <v>-10.356999999999999</v>
      </c>
      <c r="Q13" s="346">
        <f>ISBSCF!M96+ISBSCF!M97</f>
        <v>-10.356999999999999</v>
      </c>
    </row>
    <row r="14" spans="1:17">
      <c r="F14" s="13" t="s">
        <v>5</v>
      </c>
      <c r="G14" s="40"/>
      <c r="H14" s="40">
        <f>SUM(H9:H13)</f>
        <v>-45.046999999999997</v>
      </c>
      <c r="I14" s="40" t="e">
        <f t="shared" ref="I14:Q14" si="1">SUM(I9:I13)</f>
        <v>#REF!</v>
      </c>
      <c r="J14" s="40" t="e">
        <f t="shared" si="1"/>
        <v>#REF!</v>
      </c>
      <c r="K14" s="40" t="e">
        <f t="shared" si="1"/>
        <v>#REF!</v>
      </c>
      <c r="L14" s="40" t="e">
        <f t="shared" si="1"/>
        <v>#REF!</v>
      </c>
      <c r="M14" s="40" t="e">
        <f t="shared" si="1"/>
        <v>#REF!</v>
      </c>
      <c r="N14" s="40" t="e">
        <f t="shared" si="1"/>
        <v>#REF!</v>
      </c>
      <c r="O14" s="40" t="e">
        <f t="shared" si="1"/>
        <v>#REF!</v>
      </c>
      <c r="P14" s="40" t="e">
        <f t="shared" si="1"/>
        <v>#REF!</v>
      </c>
      <c r="Q14" s="14" t="e">
        <f t="shared" si="1"/>
        <v>#REF!</v>
      </c>
    </row>
    <row r="15" spans="1:17">
      <c r="F15" s="9" t="s">
        <v>178</v>
      </c>
      <c r="G15" s="41"/>
      <c r="H15" s="39"/>
      <c r="I15" s="39">
        <v>0</v>
      </c>
      <c r="J15" s="39">
        <v>0</v>
      </c>
      <c r="K15" s="39">
        <v>1</v>
      </c>
      <c r="L15" s="39">
        <v>2</v>
      </c>
      <c r="M15" s="39">
        <v>3</v>
      </c>
      <c r="N15" s="39">
        <v>4</v>
      </c>
      <c r="O15" s="39">
        <v>5</v>
      </c>
      <c r="P15" s="39">
        <v>6</v>
      </c>
      <c r="Q15" s="10">
        <v>7</v>
      </c>
    </row>
    <row r="16" spans="1:17">
      <c r="F16" s="15" t="s">
        <v>179</v>
      </c>
      <c r="G16" s="16"/>
      <c r="H16" s="96" t="e">
        <f>H14/(1+$J$27)^H15</f>
        <v>#REF!</v>
      </c>
      <c r="I16" s="17" t="e">
        <f t="shared" ref="I16:Q16" si="2">I14/(1+$J$27)^I15</f>
        <v>#REF!</v>
      </c>
      <c r="J16" s="17" t="e">
        <f t="shared" si="2"/>
        <v>#REF!</v>
      </c>
      <c r="K16" s="17" t="e">
        <f t="shared" si="2"/>
        <v>#REF!</v>
      </c>
      <c r="L16" s="17" t="e">
        <f t="shared" si="2"/>
        <v>#REF!</v>
      </c>
      <c r="M16" s="17" t="e">
        <f t="shared" si="2"/>
        <v>#REF!</v>
      </c>
      <c r="N16" s="17" t="e">
        <f t="shared" si="2"/>
        <v>#REF!</v>
      </c>
      <c r="O16" s="17" t="e">
        <f t="shared" si="2"/>
        <v>#REF!</v>
      </c>
      <c r="P16" s="17" t="e">
        <f t="shared" si="2"/>
        <v>#REF!</v>
      </c>
      <c r="Q16" s="18" t="e">
        <f t="shared" si="2"/>
        <v>#REF!</v>
      </c>
    </row>
    <row r="18" spans="6:24" ht="33.75" customHeight="1">
      <c r="F18" s="20" t="s">
        <v>180</v>
      </c>
      <c r="G18" s="109" t="s">
        <v>181</v>
      </c>
      <c r="I18" s="20" t="s">
        <v>182</v>
      </c>
      <c r="J18" s="21"/>
      <c r="L18" s="449" t="s">
        <v>183</v>
      </c>
      <c r="M18" s="450"/>
      <c r="N18" s="450"/>
      <c r="O18" s="450"/>
      <c r="P18" s="450"/>
      <c r="Q18" s="451"/>
    </row>
    <row r="19" spans="6:24">
      <c r="F19" s="22" t="s">
        <v>184</v>
      </c>
      <c r="G19" s="23" t="e">
        <f>SUM(J16:Q16)</f>
        <v>#REF!</v>
      </c>
      <c r="I19" s="24" t="s">
        <v>185</v>
      </c>
      <c r="J19" s="108">
        <v>0.03</v>
      </c>
      <c r="L19" s="26" t="e">
        <f>G24</f>
        <v>#REF!</v>
      </c>
      <c r="M19" s="27">
        <f>N19-0.15%</f>
        <v>8.6999999999999994E-2</v>
      </c>
      <c r="N19" s="27">
        <f>O19-0.15%</f>
        <v>8.8499999999999995E-2</v>
      </c>
      <c r="O19" s="27">
        <v>0.09</v>
      </c>
      <c r="P19" s="27">
        <f>O19+0.15%</f>
        <v>9.1499999999999998E-2</v>
      </c>
      <c r="Q19" s="28">
        <f>P19+0.15%</f>
        <v>9.2999999999999999E-2</v>
      </c>
    </row>
    <row r="20" spans="6:24">
      <c r="F20" s="29" t="s">
        <v>186</v>
      </c>
      <c r="G20" s="30" t="e">
        <f>Q14*(1+J29)/(J27-J29)/((1+J27)^Q15)</f>
        <v>#REF!</v>
      </c>
      <c r="I20" s="24" t="s">
        <v>187</v>
      </c>
      <c r="J20" s="108">
        <v>0.06</v>
      </c>
      <c r="L20" s="31">
        <f>L21-0.15%</f>
        <v>2.6999999999999996E-2</v>
      </c>
      <c r="M20" s="348" t="e">
        <f t="dataTable" ref="M20:Q24" dt2D="1" dtr="1" r1="J27" r2="J29"/>
        <v>#REF!</v>
      </c>
      <c r="N20" s="348" t="e">
        <v>#REF!</v>
      </c>
      <c r="O20" s="348" t="e">
        <v>#REF!</v>
      </c>
      <c r="P20" s="348" t="e">
        <v>#REF!</v>
      </c>
      <c r="Q20" s="10" t="e">
        <v>#REF!</v>
      </c>
    </row>
    <row r="21" spans="6:24">
      <c r="F21" s="32" t="s">
        <v>188</v>
      </c>
      <c r="G21" s="33" t="e">
        <f>SUM(G19:G20)</f>
        <v>#REF!</v>
      </c>
      <c r="I21" s="24" t="s">
        <v>189</v>
      </c>
      <c r="J21" s="113">
        <v>1</v>
      </c>
      <c r="L21" s="31">
        <f>L22-0.15%</f>
        <v>2.8499999999999998E-2</v>
      </c>
      <c r="M21" s="348" t="e">
        <v>#REF!</v>
      </c>
      <c r="N21" s="349" t="e">
        <v>#REF!</v>
      </c>
      <c r="O21" s="350" t="e">
        <v>#REF!</v>
      </c>
      <c r="P21" s="351" t="e">
        <v>#REF!</v>
      </c>
      <c r="Q21" s="10" t="e">
        <v>#REF!</v>
      </c>
    </row>
    <row r="22" spans="6:24">
      <c r="F22" s="22" t="s">
        <v>190</v>
      </c>
      <c r="G22" s="23">
        <v>0</v>
      </c>
      <c r="I22" s="34" t="s">
        <v>191</v>
      </c>
      <c r="J22" s="35">
        <f>J19+J20*J21</f>
        <v>0.09</v>
      </c>
      <c r="L22" s="31">
        <v>0.03</v>
      </c>
      <c r="M22" s="348" t="e">
        <v>#REF!</v>
      </c>
      <c r="N22" s="352" t="e">
        <v>#REF!</v>
      </c>
      <c r="O22" s="353" t="e">
        <v>#REF!</v>
      </c>
      <c r="P22" s="354" t="e">
        <v>#REF!</v>
      </c>
      <c r="Q22" s="10" t="e">
        <v>#REF!</v>
      </c>
    </row>
    <row r="23" spans="6:24">
      <c r="F23" s="29" t="s">
        <v>192</v>
      </c>
      <c r="G23" s="30">
        <v>0</v>
      </c>
      <c r="I23" s="24" t="s">
        <v>193</v>
      </c>
      <c r="J23" s="108">
        <v>0.05</v>
      </c>
      <c r="L23" s="31">
        <f>L22+0.15%</f>
        <v>3.15E-2</v>
      </c>
      <c r="M23" s="348" t="e">
        <v>#REF!</v>
      </c>
      <c r="N23" s="355" t="e">
        <v>#REF!</v>
      </c>
      <c r="O23" s="356" t="e">
        <v>#REF!</v>
      </c>
      <c r="P23" s="357" t="e">
        <v>#REF!</v>
      </c>
      <c r="Q23" s="10" t="e">
        <v>#REF!</v>
      </c>
    </row>
    <row r="24" spans="6:24">
      <c r="F24" s="32" t="s">
        <v>194</v>
      </c>
      <c r="G24" s="33" t="e">
        <f>G21-G22-G23</f>
        <v>#REF!</v>
      </c>
      <c r="I24" s="24" t="s">
        <v>195</v>
      </c>
      <c r="J24" s="25">
        <v>0.25</v>
      </c>
      <c r="L24" s="36">
        <f>L23+0.15%</f>
        <v>3.3000000000000002E-2</v>
      </c>
      <c r="M24" s="358" t="e">
        <v>#REF!</v>
      </c>
      <c r="N24" s="358" t="e">
        <v>#REF!</v>
      </c>
      <c r="O24" s="358" t="e">
        <v>#REF!</v>
      </c>
      <c r="P24" s="358" t="e">
        <v>#REF!</v>
      </c>
      <c r="Q24" s="359" t="e">
        <v>#REF!</v>
      </c>
    </row>
    <row r="25" spans="6:24">
      <c r="F25" s="37" t="s">
        <v>196</v>
      </c>
      <c r="G25" s="233" t="e">
        <f>G24*7.7666</f>
        <v>#REF!</v>
      </c>
      <c r="I25" s="34" t="s">
        <v>197</v>
      </c>
      <c r="J25" s="35">
        <f>J23*(1-J24)</f>
        <v>3.7500000000000006E-2</v>
      </c>
    </row>
    <row r="26" spans="6:24">
      <c r="F26" s="22" t="s">
        <v>198</v>
      </c>
      <c r="G26" s="255">
        <f>ISBSCF!F27</f>
        <v>326.03333333333336</v>
      </c>
      <c r="I26" s="24" t="s">
        <v>199</v>
      </c>
      <c r="J26" s="25" t="e">
        <f>0/(0+ISBSCF!E62)</f>
        <v>#REF!</v>
      </c>
    </row>
    <row r="27" spans="6:24">
      <c r="F27" s="256" t="s">
        <v>200</v>
      </c>
      <c r="G27" s="257" t="e">
        <f>G25/G26</f>
        <v>#REF!</v>
      </c>
      <c r="I27" s="37" t="s">
        <v>201</v>
      </c>
      <c r="J27" s="38" t="e">
        <f>J22*(1-J26)+J25*J26</f>
        <v>#REF!</v>
      </c>
      <c r="M27" s="422"/>
      <c r="V27" s="129" t="s">
        <v>202</v>
      </c>
      <c r="W27" s="129" t="s">
        <v>203</v>
      </c>
      <c r="X27" s="129" t="s">
        <v>204</v>
      </c>
    </row>
    <row r="28" spans="6:24">
      <c r="F28" s="258" t="s">
        <v>205</v>
      </c>
      <c r="G28" s="257"/>
      <c r="O28" s="376"/>
      <c r="U28" s="129" t="s">
        <v>206</v>
      </c>
      <c r="V28" s="362" t="e">
        <f>V35</f>
        <v>#REF!</v>
      </c>
      <c r="W28" s="362" t="e">
        <f>W35</f>
        <v>#REF!</v>
      </c>
      <c r="X28" s="362" t="e">
        <f>X35</f>
        <v>#REF!</v>
      </c>
    </row>
    <row r="29" spans="6:24">
      <c r="F29" s="259" t="s">
        <v>207</v>
      </c>
      <c r="G29" s="260" t="e">
        <f>G27/G28-1</f>
        <v>#REF!</v>
      </c>
      <c r="H29" s="261"/>
      <c r="I29" s="43" t="s">
        <v>208</v>
      </c>
      <c r="J29" s="44">
        <v>0.03</v>
      </c>
      <c r="O29" s="376"/>
      <c r="U29" s="129" t="s">
        <v>209</v>
      </c>
      <c r="V29" s="362" t="e">
        <f>(V34-3500)/7</f>
        <v>#REF!</v>
      </c>
      <c r="W29" s="362" t="e">
        <f>(W34-3500)/7</f>
        <v>#REF!</v>
      </c>
      <c r="X29" s="362" t="e">
        <f>(X34-3500)/7</f>
        <v>#REF!</v>
      </c>
    </row>
    <row r="30" spans="6:24">
      <c r="M30" s="423"/>
      <c r="R30" s="423" t="e">
        <f>V35/Summary!$R$12</f>
        <v>#REF!</v>
      </c>
      <c r="S30" s="423" t="e">
        <f>W35/Summary!$R$12</f>
        <v>#REF!</v>
      </c>
      <c r="T30" s="423" t="e">
        <f>X35/Summary!$R$12</f>
        <v>#REF!</v>
      </c>
    </row>
    <row r="31" spans="6:24">
      <c r="F31" s="424"/>
      <c r="M31" s="423"/>
      <c r="N31" s="423"/>
    </row>
    <row r="32" spans="6:24">
      <c r="I32" s="423"/>
      <c r="Q32" s="423"/>
      <c r="U32" s="360" t="s">
        <v>210</v>
      </c>
      <c r="V32" s="360" t="s">
        <v>202</v>
      </c>
      <c r="W32" s="360" t="s">
        <v>203</v>
      </c>
      <c r="X32" s="360" t="s">
        <v>204</v>
      </c>
    </row>
    <row r="33" spans="6:24">
      <c r="G33" s="41"/>
      <c r="I33" s="423"/>
      <c r="U33" s="361" t="s">
        <v>211</v>
      </c>
      <c r="V33" s="389" t="e">
        <f>V35*6.8</f>
        <v>#REF!</v>
      </c>
      <c r="W33" s="389" t="e">
        <f>W35*6.8</f>
        <v>#REF!</v>
      </c>
      <c r="X33" s="389" t="e">
        <f>X35*6.8</f>
        <v>#REF!</v>
      </c>
    </row>
    <row r="34" spans="6:24">
      <c r="G34" s="41"/>
      <c r="I34" s="423"/>
      <c r="K34" s="423"/>
      <c r="M34" s="19" t="s">
        <v>212</v>
      </c>
      <c r="Q34" s="423"/>
      <c r="U34" s="361" t="s">
        <v>213</v>
      </c>
      <c r="V34" s="390" t="e">
        <f>V35*7.7666</f>
        <v>#REF!</v>
      </c>
      <c r="W34" s="390" t="e">
        <f>W35*7.7666</f>
        <v>#REF!</v>
      </c>
      <c r="X34" s="390" t="e">
        <f>X35*7.7666</f>
        <v>#REF!</v>
      </c>
    </row>
    <row r="35" spans="6:24">
      <c r="F35" s="423"/>
      <c r="G35" s="423"/>
      <c r="H35" s="423"/>
      <c r="I35" s="423"/>
      <c r="J35" s="423"/>
      <c r="K35" s="423"/>
      <c r="M35" s="362">
        <v>2021</v>
      </c>
      <c r="N35" s="425" t="e">
        <f>(V33-ISBSCF!#REF!)/ISBSCF!F6</f>
        <v>#REF!</v>
      </c>
      <c r="O35" s="425" t="e">
        <f>(W33-ISBSCF!#REF!)/ISBSCF!F6</f>
        <v>#REF!</v>
      </c>
      <c r="P35" s="425" t="e">
        <f>(X33-ISBSCF!#REF!)/ISBSCF!F6</f>
        <v>#REF!</v>
      </c>
      <c r="S35" s="423"/>
      <c r="U35" s="361" t="s">
        <v>214</v>
      </c>
      <c r="V35" s="389" t="e">
        <f>P21</f>
        <v>#REF!</v>
      </c>
      <c r="W35" s="389" t="e">
        <f>G24</f>
        <v>#REF!</v>
      </c>
      <c r="X35" s="389" t="e">
        <f>N23</f>
        <v>#REF!</v>
      </c>
    </row>
    <row r="36" spans="6:24">
      <c r="H36" s="423"/>
      <c r="M36" s="362">
        <v>2022</v>
      </c>
      <c r="N36" s="425" t="e">
        <f>(V33-ISBSCF!#REF!)/ISBSCF!G6</f>
        <v>#REF!</v>
      </c>
      <c r="O36" s="425" t="e">
        <f>(W33-ISBSCF!#REF!)/ISBSCF!G6</f>
        <v>#REF!</v>
      </c>
      <c r="P36" s="425" t="e">
        <f>(X33-ISBSCF!#REF!)/ISBSCF!G6</f>
        <v>#REF!</v>
      </c>
      <c r="U36" s="361"/>
      <c r="V36" s="362"/>
      <c r="W36" s="362"/>
      <c r="X36" s="362"/>
    </row>
    <row r="37" spans="6:24">
      <c r="F37" s="423"/>
      <c r="I37" s="426"/>
      <c r="M37" s="362">
        <v>2025</v>
      </c>
      <c r="N37" s="425" t="e">
        <f>(V33-ISBSCF!#REF!)/ISBSCF!J6</f>
        <v>#REF!</v>
      </c>
      <c r="O37" s="425" t="e">
        <f>(W33-ISBSCF!#REF!)/ISBSCF!K6</f>
        <v>#REF!</v>
      </c>
      <c r="P37" s="425" t="e">
        <f>(X33-ISBSCF!#REF!)/ISBSCF!L6</f>
        <v>#REF!</v>
      </c>
      <c r="U37" s="363" t="s">
        <v>201</v>
      </c>
      <c r="V37" s="364">
        <f>N19</f>
        <v>8.8499999999999995E-2</v>
      </c>
      <c r="W37" s="364">
        <f>O19</f>
        <v>0.09</v>
      </c>
      <c r="X37" s="365">
        <f>P19</f>
        <v>9.1499999999999998E-2</v>
      </c>
    </row>
    <row r="38" spans="6:24">
      <c r="F38" s="423"/>
      <c r="S38" s="423"/>
      <c r="U38" s="366" t="s">
        <v>208</v>
      </c>
      <c r="V38" s="367">
        <f>L21</f>
        <v>2.8499999999999998E-2</v>
      </c>
      <c r="W38" s="367">
        <f>L22</f>
        <v>0.03</v>
      </c>
      <c r="X38" s="368">
        <f>L23</f>
        <v>3.15E-2</v>
      </c>
    </row>
    <row r="39" spans="6:24">
      <c r="J39" s="423"/>
      <c r="N39" s="425"/>
      <c r="S39" s="423"/>
      <c r="V39" s="369"/>
      <c r="W39" s="369"/>
      <c r="X39" s="369"/>
    </row>
    <row r="40" spans="6:24">
      <c r="F40" s="423"/>
      <c r="U40" s="370" t="s">
        <v>215</v>
      </c>
      <c r="V40" s="371" t="e">
        <f>V33/ISBSCF!F6</f>
        <v>#REF!</v>
      </c>
      <c r="W40" s="371" t="e">
        <f>W33/ISBSCF!F6</f>
        <v>#REF!</v>
      </c>
      <c r="X40" s="372" t="e">
        <f>X33/ISBSCF!F6</f>
        <v>#REF!</v>
      </c>
    </row>
    <row r="41" spans="6:24">
      <c r="U41" s="373" t="s">
        <v>216</v>
      </c>
      <c r="V41" s="374" t="e">
        <f>(V33-ISBSCF!#REF!)/ISBSCF!G6</f>
        <v>#REF!</v>
      </c>
      <c r="W41" s="374" t="e">
        <f>(W33-ISBSCF!#REF!)/ISBSCF!G6</f>
        <v>#REF!</v>
      </c>
      <c r="X41" s="375" t="e">
        <f>(X33-ISBSCF!#REF!)/ISBSCF!G6</f>
        <v>#REF!</v>
      </c>
    </row>
    <row r="43" spans="6:24">
      <c r="L43" s="19">
        <v>5650</v>
      </c>
      <c r="N43" s="376" t="e">
        <f>V35/$L$43</f>
        <v>#REF!</v>
      </c>
      <c r="O43" s="376" t="e">
        <f>W35/$L$43</f>
        <v>#REF!</v>
      </c>
      <c r="P43" s="376" t="e">
        <f>X35/$L$43</f>
        <v>#REF!</v>
      </c>
    </row>
    <row r="44" spans="6:24">
      <c r="L44" s="19">
        <v>2415</v>
      </c>
      <c r="N44" s="376" t="e">
        <f>V35/$L$44</f>
        <v>#REF!</v>
      </c>
      <c r="O44" s="376" t="e">
        <f>W35/$L$44</f>
        <v>#REF!</v>
      </c>
      <c r="P44" s="376" t="e">
        <f>X35/$L$44</f>
        <v>#REF!</v>
      </c>
      <c r="U44" s="19" t="s">
        <v>217</v>
      </c>
    </row>
    <row r="45" spans="6:24">
      <c r="V45" s="376"/>
      <c r="W45" s="376"/>
      <c r="X45" s="376"/>
    </row>
  </sheetData>
  <mergeCells count="1">
    <mergeCell ref="L18:Q18"/>
  </mergeCells>
  <conditionalFormatting sqref="G5:N5">
    <cfRule type="expression" dxfId="0" priority="1" stopIfTrue="1">
      <formula>ISBLANK(#REF!)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AA212"/>
  <sheetViews>
    <sheetView workbookViewId="0"/>
  </sheetViews>
  <sheetFormatPr baseColWidth="10" defaultColWidth="9" defaultRowHeight="11"/>
  <cols>
    <col min="1" max="1" width="9" style="1"/>
    <col min="2" max="2" width="21.6640625" style="1" customWidth="1"/>
    <col min="3" max="3" width="57.5" style="47" customWidth="1"/>
    <col min="4" max="25" width="9.5" style="1" customWidth="1"/>
    <col min="26" max="26" width="10.5" style="1" customWidth="1"/>
    <col min="27" max="16384" width="9" style="1"/>
  </cols>
  <sheetData>
    <row r="1" spans="1:25" ht="12">
      <c r="A1" s="430" t="s">
        <v>601</v>
      </c>
      <c r="B1" s="4"/>
      <c r="C1" s="46"/>
      <c r="D1" s="262"/>
      <c r="E1" s="262"/>
      <c r="F1" s="262"/>
      <c r="G1" s="262"/>
      <c r="H1" s="262"/>
      <c r="I1" s="122"/>
      <c r="J1" s="262"/>
      <c r="K1" s="262"/>
      <c r="L1" s="122" t="e">
        <f>POWER(L6/J6,1/2)-1</f>
        <v>#REF!</v>
      </c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</row>
    <row r="2" spans="1:25">
      <c r="B2" s="4"/>
      <c r="C2" s="46"/>
      <c r="D2" s="263"/>
      <c r="E2" s="122"/>
      <c r="F2" s="262"/>
      <c r="G2" s="262"/>
      <c r="H2" s="262"/>
      <c r="I2" s="122"/>
      <c r="J2" s="262"/>
      <c r="L2" s="122" t="e">
        <f>POWER(L25/J25,1/2)-1</f>
        <v>#REF!</v>
      </c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</row>
    <row r="3" spans="1:25">
      <c r="B3" s="3" t="s">
        <v>218</v>
      </c>
      <c r="C3" s="105">
        <v>1</v>
      </c>
      <c r="D3" s="342"/>
      <c r="E3" s="342"/>
      <c r="F3" s="342"/>
      <c r="G3" s="412" t="e">
        <f>G6/F6-1</f>
        <v>#REF!</v>
      </c>
      <c r="H3" s="342"/>
      <c r="I3" s="78"/>
      <c r="L3" s="342" t="s">
        <v>219</v>
      </c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</row>
    <row r="4" spans="1:25" s="48" customFormat="1">
      <c r="B4" s="418" t="s">
        <v>220</v>
      </c>
      <c r="C4" s="50"/>
    </row>
    <row r="5" spans="1:25" s="51" customFormat="1">
      <c r="B5" s="52" t="s">
        <v>221</v>
      </c>
      <c r="C5" s="52" t="s">
        <v>222</v>
      </c>
      <c r="D5" s="264">
        <v>2019</v>
      </c>
      <c r="E5" s="265">
        <v>2020</v>
      </c>
      <c r="F5" s="265">
        <v>2021</v>
      </c>
      <c r="G5" s="265">
        <v>2022</v>
      </c>
      <c r="H5" s="265">
        <v>2023</v>
      </c>
      <c r="I5" s="265">
        <v>2024</v>
      </c>
      <c r="J5" s="265">
        <v>2025</v>
      </c>
      <c r="K5" s="265">
        <v>2026</v>
      </c>
      <c r="L5" s="265">
        <v>2027</v>
      </c>
      <c r="M5" s="265">
        <v>2028</v>
      </c>
      <c r="N5" s="265">
        <v>2029</v>
      </c>
      <c r="O5" s="265">
        <v>2030</v>
      </c>
      <c r="P5" s="265">
        <v>2031</v>
      </c>
      <c r="Q5" s="265">
        <v>2032</v>
      </c>
      <c r="R5" s="265">
        <v>2033</v>
      </c>
      <c r="S5" s="265">
        <v>2034</v>
      </c>
      <c r="T5" s="265">
        <v>2035</v>
      </c>
      <c r="U5" s="265">
        <v>2036</v>
      </c>
      <c r="V5" s="265">
        <v>2037</v>
      </c>
      <c r="W5" s="265">
        <v>2038</v>
      </c>
      <c r="X5" s="265">
        <v>2039</v>
      </c>
      <c r="Y5" s="265">
        <v>2040</v>
      </c>
    </row>
    <row r="6" spans="1:25" s="3" customFormat="1">
      <c r="A6" s="3" t="s">
        <v>223</v>
      </c>
      <c r="B6" s="266" t="s">
        <v>224</v>
      </c>
      <c r="C6" s="266" t="s">
        <v>73</v>
      </c>
      <c r="D6" s="291">
        <v>0</v>
      </c>
      <c r="E6" s="267" t="e">
        <f>SUM(Summary!H8:H11)</f>
        <v>#REF!</v>
      </c>
      <c r="F6" s="267" t="e">
        <f>SUM(Summary!I8:I11)</f>
        <v>#REF!</v>
      </c>
      <c r="G6" s="267" t="e">
        <f>SUM(Summary!J8:J11)</f>
        <v>#REF!</v>
      </c>
      <c r="H6" s="267" t="e">
        <f>SUM(Summary!K8:K11)</f>
        <v>#REF!</v>
      </c>
      <c r="I6" s="267" t="e">
        <f>SUM(Summary!L8:L11)</f>
        <v>#REF!</v>
      </c>
      <c r="J6" s="267" t="e">
        <f>SUM(Summary!M8:M11)</f>
        <v>#REF!</v>
      </c>
      <c r="K6" s="267" t="e">
        <f>SUM(Summary!N8:N11)</f>
        <v>#REF!</v>
      </c>
      <c r="L6" s="267" t="e">
        <f>SUM(Summary!O8:O11)</f>
        <v>#REF!</v>
      </c>
      <c r="M6" s="267" t="e">
        <f>SUM(Summary!P8:P11)</f>
        <v>#REF!</v>
      </c>
      <c r="N6" s="267" t="e">
        <f>SUM(Summary!Q8:Q11)</f>
        <v>#REF!</v>
      </c>
      <c r="O6" s="267" t="e">
        <f>SUM(Summary!R8:R11)</f>
        <v>#REF!</v>
      </c>
      <c r="P6" s="267" t="e">
        <f>SUM(Summary!S8:S11)</f>
        <v>#REF!</v>
      </c>
      <c r="Q6" s="267" t="e">
        <f>SUM(Summary!T8:T11)</f>
        <v>#REF!</v>
      </c>
      <c r="R6" s="267" t="e">
        <f>SUM(Summary!U8:U11)</f>
        <v>#REF!</v>
      </c>
      <c r="S6" s="267" t="e">
        <f>SUM(Summary!V8:V11)</f>
        <v>#REF!</v>
      </c>
      <c r="T6" s="267" t="e">
        <f>SUM(Summary!W8:W11)</f>
        <v>#REF!</v>
      </c>
      <c r="U6" s="267" t="e">
        <f>SUM(Summary!X8:X11)</f>
        <v>#REF!</v>
      </c>
      <c r="V6" s="267" t="e">
        <f>SUM(Summary!Y8:Y11)</f>
        <v>#REF!</v>
      </c>
      <c r="W6" s="267" t="e">
        <f>SUM(Summary!Z8:Z11)</f>
        <v>#REF!</v>
      </c>
      <c r="X6" s="267" t="e">
        <f>SUM(Summary!AA8:AA11)</f>
        <v>#REF!</v>
      </c>
      <c r="Y6" s="267" t="e">
        <f>SUM(Summary!AB8:AB11)</f>
        <v>#REF!</v>
      </c>
    </row>
    <row r="7" spans="1:25" ht="17" customHeight="1">
      <c r="B7" s="54" t="s">
        <v>225</v>
      </c>
      <c r="C7" s="54" t="s">
        <v>226</v>
      </c>
      <c r="D7" s="293">
        <v>0</v>
      </c>
      <c r="E7" s="268" t="e">
        <f t="shared" ref="E7:Y7" si="0">-(E6-E8)</f>
        <v>#REF!</v>
      </c>
      <c r="F7" s="268" t="e">
        <f t="shared" si="0"/>
        <v>#REF!</v>
      </c>
      <c r="G7" s="268" t="e">
        <f t="shared" si="0"/>
        <v>#REF!</v>
      </c>
      <c r="H7" s="268" t="e">
        <f t="shared" si="0"/>
        <v>#REF!</v>
      </c>
      <c r="I7" s="268" t="e">
        <f t="shared" si="0"/>
        <v>#REF!</v>
      </c>
      <c r="J7" s="268" t="e">
        <f t="shared" si="0"/>
        <v>#REF!</v>
      </c>
      <c r="K7" s="268" t="e">
        <f t="shared" si="0"/>
        <v>#REF!</v>
      </c>
      <c r="L7" s="268" t="e">
        <f t="shared" si="0"/>
        <v>#REF!</v>
      </c>
      <c r="M7" s="268" t="e">
        <f t="shared" si="0"/>
        <v>#REF!</v>
      </c>
      <c r="N7" s="268" t="e">
        <f t="shared" si="0"/>
        <v>#REF!</v>
      </c>
      <c r="O7" s="268" t="e">
        <f t="shared" si="0"/>
        <v>#REF!</v>
      </c>
      <c r="P7" s="268" t="e">
        <f t="shared" si="0"/>
        <v>#REF!</v>
      </c>
      <c r="Q7" s="268" t="e">
        <f t="shared" si="0"/>
        <v>#REF!</v>
      </c>
      <c r="R7" s="268" t="e">
        <f t="shared" si="0"/>
        <v>#REF!</v>
      </c>
      <c r="S7" s="268" t="e">
        <f t="shared" si="0"/>
        <v>#REF!</v>
      </c>
      <c r="T7" s="268" t="e">
        <f t="shared" si="0"/>
        <v>#REF!</v>
      </c>
      <c r="U7" s="268" t="e">
        <f t="shared" si="0"/>
        <v>#REF!</v>
      </c>
      <c r="V7" s="268" t="e">
        <f t="shared" si="0"/>
        <v>#REF!</v>
      </c>
      <c r="W7" s="268" t="e">
        <f t="shared" si="0"/>
        <v>#REF!</v>
      </c>
      <c r="X7" s="268" t="e">
        <f t="shared" si="0"/>
        <v>#REF!</v>
      </c>
      <c r="Y7" s="268" t="e">
        <f t="shared" si="0"/>
        <v>#REF!</v>
      </c>
    </row>
    <row r="8" spans="1:25" s="3" customFormat="1">
      <c r="A8" s="3" t="s">
        <v>223</v>
      </c>
      <c r="B8" s="266" t="s">
        <v>227</v>
      </c>
      <c r="C8" s="266" t="s">
        <v>74</v>
      </c>
      <c r="D8" s="290">
        <f>D6+D7</f>
        <v>0</v>
      </c>
      <c r="E8" s="267" t="e">
        <f>Summary!H22</f>
        <v>#REF!</v>
      </c>
      <c r="F8" s="267" t="e">
        <f>Summary!I22</f>
        <v>#REF!</v>
      </c>
      <c r="G8" s="267" t="e">
        <f>Summary!J22</f>
        <v>#REF!</v>
      </c>
      <c r="H8" s="267" t="e">
        <f>Summary!K22</f>
        <v>#REF!</v>
      </c>
      <c r="I8" s="267" t="e">
        <f>Summary!L22</f>
        <v>#REF!</v>
      </c>
      <c r="J8" s="267" t="e">
        <f>Summary!M22</f>
        <v>#REF!</v>
      </c>
      <c r="K8" s="267" t="e">
        <f>Summary!N22</f>
        <v>#REF!</v>
      </c>
      <c r="L8" s="267" t="e">
        <f>Summary!O22</f>
        <v>#REF!</v>
      </c>
      <c r="M8" s="267" t="e">
        <f>Summary!P22</f>
        <v>#REF!</v>
      </c>
      <c r="N8" s="267" t="e">
        <f>Summary!Q22</f>
        <v>#REF!</v>
      </c>
      <c r="O8" s="267" t="e">
        <f>Summary!R22</f>
        <v>#REF!</v>
      </c>
      <c r="P8" s="267" t="e">
        <f>Summary!S22</f>
        <v>#REF!</v>
      </c>
      <c r="Q8" s="267" t="e">
        <f>Summary!T22</f>
        <v>#REF!</v>
      </c>
      <c r="R8" s="267" t="e">
        <f>Summary!U22</f>
        <v>#REF!</v>
      </c>
      <c r="S8" s="267" t="e">
        <f>Summary!V22</f>
        <v>#REF!</v>
      </c>
      <c r="T8" s="267" t="e">
        <f>Summary!W22</f>
        <v>#REF!</v>
      </c>
      <c r="U8" s="267" t="e">
        <f>Summary!X22</f>
        <v>#REF!</v>
      </c>
      <c r="V8" s="267" t="e">
        <f>Summary!Y22</f>
        <v>#REF!</v>
      </c>
      <c r="W8" s="267" t="e">
        <f>Summary!Z22</f>
        <v>#REF!</v>
      </c>
      <c r="X8" s="267" t="e">
        <f>Summary!AA22</f>
        <v>#REF!</v>
      </c>
      <c r="Y8" s="267" t="e">
        <f>Summary!AB22</f>
        <v>#REF!</v>
      </c>
    </row>
    <row r="9" spans="1:25">
      <c r="B9" s="54" t="s">
        <v>228</v>
      </c>
      <c r="C9" s="54" t="s">
        <v>229</v>
      </c>
      <c r="D9" s="293">
        <v>1.1559999999999999</v>
      </c>
      <c r="E9" s="293">
        <f>D9</f>
        <v>1.1559999999999999</v>
      </c>
      <c r="F9" s="293">
        <f t="shared" ref="F9:Y9" si="1">E9</f>
        <v>1.1559999999999999</v>
      </c>
      <c r="G9" s="293">
        <f t="shared" si="1"/>
        <v>1.1559999999999999</v>
      </c>
      <c r="H9" s="293">
        <f t="shared" si="1"/>
        <v>1.1559999999999999</v>
      </c>
      <c r="I9" s="293">
        <f t="shared" si="1"/>
        <v>1.1559999999999999</v>
      </c>
      <c r="J9" s="293">
        <f t="shared" si="1"/>
        <v>1.1559999999999999</v>
      </c>
      <c r="K9" s="293">
        <f t="shared" si="1"/>
        <v>1.1559999999999999</v>
      </c>
      <c r="L9" s="293">
        <f t="shared" si="1"/>
        <v>1.1559999999999999</v>
      </c>
      <c r="M9" s="293">
        <f t="shared" si="1"/>
        <v>1.1559999999999999</v>
      </c>
      <c r="N9" s="293">
        <f t="shared" si="1"/>
        <v>1.1559999999999999</v>
      </c>
      <c r="O9" s="293">
        <f t="shared" si="1"/>
        <v>1.1559999999999999</v>
      </c>
      <c r="P9" s="293">
        <f t="shared" si="1"/>
        <v>1.1559999999999999</v>
      </c>
      <c r="Q9" s="293">
        <f t="shared" si="1"/>
        <v>1.1559999999999999</v>
      </c>
      <c r="R9" s="293">
        <f t="shared" si="1"/>
        <v>1.1559999999999999</v>
      </c>
      <c r="S9" s="293">
        <f t="shared" si="1"/>
        <v>1.1559999999999999</v>
      </c>
      <c r="T9" s="293">
        <f t="shared" si="1"/>
        <v>1.1559999999999999</v>
      </c>
      <c r="U9" s="293">
        <f t="shared" si="1"/>
        <v>1.1559999999999999</v>
      </c>
      <c r="V9" s="293">
        <f t="shared" si="1"/>
        <v>1.1559999999999999</v>
      </c>
      <c r="W9" s="293">
        <f t="shared" si="1"/>
        <v>1.1559999999999999</v>
      </c>
      <c r="X9" s="293">
        <f t="shared" si="1"/>
        <v>1.1559999999999999</v>
      </c>
      <c r="Y9" s="293">
        <f t="shared" si="1"/>
        <v>1.1559999999999999</v>
      </c>
    </row>
    <row r="10" spans="1:25">
      <c r="B10" s="54" t="s">
        <v>230</v>
      </c>
      <c r="C10" s="1" t="s">
        <v>231</v>
      </c>
      <c r="D10" s="110">
        <v>9.6000000000000002E-2</v>
      </c>
      <c r="E10" s="110">
        <f>D10</f>
        <v>9.6000000000000002E-2</v>
      </c>
      <c r="F10" s="110">
        <f t="shared" ref="F10:Y10" si="2">E10</f>
        <v>9.6000000000000002E-2</v>
      </c>
      <c r="G10" s="110">
        <f t="shared" si="2"/>
        <v>9.6000000000000002E-2</v>
      </c>
      <c r="H10" s="110">
        <f t="shared" si="2"/>
        <v>9.6000000000000002E-2</v>
      </c>
      <c r="I10" s="110">
        <f t="shared" si="2"/>
        <v>9.6000000000000002E-2</v>
      </c>
      <c r="J10" s="110">
        <f t="shared" si="2"/>
        <v>9.6000000000000002E-2</v>
      </c>
      <c r="K10" s="110">
        <f t="shared" si="2"/>
        <v>9.6000000000000002E-2</v>
      </c>
      <c r="L10" s="110">
        <f t="shared" si="2"/>
        <v>9.6000000000000002E-2</v>
      </c>
      <c r="M10" s="110">
        <f t="shared" si="2"/>
        <v>9.6000000000000002E-2</v>
      </c>
      <c r="N10" s="110">
        <f t="shared" si="2"/>
        <v>9.6000000000000002E-2</v>
      </c>
      <c r="O10" s="110">
        <f t="shared" si="2"/>
        <v>9.6000000000000002E-2</v>
      </c>
      <c r="P10" s="110">
        <f t="shared" si="2"/>
        <v>9.6000000000000002E-2</v>
      </c>
      <c r="Q10" s="110">
        <f t="shared" si="2"/>
        <v>9.6000000000000002E-2</v>
      </c>
      <c r="R10" s="110">
        <f t="shared" si="2"/>
        <v>9.6000000000000002E-2</v>
      </c>
      <c r="S10" s="110">
        <f t="shared" si="2"/>
        <v>9.6000000000000002E-2</v>
      </c>
      <c r="T10" s="110">
        <f t="shared" si="2"/>
        <v>9.6000000000000002E-2</v>
      </c>
      <c r="U10" s="110">
        <f t="shared" si="2"/>
        <v>9.6000000000000002E-2</v>
      </c>
      <c r="V10" s="110">
        <f t="shared" si="2"/>
        <v>9.6000000000000002E-2</v>
      </c>
      <c r="W10" s="110">
        <f t="shared" si="2"/>
        <v>9.6000000000000002E-2</v>
      </c>
      <c r="X10" s="110">
        <f t="shared" si="2"/>
        <v>9.6000000000000002E-2</v>
      </c>
      <c r="Y10" s="110">
        <f t="shared" si="2"/>
        <v>9.6000000000000002E-2</v>
      </c>
    </row>
    <row r="11" spans="1:25">
      <c r="A11" s="3" t="s">
        <v>223</v>
      </c>
      <c r="B11" s="54" t="s">
        <v>232</v>
      </c>
      <c r="C11" s="54" t="s">
        <v>76</v>
      </c>
      <c r="D11" s="293">
        <v>-18.442</v>
      </c>
      <c r="E11" s="293">
        <f>D11*(1+50%)</f>
        <v>-27.663</v>
      </c>
      <c r="F11" s="293">
        <f>E11*(1+50%)</f>
        <v>-41.494500000000002</v>
      </c>
      <c r="G11" s="293">
        <f>F11*(1+40%)</f>
        <v>-58.092300000000002</v>
      </c>
      <c r="H11" s="293">
        <f>G11*(1+40%)</f>
        <v>-81.329219999999992</v>
      </c>
      <c r="I11" s="293">
        <f>H11*(1+40%)</f>
        <v>-113.86090799999998</v>
      </c>
      <c r="J11" s="293">
        <f>I11*(1+30%)</f>
        <v>-148.01918039999998</v>
      </c>
      <c r="K11" s="293">
        <f>J11*(1+10%)</f>
        <v>-162.82109843999999</v>
      </c>
      <c r="L11" s="293">
        <f>K11*(1+8%)</f>
        <v>-175.84678631520001</v>
      </c>
      <c r="M11" s="293">
        <f>L11*(1+6%)</f>
        <v>-186.39759349411202</v>
      </c>
      <c r="N11" s="293">
        <f>M11*(1+4%)</f>
        <v>-193.85349723387651</v>
      </c>
      <c r="O11" s="293">
        <f>N11*(1+2%)</f>
        <v>-197.73056717855405</v>
      </c>
      <c r="P11" s="293">
        <f>O11*(1+1%)</f>
        <v>-199.70787285033958</v>
      </c>
      <c r="Q11" s="293">
        <f t="shared" ref="Q11:Y11" si="3">P11*(1+1%)</f>
        <v>-201.70495157884298</v>
      </c>
      <c r="R11" s="293">
        <f t="shared" si="3"/>
        <v>-203.72200109463142</v>
      </c>
      <c r="S11" s="293">
        <f t="shared" si="3"/>
        <v>-205.75922110557775</v>
      </c>
      <c r="T11" s="293">
        <f t="shared" si="3"/>
        <v>-207.81681331663353</v>
      </c>
      <c r="U11" s="293">
        <f t="shared" si="3"/>
        <v>-209.89498144979987</v>
      </c>
      <c r="V11" s="293">
        <f t="shared" si="3"/>
        <v>-211.99393126429788</v>
      </c>
      <c r="W11" s="293">
        <f t="shared" si="3"/>
        <v>-214.11387057694085</v>
      </c>
      <c r="X11" s="293">
        <f t="shared" si="3"/>
        <v>-216.25500928271026</v>
      </c>
      <c r="Y11" s="293">
        <f t="shared" si="3"/>
        <v>-218.41755937553737</v>
      </c>
    </row>
    <row r="12" spans="1:25">
      <c r="A12" s="3" t="s">
        <v>223</v>
      </c>
      <c r="B12" s="54" t="s">
        <v>233</v>
      </c>
      <c r="C12" s="54" t="s">
        <v>75</v>
      </c>
      <c r="D12" s="293">
        <v>-6.306</v>
      </c>
      <c r="E12" s="293">
        <f>D12*(1+50%)</f>
        <v>-9.4589999999999996</v>
      </c>
      <c r="F12" s="293">
        <f>E12*(1+50%)</f>
        <v>-14.188499999999999</v>
      </c>
      <c r="G12" s="293">
        <f>F12*(1+50%)</f>
        <v>-21.28275</v>
      </c>
      <c r="H12" s="293">
        <f>G12*(1+50%)</f>
        <v>-31.924125</v>
      </c>
      <c r="I12" s="293">
        <f>H12*(1+50%)</f>
        <v>-47.886187499999998</v>
      </c>
      <c r="J12" s="293">
        <f>I12*(1+50%)</f>
        <v>-71.829281249999994</v>
      </c>
      <c r="K12" s="293">
        <f>J12*(1+10%)</f>
        <v>-79.012209374999998</v>
      </c>
      <c r="L12" s="293">
        <f>K12*(1+8%)</f>
        <v>-85.333186124999997</v>
      </c>
      <c r="M12" s="293">
        <f>L12*(1+6%)</f>
        <v>-90.453177292500001</v>
      </c>
      <c r="N12" s="293">
        <f>M12*(1+4%)</f>
        <v>-94.071304384200005</v>
      </c>
      <c r="O12" s="293">
        <f>N12*(1+2%)</f>
        <v>-95.95273047188401</v>
      </c>
      <c r="P12" s="293">
        <f>O12*(1+1%)</f>
        <v>-96.912257776602857</v>
      </c>
      <c r="Q12" s="293">
        <f t="shared" ref="Q12:Y13" si="4">P12*(1+1%)</f>
        <v>-97.881380354368886</v>
      </c>
      <c r="R12" s="293">
        <f t="shared" si="4"/>
        <v>-98.860194157912574</v>
      </c>
      <c r="S12" s="293">
        <f t="shared" si="4"/>
        <v>-99.848796099491693</v>
      </c>
      <c r="T12" s="293">
        <f t="shared" si="4"/>
        <v>-100.84728406048661</v>
      </c>
      <c r="U12" s="293">
        <f t="shared" si="4"/>
        <v>-101.85575690109148</v>
      </c>
      <c r="V12" s="293">
        <f t="shared" si="4"/>
        <v>-102.87431447010239</v>
      </c>
      <c r="W12" s="293">
        <f t="shared" si="4"/>
        <v>-103.90305761480342</v>
      </c>
      <c r="X12" s="293">
        <f t="shared" si="4"/>
        <v>-104.94208819095145</v>
      </c>
      <c r="Y12" s="293">
        <f t="shared" si="4"/>
        <v>-105.99150907286096</v>
      </c>
    </row>
    <row r="13" spans="1:25">
      <c r="A13" s="3" t="s">
        <v>223</v>
      </c>
      <c r="B13" s="54" t="s">
        <v>234</v>
      </c>
      <c r="C13" s="54" t="s">
        <v>77</v>
      </c>
      <c r="D13" s="292">
        <v>0</v>
      </c>
      <c r="E13" s="292">
        <v>0</v>
      </c>
      <c r="F13" s="293" t="e">
        <f>-F6*Forecast!J5</f>
        <v>#REF!</v>
      </c>
      <c r="G13" s="293" t="e">
        <f>-G6*Forecast!K5</f>
        <v>#REF!</v>
      </c>
      <c r="H13" s="293" t="e">
        <f>-H6*30%</f>
        <v>#REF!</v>
      </c>
      <c r="I13" s="293" t="e">
        <f>-I6*30%</f>
        <v>#REF!</v>
      </c>
      <c r="J13" s="293" t="e">
        <f>-J6*20%</f>
        <v>#REF!</v>
      </c>
      <c r="K13" s="293" t="e">
        <f>J13*(1+10%)</f>
        <v>#REF!</v>
      </c>
      <c r="L13" s="293" t="e">
        <f>K13*(1+8%)</f>
        <v>#REF!</v>
      </c>
      <c r="M13" s="293" t="e">
        <f>L13*(1+6%)</f>
        <v>#REF!</v>
      </c>
      <c r="N13" s="293" t="e">
        <f>M13*(1+4%)</f>
        <v>#REF!</v>
      </c>
      <c r="O13" s="293" t="e">
        <f>N13*(1+2%)</f>
        <v>#REF!</v>
      </c>
      <c r="P13" s="293" t="e">
        <f>O13*(1+1%)</f>
        <v>#REF!</v>
      </c>
      <c r="Q13" s="293" t="e">
        <f t="shared" si="4"/>
        <v>#REF!</v>
      </c>
      <c r="R13" s="293" t="e">
        <f t="shared" si="4"/>
        <v>#REF!</v>
      </c>
      <c r="S13" s="293" t="e">
        <f t="shared" si="4"/>
        <v>#REF!</v>
      </c>
      <c r="T13" s="293" t="e">
        <f t="shared" si="4"/>
        <v>#REF!</v>
      </c>
      <c r="U13" s="293" t="e">
        <f t="shared" si="4"/>
        <v>#REF!</v>
      </c>
      <c r="V13" s="293" t="e">
        <f t="shared" si="4"/>
        <v>#REF!</v>
      </c>
      <c r="W13" s="293" t="e">
        <f t="shared" si="4"/>
        <v>#REF!</v>
      </c>
      <c r="X13" s="293" t="e">
        <f t="shared" si="4"/>
        <v>#REF!</v>
      </c>
      <c r="Y13" s="293" t="e">
        <f t="shared" si="4"/>
        <v>#REF!</v>
      </c>
    </row>
    <row r="14" spans="1:25" s="3" customFormat="1">
      <c r="B14" s="266" t="s">
        <v>235</v>
      </c>
      <c r="C14" s="266" t="s">
        <v>236</v>
      </c>
      <c r="D14" s="291">
        <f>SUM(D8:D13)</f>
        <v>-23.496000000000002</v>
      </c>
      <c r="E14" s="291" t="e">
        <f>SUM(E8:E13)</f>
        <v>#REF!</v>
      </c>
      <c r="F14" s="291" t="e">
        <f t="shared" ref="F14:Y14" si="5">SUM(F8:F13)</f>
        <v>#REF!</v>
      </c>
      <c r="G14" s="291" t="e">
        <f t="shared" si="5"/>
        <v>#REF!</v>
      </c>
      <c r="H14" s="291" t="e">
        <f t="shared" si="5"/>
        <v>#REF!</v>
      </c>
      <c r="I14" s="291" t="e">
        <f t="shared" si="5"/>
        <v>#REF!</v>
      </c>
      <c r="J14" s="291" t="e">
        <f t="shared" si="5"/>
        <v>#REF!</v>
      </c>
      <c r="K14" s="291" t="e">
        <f t="shared" si="5"/>
        <v>#REF!</v>
      </c>
      <c r="L14" s="291" t="e">
        <f t="shared" si="5"/>
        <v>#REF!</v>
      </c>
      <c r="M14" s="291" t="e">
        <f t="shared" si="5"/>
        <v>#REF!</v>
      </c>
      <c r="N14" s="291" t="e">
        <f t="shared" si="5"/>
        <v>#REF!</v>
      </c>
      <c r="O14" s="291" t="e">
        <f t="shared" si="5"/>
        <v>#REF!</v>
      </c>
      <c r="P14" s="291" t="e">
        <f t="shared" si="5"/>
        <v>#REF!</v>
      </c>
      <c r="Q14" s="291" t="e">
        <f t="shared" si="5"/>
        <v>#REF!</v>
      </c>
      <c r="R14" s="291" t="e">
        <f t="shared" si="5"/>
        <v>#REF!</v>
      </c>
      <c r="S14" s="291" t="e">
        <f t="shared" si="5"/>
        <v>#REF!</v>
      </c>
      <c r="T14" s="291" t="e">
        <f t="shared" si="5"/>
        <v>#REF!</v>
      </c>
      <c r="U14" s="291" t="e">
        <f t="shared" si="5"/>
        <v>#REF!</v>
      </c>
      <c r="V14" s="291" t="e">
        <f t="shared" si="5"/>
        <v>#REF!</v>
      </c>
      <c r="W14" s="291" t="e">
        <f t="shared" si="5"/>
        <v>#REF!</v>
      </c>
      <c r="X14" s="291" t="e">
        <f t="shared" si="5"/>
        <v>#REF!</v>
      </c>
      <c r="Y14" s="291" t="e">
        <f t="shared" si="5"/>
        <v>#REF!</v>
      </c>
    </row>
    <row r="15" spans="1:25" s="3" customFormat="1">
      <c r="B15" s="266"/>
      <c r="C15" s="54" t="s">
        <v>237</v>
      </c>
      <c r="D15" s="293">
        <v>0.63400000000000001</v>
      </c>
      <c r="E15" s="293">
        <f>D15</f>
        <v>0.63400000000000001</v>
      </c>
      <c r="F15" s="293">
        <f t="shared" ref="F15:Y15" si="6">E15</f>
        <v>0.63400000000000001</v>
      </c>
      <c r="G15" s="293">
        <f t="shared" si="6"/>
        <v>0.63400000000000001</v>
      </c>
      <c r="H15" s="293">
        <f t="shared" si="6"/>
        <v>0.63400000000000001</v>
      </c>
      <c r="I15" s="293">
        <f t="shared" si="6"/>
        <v>0.63400000000000001</v>
      </c>
      <c r="J15" s="293">
        <f t="shared" si="6"/>
        <v>0.63400000000000001</v>
      </c>
      <c r="K15" s="293">
        <f t="shared" si="6"/>
        <v>0.63400000000000001</v>
      </c>
      <c r="L15" s="293">
        <f t="shared" si="6"/>
        <v>0.63400000000000001</v>
      </c>
      <c r="M15" s="293">
        <f t="shared" si="6"/>
        <v>0.63400000000000001</v>
      </c>
      <c r="N15" s="293">
        <f t="shared" si="6"/>
        <v>0.63400000000000001</v>
      </c>
      <c r="O15" s="293">
        <f t="shared" si="6"/>
        <v>0.63400000000000001</v>
      </c>
      <c r="P15" s="293">
        <f t="shared" si="6"/>
        <v>0.63400000000000001</v>
      </c>
      <c r="Q15" s="293">
        <f t="shared" si="6"/>
        <v>0.63400000000000001</v>
      </c>
      <c r="R15" s="293">
        <f t="shared" si="6"/>
        <v>0.63400000000000001</v>
      </c>
      <c r="S15" s="293">
        <f t="shared" si="6"/>
        <v>0.63400000000000001</v>
      </c>
      <c r="T15" s="293">
        <f t="shared" si="6"/>
        <v>0.63400000000000001</v>
      </c>
      <c r="U15" s="293">
        <f t="shared" si="6"/>
        <v>0.63400000000000001</v>
      </c>
      <c r="V15" s="293">
        <f t="shared" si="6"/>
        <v>0.63400000000000001</v>
      </c>
      <c r="W15" s="293">
        <f t="shared" si="6"/>
        <v>0.63400000000000001</v>
      </c>
      <c r="X15" s="293">
        <f t="shared" si="6"/>
        <v>0.63400000000000001</v>
      </c>
      <c r="Y15" s="293">
        <f t="shared" si="6"/>
        <v>0.63400000000000001</v>
      </c>
    </row>
    <row r="16" spans="1:25" s="3" customFormat="1">
      <c r="B16" s="266"/>
      <c r="C16" s="54" t="s">
        <v>238</v>
      </c>
      <c r="D16" s="293">
        <v>2.5150000000000001</v>
      </c>
      <c r="E16" s="293">
        <f>D16</f>
        <v>2.5150000000000001</v>
      </c>
      <c r="F16" s="293">
        <f t="shared" ref="F16:Y16" si="7">E16</f>
        <v>2.5150000000000001</v>
      </c>
      <c r="G16" s="293">
        <f t="shared" si="7"/>
        <v>2.5150000000000001</v>
      </c>
      <c r="H16" s="293">
        <f t="shared" si="7"/>
        <v>2.5150000000000001</v>
      </c>
      <c r="I16" s="293">
        <f t="shared" si="7"/>
        <v>2.5150000000000001</v>
      </c>
      <c r="J16" s="293">
        <f t="shared" si="7"/>
        <v>2.5150000000000001</v>
      </c>
      <c r="K16" s="293">
        <f t="shared" si="7"/>
        <v>2.5150000000000001</v>
      </c>
      <c r="L16" s="293">
        <f t="shared" si="7"/>
        <v>2.5150000000000001</v>
      </c>
      <c r="M16" s="293">
        <f t="shared" si="7"/>
        <v>2.5150000000000001</v>
      </c>
      <c r="N16" s="293">
        <f t="shared" si="7"/>
        <v>2.5150000000000001</v>
      </c>
      <c r="O16" s="293">
        <f t="shared" si="7"/>
        <v>2.5150000000000001</v>
      </c>
      <c r="P16" s="293">
        <f t="shared" si="7"/>
        <v>2.5150000000000001</v>
      </c>
      <c r="Q16" s="293">
        <f t="shared" si="7"/>
        <v>2.5150000000000001</v>
      </c>
      <c r="R16" s="293">
        <f t="shared" si="7"/>
        <v>2.5150000000000001</v>
      </c>
      <c r="S16" s="293">
        <f t="shared" si="7"/>
        <v>2.5150000000000001</v>
      </c>
      <c r="T16" s="293">
        <f t="shared" si="7"/>
        <v>2.5150000000000001</v>
      </c>
      <c r="U16" s="293">
        <f t="shared" si="7"/>
        <v>2.5150000000000001</v>
      </c>
      <c r="V16" s="293">
        <f t="shared" si="7"/>
        <v>2.5150000000000001</v>
      </c>
      <c r="W16" s="293">
        <f t="shared" si="7"/>
        <v>2.5150000000000001</v>
      </c>
      <c r="X16" s="293">
        <f t="shared" si="7"/>
        <v>2.5150000000000001</v>
      </c>
      <c r="Y16" s="293">
        <f t="shared" si="7"/>
        <v>2.5150000000000001</v>
      </c>
    </row>
    <row r="17" spans="1:25" s="3" customFormat="1">
      <c r="B17" s="266"/>
      <c r="C17" s="54" t="s">
        <v>239</v>
      </c>
      <c r="D17" s="293">
        <v>-25.359000000000002</v>
      </c>
      <c r="E17" s="293">
        <f>D17</f>
        <v>-25.359000000000002</v>
      </c>
      <c r="F17" s="293">
        <f t="shared" ref="F17:Y17" si="8">E17</f>
        <v>-25.359000000000002</v>
      </c>
      <c r="G17" s="293">
        <f t="shared" si="8"/>
        <v>-25.359000000000002</v>
      </c>
      <c r="H17" s="293">
        <f t="shared" si="8"/>
        <v>-25.359000000000002</v>
      </c>
      <c r="I17" s="293">
        <f t="shared" si="8"/>
        <v>-25.359000000000002</v>
      </c>
      <c r="J17" s="293">
        <f t="shared" si="8"/>
        <v>-25.359000000000002</v>
      </c>
      <c r="K17" s="293">
        <f t="shared" si="8"/>
        <v>-25.359000000000002</v>
      </c>
      <c r="L17" s="293">
        <f t="shared" si="8"/>
        <v>-25.359000000000002</v>
      </c>
      <c r="M17" s="293">
        <f t="shared" si="8"/>
        <v>-25.359000000000002</v>
      </c>
      <c r="N17" s="293">
        <f t="shared" si="8"/>
        <v>-25.359000000000002</v>
      </c>
      <c r="O17" s="293">
        <f t="shared" si="8"/>
        <v>-25.359000000000002</v>
      </c>
      <c r="P17" s="293">
        <f t="shared" si="8"/>
        <v>-25.359000000000002</v>
      </c>
      <c r="Q17" s="293">
        <f t="shared" si="8"/>
        <v>-25.359000000000002</v>
      </c>
      <c r="R17" s="293">
        <f t="shared" si="8"/>
        <v>-25.359000000000002</v>
      </c>
      <c r="S17" s="293">
        <f t="shared" si="8"/>
        <v>-25.359000000000002</v>
      </c>
      <c r="T17" s="293">
        <f t="shared" si="8"/>
        <v>-25.359000000000002</v>
      </c>
      <c r="U17" s="293">
        <f t="shared" si="8"/>
        <v>-25.359000000000002</v>
      </c>
      <c r="V17" s="293">
        <f t="shared" si="8"/>
        <v>-25.359000000000002</v>
      </c>
      <c r="W17" s="293">
        <f t="shared" si="8"/>
        <v>-25.359000000000002</v>
      </c>
      <c r="X17" s="293">
        <f t="shared" si="8"/>
        <v>-25.359000000000002</v>
      </c>
      <c r="Y17" s="293">
        <f t="shared" si="8"/>
        <v>-25.359000000000002</v>
      </c>
    </row>
    <row r="18" spans="1:25" ht="12">
      <c r="C18" s="47" t="s">
        <v>240</v>
      </c>
      <c r="D18" s="1">
        <v>0</v>
      </c>
      <c r="E18" s="293">
        <f>D18</f>
        <v>0</v>
      </c>
      <c r="F18" s="293">
        <f t="shared" ref="F18:Y18" si="9">E18</f>
        <v>0</v>
      </c>
      <c r="G18" s="293">
        <f t="shared" si="9"/>
        <v>0</v>
      </c>
      <c r="H18" s="293">
        <f t="shared" si="9"/>
        <v>0</v>
      </c>
      <c r="I18" s="293">
        <f t="shared" si="9"/>
        <v>0</v>
      </c>
      <c r="J18" s="293">
        <f t="shared" si="9"/>
        <v>0</v>
      </c>
      <c r="K18" s="293">
        <f t="shared" si="9"/>
        <v>0</v>
      </c>
      <c r="L18" s="293">
        <f t="shared" si="9"/>
        <v>0</v>
      </c>
      <c r="M18" s="293">
        <f t="shared" si="9"/>
        <v>0</v>
      </c>
      <c r="N18" s="293">
        <f t="shared" si="9"/>
        <v>0</v>
      </c>
      <c r="O18" s="293">
        <f t="shared" si="9"/>
        <v>0</v>
      </c>
      <c r="P18" s="293">
        <f t="shared" si="9"/>
        <v>0</v>
      </c>
      <c r="Q18" s="293">
        <f t="shared" si="9"/>
        <v>0</v>
      </c>
      <c r="R18" s="293">
        <f t="shared" si="9"/>
        <v>0</v>
      </c>
      <c r="S18" s="293">
        <f t="shared" si="9"/>
        <v>0</v>
      </c>
      <c r="T18" s="293">
        <f t="shared" si="9"/>
        <v>0</v>
      </c>
      <c r="U18" s="293">
        <f t="shared" si="9"/>
        <v>0</v>
      </c>
      <c r="V18" s="293">
        <f t="shared" si="9"/>
        <v>0</v>
      </c>
      <c r="W18" s="293">
        <f t="shared" si="9"/>
        <v>0</v>
      </c>
      <c r="X18" s="293">
        <f t="shared" si="9"/>
        <v>0</v>
      </c>
      <c r="Y18" s="293">
        <f t="shared" si="9"/>
        <v>0</v>
      </c>
    </row>
    <row r="19" spans="1:25" s="3" customFormat="1" ht="12">
      <c r="B19" s="420" t="s">
        <v>241</v>
      </c>
      <c r="C19" s="54" t="s">
        <v>242</v>
      </c>
      <c r="D19" s="293">
        <v>-4.5999999999999999E-2</v>
      </c>
      <c r="E19" s="293">
        <f>Forecast!I34</f>
        <v>0</v>
      </c>
      <c r="F19" s="293">
        <f>Forecast!J34</f>
        <v>0</v>
      </c>
      <c r="G19" s="293">
        <f>Forecast!K34</f>
        <v>0</v>
      </c>
      <c r="H19" s="293">
        <f>Forecast!L34</f>
        <v>0</v>
      </c>
      <c r="I19" s="293">
        <f>Forecast!M34</f>
        <v>0</v>
      </c>
      <c r="J19" s="293">
        <f>Forecast!N34</f>
        <v>0</v>
      </c>
      <c r="K19" s="293">
        <f>Forecast!O34</f>
        <v>0</v>
      </c>
      <c r="L19" s="293">
        <f>Forecast!P34</f>
        <v>0</v>
      </c>
      <c r="M19" s="293">
        <f>Forecast!Q34</f>
        <v>0</v>
      </c>
      <c r="N19" s="293">
        <f>Forecast!R34</f>
        <v>0</v>
      </c>
      <c r="O19" s="293">
        <f>Forecast!S34</f>
        <v>0</v>
      </c>
      <c r="P19" s="293">
        <f>Forecast!T34</f>
        <v>0</v>
      </c>
      <c r="Q19" s="293">
        <f>Forecast!U34</f>
        <v>0</v>
      </c>
      <c r="R19" s="293">
        <f>Forecast!V34</f>
        <v>0</v>
      </c>
      <c r="S19" s="293">
        <f>Forecast!W34</f>
        <v>0</v>
      </c>
      <c r="T19" s="293">
        <f>Forecast!X34</f>
        <v>0</v>
      </c>
      <c r="U19" s="293">
        <f>Forecast!Y34</f>
        <v>0</v>
      </c>
      <c r="V19" s="293">
        <f>Forecast!Z34</f>
        <v>0</v>
      </c>
      <c r="W19" s="293">
        <f>Forecast!AA34</f>
        <v>0</v>
      </c>
      <c r="X19" s="293">
        <f>Forecast!AB34</f>
        <v>0</v>
      </c>
      <c r="Y19" s="293">
        <f>Forecast!AC34</f>
        <v>0</v>
      </c>
    </row>
    <row r="20" spans="1:25" s="3" customFormat="1" ht="12">
      <c r="A20" s="3" t="s">
        <v>223</v>
      </c>
      <c r="B20" s="420" t="s">
        <v>243</v>
      </c>
      <c r="C20" s="54" t="s">
        <v>244</v>
      </c>
      <c r="D20" s="293">
        <v>0</v>
      </c>
      <c r="E20" s="293">
        <f>Forecast!I35</f>
        <v>0.76974000000000009</v>
      </c>
      <c r="F20" s="293" t="e">
        <f>Forecast!J35</f>
        <v>#REF!</v>
      </c>
      <c r="G20" s="293" t="e">
        <f>Forecast!K35</f>
        <v>#REF!</v>
      </c>
      <c r="H20" s="293" t="e">
        <f>Forecast!L35</f>
        <v>#REF!</v>
      </c>
      <c r="I20" s="293" t="e">
        <f>Forecast!M35</f>
        <v>#REF!</v>
      </c>
      <c r="J20" s="293" t="e">
        <f>Forecast!N35</f>
        <v>#REF!</v>
      </c>
      <c r="K20" s="293" t="e">
        <f>Forecast!O35</f>
        <v>#REF!</v>
      </c>
      <c r="L20" s="293" t="e">
        <f>Forecast!P35</f>
        <v>#REF!</v>
      </c>
      <c r="M20" s="293" t="e">
        <f>Forecast!Q35</f>
        <v>#REF!</v>
      </c>
      <c r="N20" s="293" t="e">
        <f>Forecast!R35</f>
        <v>#REF!</v>
      </c>
      <c r="O20" s="293" t="e">
        <f>Forecast!S35</f>
        <v>#REF!</v>
      </c>
      <c r="P20" s="293" t="e">
        <f>Forecast!T35</f>
        <v>#REF!</v>
      </c>
      <c r="Q20" s="293" t="e">
        <f>Forecast!U35</f>
        <v>#REF!</v>
      </c>
      <c r="R20" s="293" t="e">
        <f>Forecast!V35</f>
        <v>#REF!</v>
      </c>
      <c r="S20" s="293" t="e">
        <f>Forecast!W35</f>
        <v>#REF!</v>
      </c>
      <c r="T20" s="293" t="e">
        <f>Forecast!X35</f>
        <v>#REF!</v>
      </c>
      <c r="U20" s="293" t="e">
        <f>Forecast!Y35</f>
        <v>#REF!</v>
      </c>
      <c r="V20" s="293" t="e">
        <f>Forecast!Z35</f>
        <v>#REF!</v>
      </c>
      <c r="W20" s="293" t="e">
        <f>Forecast!AA35</f>
        <v>#REF!</v>
      </c>
      <c r="X20" s="293" t="e">
        <f>Forecast!AB35</f>
        <v>#REF!</v>
      </c>
      <c r="Y20" s="293" t="e">
        <f>Forecast!AC35</f>
        <v>#REF!</v>
      </c>
    </row>
    <row r="21" spans="1:25" s="3" customFormat="1">
      <c r="B21" s="266" t="s">
        <v>245</v>
      </c>
      <c r="C21" s="266" t="s">
        <v>246</v>
      </c>
      <c r="D21" s="291">
        <f t="shared" ref="D21:Y21" si="10">D20+D19</f>
        <v>-4.5999999999999999E-2</v>
      </c>
      <c r="E21" s="291">
        <f t="shared" si="10"/>
        <v>0.76974000000000009</v>
      </c>
      <c r="F21" s="291" t="e">
        <f t="shared" si="10"/>
        <v>#REF!</v>
      </c>
      <c r="G21" s="291" t="e">
        <f t="shared" si="10"/>
        <v>#REF!</v>
      </c>
      <c r="H21" s="291" t="e">
        <f t="shared" si="10"/>
        <v>#REF!</v>
      </c>
      <c r="I21" s="291" t="e">
        <f t="shared" si="10"/>
        <v>#REF!</v>
      </c>
      <c r="J21" s="291" t="e">
        <f t="shared" si="10"/>
        <v>#REF!</v>
      </c>
      <c r="K21" s="291" t="e">
        <f t="shared" si="10"/>
        <v>#REF!</v>
      </c>
      <c r="L21" s="291" t="e">
        <f t="shared" si="10"/>
        <v>#REF!</v>
      </c>
      <c r="M21" s="291" t="e">
        <f t="shared" si="10"/>
        <v>#REF!</v>
      </c>
      <c r="N21" s="291" t="e">
        <f t="shared" si="10"/>
        <v>#REF!</v>
      </c>
      <c r="O21" s="291" t="e">
        <f t="shared" si="10"/>
        <v>#REF!</v>
      </c>
      <c r="P21" s="291" t="e">
        <f t="shared" si="10"/>
        <v>#REF!</v>
      </c>
      <c r="Q21" s="291" t="e">
        <f t="shared" si="10"/>
        <v>#REF!</v>
      </c>
      <c r="R21" s="291" t="e">
        <f t="shared" si="10"/>
        <v>#REF!</v>
      </c>
      <c r="S21" s="291" t="e">
        <f t="shared" si="10"/>
        <v>#REF!</v>
      </c>
      <c r="T21" s="291" t="e">
        <f t="shared" si="10"/>
        <v>#REF!</v>
      </c>
      <c r="U21" s="291" t="e">
        <f t="shared" si="10"/>
        <v>#REF!</v>
      </c>
      <c r="V21" s="291" t="e">
        <f t="shared" si="10"/>
        <v>#REF!</v>
      </c>
      <c r="W21" s="291" t="e">
        <f t="shared" si="10"/>
        <v>#REF!</v>
      </c>
      <c r="X21" s="291" t="e">
        <f t="shared" si="10"/>
        <v>#REF!</v>
      </c>
      <c r="Y21" s="291" t="e">
        <f t="shared" si="10"/>
        <v>#REF!</v>
      </c>
    </row>
    <row r="22" spans="1:25" s="3" customFormat="1">
      <c r="B22" s="54" t="s">
        <v>247</v>
      </c>
      <c r="C22" s="266" t="s">
        <v>78</v>
      </c>
      <c r="D22" s="290">
        <f>D14+D21+SUM(D15:D18)</f>
        <v>-45.752000000000002</v>
      </c>
      <c r="E22" s="290" t="e">
        <f t="shared" ref="E22:Y22" si="11">E14+E21+SUM(E15:E18)</f>
        <v>#REF!</v>
      </c>
      <c r="F22" s="290" t="e">
        <f t="shared" si="11"/>
        <v>#REF!</v>
      </c>
      <c r="G22" s="290" t="e">
        <f t="shared" si="11"/>
        <v>#REF!</v>
      </c>
      <c r="H22" s="290" t="e">
        <f t="shared" si="11"/>
        <v>#REF!</v>
      </c>
      <c r="I22" s="290" t="e">
        <f t="shared" si="11"/>
        <v>#REF!</v>
      </c>
      <c r="J22" s="290" t="e">
        <f t="shared" si="11"/>
        <v>#REF!</v>
      </c>
      <c r="K22" s="290" t="e">
        <f t="shared" si="11"/>
        <v>#REF!</v>
      </c>
      <c r="L22" s="290" t="e">
        <f t="shared" si="11"/>
        <v>#REF!</v>
      </c>
      <c r="M22" s="290" t="e">
        <f t="shared" si="11"/>
        <v>#REF!</v>
      </c>
      <c r="N22" s="290" t="e">
        <f t="shared" si="11"/>
        <v>#REF!</v>
      </c>
      <c r="O22" s="290" t="e">
        <f t="shared" si="11"/>
        <v>#REF!</v>
      </c>
      <c r="P22" s="290" t="e">
        <f t="shared" si="11"/>
        <v>#REF!</v>
      </c>
      <c r="Q22" s="290" t="e">
        <f t="shared" si="11"/>
        <v>#REF!</v>
      </c>
      <c r="R22" s="290" t="e">
        <f t="shared" si="11"/>
        <v>#REF!</v>
      </c>
      <c r="S22" s="290" t="e">
        <f t="shared" si="11"/>
        <v>#REF!</v>
      </c>
      <c r="T22" s="290" t="e">
        <f t="shared" si="11"/>
        <v>#REF!</v>
      </c>
      <c r="U22" s="290" t="e">
        <f t="shared" si="11"/>
        <v>#REF!</v>
      </c>
      <c r="V22" s="290" t="e">
        <f t="shared" si="11"/>
        <v>#REF!</v>
      </c>
      <c r="W22" s="290" t="e">
        <f t="shared" si="11"/>
        <v>#REF!</v>
      </c>
      <c r="X22" s="290" t="e">
        <f t="shared" si="11"/>
        <v>#REF!</v>
      </c>
      <c r="Y22" s="290" t="e">
        <f t="shared" si="11"/>
        <v>#REF!</v>
      </c>
    </row>
    <row r="23" spans="1:25">
      <c r="B23" s="54" t="s">
        <v>248</v>
      </c>
      <c r="C23" s="54" t="s">
        <v>249</v>
      </c>
      <c r="D23" s="292">
        <v>-0.153</v>
      </c>
      <c r="E23" s="293" t="e">
        <f t="shared" ref="E23:K23" si="12">IF(E22&gt;0,-E22*0.25,0)</f>
        <v>#REF!</v>
      </c>
      <c r="F23" s="293" t="e">
        <f t="shared" si="12"/>
        <v>#REF!</v>
      </c>
      <c r="G23" s="293" t="e">
        <f t="shared" si="12"/>
        <v>#REF!</v>
      </c>
      <c r="H23" s="293" t="e">
        <f t="shared" si="12"/>
        <v>#REF!</v>
      </c>
      <c r="I23" s="293" t="e">
        <f t="shared" si="12"/>
        <v>#REF!</v>
      </c>
      <c r="J23" s="293" t="e">
        <f t="shared" si="12"/>
        <v>#REF!</v>
      </c>
      <c r="K23" s="293" t="e">
        <f t="shared" si="12"/>
        <v>#REF!</v>
      </c>
      <c r="L23" s="293" t="e">
        <f t="shared" ref="L23:Y23" si="13">IF(L22&gt;0,-L22*0.25,0)</f>
        <v>#REF!</v>
      </c>
      <c r="M23" s="293" t="e">
        <f t="shared" si="13"/>
        <v>#REF!</v>
      </c>
      <c r="N23" s="293" t="e">
        <f t="shared" si="13"/>
        <v>#REF!</v>
      </c>
      <c r="O23" s="293" t="e">
        <f t="shared" si="13"/>
        <v>#REF!</v>
      </c>
      <c r="P23" s="293" t="e">
        <f t="shared" si="13"/>
        <v>#REF!</v>
      </c>
      <c r="Q23" s="293" t="e">
        <f t="shared" si="13"/>
        <v>#REF!</v>
      </c>
      <c r="R23" s="293" t="e">
        <f t="shared" si="13"/>
        <v>#REF!</v>
      </c>
      <c r="S23" s="293" t="e">
        <f t="shared" si="13"/>
        <v>#REF!</v>
      </c>
      <c r="T23" s="293" t="e">
        <f t="shared" si="13"/>
        <v>#REF!</v>
      </c>
      <c r="U23" s="293" t="e">
        <f t="shared" si="13"/>
        <v>#REF!</v>
      </c>
      <c r="V23" s="293" t="e">
        <f t="shared" si="13"/>
        <v>#REF!</v>
      </c>
      <c r="W23" s="293" t="e">
        <f t="shared" si="13"/>
        <v>#REF!</v>
      </c>
      <c r="X23" s="293" t="e">
        <f t="shared" si="13"/>
        <v>#REF!</v>
      </c>
      <c r="Y23" s="293" t="e">
        <f t="shared" si="13"/>
        <v>#REF!</v>
      </c>
    </row>
    <row r="24" spans="1:25">
      <c r="B24" s="54" t="s">
        <v>250</v>
      </c>
      <c r="C24" s="54" t="s">
        <v>79</v>
      </c>
      <c r="D24" s="292">
        <f>D22+D23</f>
        <v>-45.905000000000001</v>
      </c>
      <c r="E24" s="292" t="e">
        <f t="shared" ref="E24:Y24" si="14">E22+E23</f>
        <v>#REF!</v>
      </c>
      <c r="F24" s="292" t="e">
        <f t="shared" si="14"/>
        <v>#REF!</v>
      </c>
      <c r="G24" s="292" t="e">
        <f t="shared" si="14"/>
        <v>#REF!</v>
      </c>
      <c r="H24" s="292" t="e">
        <f t="shared" si="14"/>
        <v>#REF!</v>
      </c>
      <c r="I24" s="292" t="e">
        <f t="shared" si="14"/>
        <v>#REF!</v>
      </c>
      <c r="J24" s="292" t="e">
        <f t="shared" si="14"/>
        <v>#REF!</v>
      </c>
      <c r="K24" s="292" t="e">
        <f t="shared" si="14"/>
        <v>#REF!</v>
      </c>
      <c r="L24" s="292" t="e">
        <f t="shared" si="14"/>
        <v>#REF!</v>
      </c>
      <c r="M24" s="292" t="e">
        <f t="shared" si="14"/>
        <v>#REF!</v>
      </c>
      <c r="N24" s="292" t="e">
        <f t="shared" si="14"/>
        <v>#REF!</v>
      </c>
      <c r="O24" s="292" t="e">
        <f t="shared" si="14"/>
        <v>#REF!</v>
      </c>
      <c r="P24" s="292" t="e">
        <f t="shared" si="14"/>
        <v>#REF!</v>
      </c>
      <c r="Q24" s="292" t="e">
        <f t="shared" si="14"/>
        <v>#REF!</v>
      </c>
      <c r="R24" s="292" t="e">
        <f t="shared" si="14"/>
        <v>#REF!</v>
      </c>
      <c r="S24" s="292" t="e">
        <f t="shared" si="14"/>
        <v>#REF!</v>
      </c>
      <c r="T24" s="292" t="e">
        <f t="shared" si="14"/>
        <v>#REF!</v>
      </c>
      <c r="U24" s="292" t="e">
        <f t="shared" si="14"/>
        <v>#REF!</v>
      </c>
      <c r="V24" s="292" t="e">
        <f t="shared" si="14"/>
        <v>#REF!</v>
      </c>
      <c r="W24" s="292" t="e">
        <f t="shared" si="14"/>
        <v>#REF!</v>
      </c>
      <c r="X24" s="292" t="e">
        <f t="shared" si="14"/>
        <v>#REF!</v>
      </c>
      <c r="Y24" s="292" t="e">
        <f t="shared" si="14"/>
        <v>#REF!</v>
      </c>
    </row>
    <row r="25" spans="1:25" s="3" customFormat="1">
      <c r="B25" s="266" t="s">
        <v>251</v>
      </c>
      <c r="C25" s="266" t="s">
        <v>252</v>
      </c>
      <c r="D25" s="291">
        <f>D24</f>
        <v>-45.905000000000001</v>
      </c>
      <c r="E25" s="291" t="e">
        <f t="shared" ref="E25:Y25" si="15">E24</f>
        <v>#REF!</v>
      </c>
      <c r="F25" s="291" t="e">
        <f t="shared" si="15"/>
        <v>#REF!</v>
      </c>
      <c r="G25" s="291" t="e">
        <f t="shared" si="15"/>
        <v>#REF!</v>
      </c>
      <c r="H25" s="291" t="e">
        <f t="shared" si="15"/>
        <v>#REF!</v>
      </c>
      <c r="I25" s="291" t="e">
        <f t="shared" si="15"/>
        <v>#REF!</v>
      </c>
      <c r="J25" s="291" t="e">
        <f t="shared" si="15"/>
        <v>#REF!</v>
      </c>
      <c r="K25" s="291" t="e">
        <f t="shared" si="15"/>
        <v>#REF!</v>
      </c>
      <c r="L25" s="291" t="e">
        <f t="shared" si="15"/>
        <v>#REF!</v>
      </c>
      <c r="M25" s="291" t="e">
        <f t="shared" si="15"/>
        <v>#REF!</v>
      </c>
      <c r="N25" s="291" t="e">
        <f t="shared" si="15"/>
        <v>#REF!</v>
      </c>
      <c r="O25" s="291" t="e">
        <f t="shared" si="15"/>
        <v>#REF!</v>
      </c>
      <c r="P25" s="291" t="e">
        <f t="shared" si="15"/>
        <v>#REF!</v>
      </c>
      <c r="Q25" s="291" t="e">
        <f t="shared" si="15"/>
        <v>#REF!</v>
      </c>
      <c r="R25" s="291" t="e">
        <f t="shared" si="15"/>
        <v>#REF!</v>
      </c>
      <c r="S25" s="291" t="e">
        <f t="shared" si="15"/>
        <v>#REF!</v>
      </c>
      <c r="T25" s="291" t="e">
        <f t="shared" si="15"/>
        <v>#REF!</v>
      </c>
      <c r="U25" s="291" t="e">
        <f t="shared" si="15"/>
        <v>#REF!</v>
      </c>
      <c r="V25" s="291" t="e">
        <f t="shared" si="15"/>
        <v>#REF!</v>
      </c>
      <c r="W25" s="291" t="e">
        <f t="shared" si="15"/>
        <v>#REF!</v>
      </c>
      <c r="X25" s="291" t="e">
        <f t="shared" si="15"/>
        <v>#REF!</v>
      </c>
      <c r="Y25" s="291" t="e">
        <f t="shared" si="15"/>
        <v>#REF!</v>
      </c>
    </row>
    <row r="26" spans="1:25" s="3" customFormat="1">
      <c r="B26" s="266" t="s">
        <v>253</v>
      </c>
      <c r="C26" s="266" t="s">
        <v>254</v>
      </c>
      <c r="D26" s="112">
        <v>-0.15</v>
      </c>
      <c r="E26" s="112" t="e">
        <f t="shared" ref="E26:Y26" si="16">E25/E27</f>
        <v>#REF!</v>
      </c>
      <c r="F26" s="112" t="e">
        <f t="shared" si="16"/>
        <v>#REF!</v>
      </c>
      <c r="G26" s="112" t="e">
        <f t="shared" si="16"/>
        <v>#REF!</v>
      </c>
      <c r="H26" s="112" t="e">
        <f t="shared" si="16"/>
        <v>#REF!</v>
      </c>
      <c r="I26" s="112" t="e">
        <f t="shared" si="16"/>
        <v>#REF!</v>
      </c>
      <c r="J26" s="112" t="e">
        <f t="shared" si="16"/>
        <v>#REF!</v>
      </c>
      <c r="K26" s="112" t="e">
        <f t="shared" si="16"/>
        <v>#REF!</v>
      </c>
      <c r="L26" s="112" t="e">
        <f t="shared" si="16"/>
        <v>#REF!</v>
      </c>
      <c r="M26" s="112" t="e">
        <f t="shared" si="16"/>
        <v>#REF!</v>
      </c>
      <c r="N26" s="112" t="e">
        <f t="shared" si="16"/>
        <v>#REF!</v>
      </c>
      <c r="O26" s="112" t="e">
        <f t="shared" si="16"/>
        <v>#REF!</v>
      </c>
      <c r="P26" s="112" t="e">
        <f t="shared" si="16"/>
        <v>#REF!</v>
      </c>
      <c r="Q26" s="112" t="e">
        <f t="shared" si="16"/>
        <v>#REF!</v>
      </c>
      <c r="R26" s="112" t="e">
        <f t="shared" si="16"/>
        <v>#REF!</v>
      </c>
      <c r="S26" s="112" t="e">
        <f t="shared" si="16"/>
        <v>#REF!</v>
      </c>
      <c r="T26" s="112" t="e">
        <f t="shared" si="16"/>
        <v>#REF!</v>
      </c>
      <c r="U26" s="112" t="e">
        <f t="shared" si="16"/>
        <v>#REF!</v>
      </c>
      <c r="V26" s="112" t="e">
        <f t="shared" si="16"/>
        <v>#REF!</v>
      </c>
      <c r="W26" s="112" t="e">
        <f t="shared" si="16"/>
        <v>#REF!</v>
      </c>
      <c r="X26" s="112" t="e">
        <f t="shared" si="16"/>
        <v>#REF!</v>
      </c>
      <c r="Y26" s="112" t="e">
        <f t="shared" si="16"/>
        <v>#REF!</v>
      </c>
    </row>
    <row r="27" spans="1:25" ht="12">
      <c r="B27" s="273"/>
      <c r="C27" s="1" t="s">
        <v>255</v>
      </c>
      <c r="D27" s="413">
        <f>D25/D26</f>
        <v>306.03333333333336</v>
      </c>
      <c r="E27" s="413">
        <f>E181</f>
        <v>306.03333333333336</v>
      </c>
      <c r="F27" s="413">
        <f t="shared" ref="F27:Y27" si="17">F181</f>
        <v>326.03333333333336</v>
      </c>
      <c r="G27" s="413">
        <f t="shared" si="17"/>
        <v>326.03333333333336</v>
      </c>
      <c r="H27" s="413">
        <f t="shared" si="17"/>
        <v>326.03333333333336</v>
      </c>
      <c r="I27" s="413">
        <f t="shared" si="17"/>
        <v>336.03333333333336</v>
      </c>
      <c r="J27" s="413">
        <f t="shared" si="17"/>
        <v>336.03333333333336</v>
      </c>
      <c r="K27" s="413">
        <f t="shared" si="17"/>
        <v>336.03333333333336</v>
      </c>
      <c r="L27" s="413">
        <f t="shared" si="17"/>
        <v>336.03333333333336</v>
      </c>
      <c r="M27" s="413">
        <f t="shared" si="17"/>
        <v>336.03333333333336</v>
      </c>
      <c r="N27" s="413">
        <f t="shared" si="17"/>
        <v>336.03333333333336</v>
      </c>
      <c r="O27" s="413">
        <f t="shared" si="17"/>
        <v>336.03333333333336</v>
      </c>
      <c r="P27" s="413">
        <f t="shared" si="17"/>
        <v>336.03333333333336</v>
      </c>
      <c r="Q27" s="413">
        <f t="shared" si="17"/>
        <v>336.03333333333336</v>
      </c>
      <c r="R27" s="413">
        <f t="shared" si="17"/>
        <v>336.03333333333336</v>
      </c>
      <c r="S27" s="413">
        <f t="shared" si="17"/>
        <v>336.03333333333336</v>
      </c>
      <c r="T27" s="413">
        <f t="shared" si="17"/>
        <v>336.03333333333336</v>
      </c>
      <c r="U27" s="413">
        <f t="shared" si="17"/>
        <v>336.03333333333336</v>
      </c>
      <c r="V27" s="413">
        <f t="shared" si="17"/>
        <v>336.03333333333336</v>
      </c>
      <c r="W27" s="413">
        <f t="shared" si="17"/>
        <v>336.03333333333336</v>
      </c>
      <c r="X27" s="413">
        <f t="shared" si="17"/>
        <v>336.03333333333336</v>
      </c>
      <c r="Y27" s="413">
        <f t="shared" si="17"/>
        <v>336.03333333333336</v>
      </c>
    </row>
    <row r="28" spans="1:25">
      <c r="B28" s="56"/>
      <c r="C28" s="1"/>
      <c r="P28" s="56"/>
    </row>
    <row r="29" spans="1:25" s="48" customFormat="1" ht="12">
      <c r="B29" s="49" t="s">
        <v>256</v>
      </c>
      <c r="C29" s="50" t="s">
        <v>257</v>
      </c>
      <c r="D29" s="264">
        <v>2019</v>
      </c>
      <c r="E29" s="265">
        <v>2020</v>
      </c>
      <c r="F29" s="265">
        <v>2021</v>
      </c>
      <c r="G29" s="265">
        <v>2022</v>
      </c>
      <c r="H29" s="265">
        <v>2023</v>
      </c>
      <c r="I29" s="265">
        <v>2024</v>
      </c>
      <c r="J29" s="265">
        <v>2025</v>
      </c>
      <c r="K29" s="265">
        <v>2026</v>
      </c>
      <c r="L29" s="265">
        <v>2027</v>
      </c>
      <c r="M29" s="265">
        <v>2028</v>
      </c>
      <c r="N29" s="265">
        <v>2029</v>
      </c>
      <c r="O29" s="265">
        <v>2030</v>
      </c>
      <c r="P29" s="265">
        <v>2031</v>
      </c>
      <c r="Q29" s="265">
        <v>2032</v>
      </c>
      <c r="R29" s="265">
        <v>2033</v>
      </c>
      <c r="S29" s="265">
        <v>2034</v>
      </c>
      <c r="T29" s="265">
        <v>2035</v>
      </c>
      <c r="U29" s="265">
        <v>2036</v>
      </c>
      <c r="V29" s="265">
        <v>2037</v>
      </c>
      <c r="W29" s="265">
        <v>2038</v>
      </c>
      <c r="X29" s="265">
        <v>2039</v>
      </c>
      <c r="Y29" s="265">
        <v>2040</v>
      </c>
    </row>
    <row r="30" spans="1:25" ht="24">
      <c r="B30" s="170" t="s">
        <v>258</v>
      </c>
      <c r="C30" s="45" t="s">
        <v>259</v>
      </c>
      <c r="D30" s="294">
        <v>1.179</v>
      </c>
      <c r="E30" s="270">
        <f t="shared" ref="E30:Y30" si="18">D30</f>
        <v>1.179</v>
      </c>
      <c r="F30" s="270">
        <f t="shared" si="18"/>
        <v>1.179</v>
      </c>
      <c r="G30" s="270">
        <f t="shared" si="18"/>
        <v>1.179</v>
      </c>
      <c r="H30" s="270">
        <f t="shared" si="18"/>
        <v>1.179</v>
      </c>
      <c r="I30" s="270">
        <f t="shared" si="18"/>
        <v>1.179</v>
      </c>
      <c r="J30" s="270">
        <f t="shared" si="18"/>
        <v>1.179</v>
      </c>
      <c r="K30" s="270">
        <f t="shared" si="18"/>
        <v>1.179</v>
      </c>
      <c r="L30" s="270">
        <f t="shared" si="18"/>
        <v>1.179</v>
      </c>
      <c r="M30" s="270">
        <f t="shared" si="18"/>
        <v>1.179</v>
      </c>
      <c r="N30" s="270">
        <f t="shared" si="18"/>
        <v>1.179</v>
      </c>
      <c r="O30" s="270">
        <f t="shared" si="18"/>
        <v>1.179</v>
      </c>
      <c r="P30" s="270">
        <f t="shared" si="18"/>
        <v>1.179</v>
      </c>
      <c r="Q30" s="270">
        <f t="shared" si="18"/>
        <v>1.179</v>
      </c>
      <c r="R30" s="270">
        <f t="shared" si="18"/>
        <v>1.179</v>
      </c>
      <c r="S30" s="270">
        <f t="shared" si="18"/>
        <v>1.179</v>
      </c>
      <c r="T30" s="270">
        <f t="shared" si="18"/>
        <v>1.179</v>
      </c>
      <c r="U30" s="270">
        <f t="shared" si="18"/>
        <v>1.179</v>
      </c>
      <c r="V30" s="270">
        <f t="shared" si="18"/>
        <v>1.179</v>
      </c>
      <c r="W30" s="270">
        <f t="shared" si="18"/>
        <v>1.179</v>
      </c>
      <c r="X30" s="270">
        <f t="shared" si="18"/>
        <v>1.179</v>
      </c>
      <c r="Y30" s="270">
        <f t="shared" si="18"/>
        <v>1.179</v>
      </c>
    </row>
    <row r="31" spans="1:25" ht="13">
      <c r="A31" s="1" t="s">
        <v>260</v>
      </c>
      <c r="B31" s="170" t="s">
        <v>261</v>
      </c>
      <c r="C31" s="45" t="s">
        <v>262</v>
      </c>
      <c r="D31" s="292">
        <v>0</v>
      </c>
      <c r="E31" s="173" t="e">
        <f>E6*Forecast!I51/365</f>
        <v>#REF!</v>
      </c>
      <c r="F31" s="173" t="e">
        <f>F6*Forecast!J51/365</f>
        <v>#REF!</v>
      </c>
      <c r="G31" s="173" t="e">
        <f>G6*Forecast!K51/365</f>
        <v>#REF!</v>
      </c>
      <c r="H31" s="173" t="e">
        <f>H6*Forecast!L51/365</f>
        <v>#REF!</v>
      </c>
      <c r="I31" s="173" t="e">
        <f>I6*Forecast!M51/365</f>
        <v>#REF!</v>
      </c>
      <c r="J31" s="173" t="e">
        <f>J6*Forecast!N51/365</f>
        <v>#REF!</v>
      </c>
      <c r="K31" s="173" t="e">
        <f>K6*Forecast!O51/365</f>
        <v>#REF!</v>
      </c>
      <c r="L31" s="173" t="e">
        <f>L6*Forecast!P51/365</f>
        <v>#REF!</v>
      </c>
      <c r="M31" s="173" t="e">
        <f>M6*Forecast!Q51/365</f>
        <v>#REF!</v>
      </c>
      <c r="N31" s="173" t="e">
        <f>N6*Forecast!R51/365</f>
        <v>#REF!</v>
      </c>
      <c r="O31" s="173" t="e">
        <f>O6*Forecast!S51/365</f>
        <v>#REF!</v>
      </c>
      <c r="P31" s="173" t="e">
        <f>P6*Forecast!T51/365</f>
        <v>#REF!</v>
      </c>
      <c r="Q31" s="173" t="e">
        <f>Q6*Forecast!U51/365</f>
        <v>#REF!</v>
      </c>
      <c r="R31" s="173" t="e">
        <f>R6*Forecast!V51/365</f>
        <v>#REF!</v>
      </c>
      <c r="S31" s="173" t="e">
        <f>S6*Forecast!W51/365</f>
        <v>#REF!</v>
      </c>
      <c r="T31" s="173" t="e">
        <f>T6*Forecast!X51/365</f>
        <v>#REF!</v>
      </c>
      <c r="U31" s="173" t="e">
        <f>U6*Forecast!Y51/365</f>
        <v>#REF!</v>
      </c>
      <c r="V31" s="173" t="e">
        <f>V6*Forecast!Z51/365</f>
        <v>#REF!</v>
      </c>
      <c r="W31" s="173" t="e">
        <f>W6*Forecast!AA51/365</f>
        <v>#REF!</v>
      </c>
      <c r="X31" s="173" t="e">
        <f>X6*Forecast!AB51/365</f>
        <v>#REF!</v>
      </c>
      <c r="Y31" s="173" t="e">
        <f>Y6*Forecast!AC51/365</f>
        <v>#REF!</v>
      </c>
    </row>
    <row r="32" spans="1:25" ht="13">
      <c r="A32" s="1" t="s">
        <v>260</v>
      </c>
      <c r="B32" s="170" t="s">
        <v>263</v>
      </c>
      <c r="C32" s="45" t="s">
        <v>264</v>
      </c>
      <c r="D32" s="292">
        <v>0</v>
      </c>
      <c r="E32" s="173" t="e">
        <f>-E7*Forecast!I52/365</f>
        <v>#REF!</v>
      </c>
      <c r="F32" s="173" t="e">
        <f>-F7*Forecast!J52/365</f>
        <v>#REF!</v>
      </c>
      <c r="G32" s="173" t="e">
        <f>-G7*Forecast!K52/365</f>
        <v>#REF!</v>
      </c>
      <c r="H32" s="173" t="e">
        <f>-H7*Forecast!L52/365</f>
        <v>#REF!</v>
      </c>
      <c r="I32" s="173" t="e">
        <f>-I7*Forecast!M52/365</f>
        <v>#REF!</v>
      </c>
      <c r="J32" s="173" t="e">
        <f>-J7*Forecast!N52/365</f>
        <v>#REF!</v>
      </c>
      <c r="K32" s="173" t="e">
        <f>-K7*Forecast!O52/365</f>
        <v>#REF!</v>
      </c>
      <c r="L32" s="173" t="e">
        <f>-L7*Forecast!P52/365</f>
        <v>#REF!</v>
      </c>
      <c r="M32" s="173" t="e">
        <f>-M7*Forecast!Q52/365</f>
        <v>#REF!</v>
      </c>
      <c r="N32" s="173" t="e">
        <f>-N7*Forecast!R52/365</f>
        <v>#REF!</v>
      </c>
      <c r="O32" s="173" t="e">
        <f>-O7*Forecast!S52/365</f>
        <v>#REF!</v>
      </c>
      <c r="P32" s="173" t="e">
        <f>-P7*Forecast!T52/365</f>
        <v>#REF!</v>
      </c>
      <c r="Q32" s="173" t="e">
        <f>-Q7*Forecast!U52/365</f>
        <v>#REF!</v>
      </c>
      <c r="R32" s="173" t="e">
        <f>-R7*Forecast!V52/365</f>
        <v>#REF!</v>
      </c>
      <c r="S32" s="173" t="e">
        <f>-S7*Forecast!W52/365</f>
        <v>#REF!</v>
      </c>
      <c r="T32" s="173" t="e">
        <f>-T7*Forecast!X52/365</f>
        <v>#REF!</v>
      </c>
      <c r="U32" s="173" t="e">
        <f>-U7*Forecast!Y52/365</f>
        <v>#REF!</v>
      </c>
      <c r="V32" s="173" t="e">
        <f>-V7*Forecast!Z52/365</f>
        <v>#REF!</v>
      </c>
      <c r="W32" s="173" t="e">
        <f>-W7*Forecast!AA52/365</f>
        <v>#REF!</v>
      </c>
      <c r="X32" s="173" t="e">
        <f>-X7*Forecast!AB52/365</f>
        <v>#REF!</v>
      </c>
      <c r="Y32" s="173" t="e">
        <f>-Y7*Forecast!AC52/365</f>
        <v>#REF!</v>
      </c>
    </row>
    <row r="33" spans="1:25" ht="12">
      <c r="C33" s="47" t="s">
        <v>265</v>
      </c>
      <c r="D33" s="123">
        <v>0.13100000000000001</v>
      </c>
      <c r="E33" s="1">
        <v>0</v>
      </c>
      <c r="F33" s="1">
        <f>E33</f>
        <v>0</v>
      </c>
      <c r="G33" s="1">
        <f t="shared" ref="G33:Y33" si="19">F33</f>
        <v>0</v>
      </c>
      <c r="H33" s="1">
        <f t="shared" si="19"/>
        <v>0</v>
      </c>
      <c r="I33" s="1">
        <f t="shared" si="19"/>
        <v>0</v>
      </c>
      <c r="J33" s="1">
        <f t="shared" si="19"/>
        <v>0</v>
      </c>
      <c r="K33" s="1">
        <f t="shared" si="19"/>
        <v>0</v>
      </c>
      <c r="L33" s="1">
        <f t="shared" si="19"/>
        <v>0</v>
      </c>
      <c r="M33" s="1">
        <f t="shared" si="19"/>
        <v>0</v>
      </c>
      <c r="N33" s="1">
        <f t="shared" si="19"/>
        <v>0</v>
      </c>
      <c r="O33" s="1">
        <f t="shared" si="19"/>
        <v>0</v>
      </c>
      <c r="P33" s="1">
        <f t="shared" si="19"/>
        <v>0</v>
      </c>
      <c r="Q33" s="1">
        <f t="shared" si="19"/>
        <v>0</v>
      </c>
      <c r="R33" s="1">
        <f t="shared" si="19"/>
        <v>0</v>
      </c>
      <c r="S33" s="1">
        <f t="shared" si="19"/>
        <v>0</v>
      </c>
      <c r="T33" s="1">
        <f t="shared" si="19"/>
        <v>0</v>
      </c>
      <c r="U33" s="1">
        <f t="shared" si="19"/>
        <v>0</v>
      </c>
      <c r="V33" s="1">
        <f t="shared" si="19"/>
        <v>0</v>
      </c>
      <c r="W33" s="1">
        <f t="shared" si="19"/>
        <v>0</v>
      </c>
      <c r="X33" s="1">
        <f t="shared" si="19"/>
        <v>0</v>
      </c>
      <c r="Y33" s="1">
        <f t="shared" si="19"/>
        <v>0</v>
      </c>
    </row>
    <row r="34" spans="1:25" ht="13">
      <c r="B34" s="170" t="s">
        <v>266</v>
      </c>
      <c r="C34" s="45" t="s">
        <v>267</v>
      </c>
      <c r="D34" s="123">
        <v>0</v>
      </c>
      <c r="E34" s="123">
        <f t="shared" ref="E34:Y34" si="20">D34</f>
        <v>0</v>
      </c>
      <c r="F34" s="123">
        <f t="shared" si="20"/>
        <v>0</v>
      </c>
      <c r="G34" s="123">
        <f t="shared" si="20"/>
        <v>0</v>
      </c>
      <c r="H34" s="123">
        <f t="shared" si="20"/>
        <v>0</v>
      </c>
      <c r="I34" s="123">
        <f t="shared" si="20"/>
        <v>0</v>
      </c>
      <c r="J34" s="123">
        <f t="shared" si="20"/>
        <v>0</v>
      </c>
      <c r="K34" s="123">
        <f t="shared" si="20"/>
        <v>0</v>
      </c>
      <c r="L34" s="123">
        <f t="shared" si="20"/>
        <v>0</v>
      </c>
      <c r="M34" s="123">
        <f t="shared" si="20"/>
        <v>0</v>
      </c>
      <c r="N34" s="123">
        <f t="shared" si="20"/>
        <v>0</v>
      </c>
      <c r="O34" s="123">
        <f t="shared" si="20"/>
        <v>0</v>
      </c>
      <c r="P34" s="123">
        <f t="shared" si="20"/>
        <v>0</v>
      </c>
      <c r="Q34" s="123">
        <f t="shared" si="20"/>
        <v>0</v>
      </c>
      <c r="R34" s="123">
        <f t="shared" si="20"/>
        <v>0</v>
      </c>
      <c r="S34" s="123">
        <f t="shared" si="20"/>
        <v>0</v>
      </c>
      <c r="T34" s="123">
        <f t="shared" si="20"/>
        <v>0</v>
      </c>
      <c r="U34" s="123">
        <f t="shared" si="20"/>
        <v>0</v>
      </c>
      <c r="V34" s="123">
        <f t="shared" si="20"/>
        <v>0</v>
      </c>
      <c r="W34" s="123">
        <f t="shared" si="20"/>
        <v>0</v>
      </c>
      <c r="X34" s="123">
        <f t="shared" si="20"/>
        <v>0</v>
      </c>
      <c r="Y34" s="123">
        <f t="shared" si="20"/>
        <v>0</v>
      </c>
    </row>
    <row r="35" spans="1:25" ht="13">
      <c r="B35" s="170" t="s">
        <v>268</v>
      </c>
      <c r="C35" s="45" t="s">
        <v>269</v>
      </c>
      <c r="D35" s="292">
        <v>0</v>
      </c>
      <c r="E35" s="292">
        <f>D35</f>
        <v>0</v>
      </c>
      <c r="F35" s="292">
        <f t="shared" ref="F35:Y37" si="21">E35</f>
        <v>0</v>
      </c>
      <c r="G35" s="292">
        <f t="shared" si="21"/>
        <v>0</v>
      </c>
      <c r="H35" s="292">
        <f t="shared" si="21"/>
        <v>0</v>
      </c>
      <c r="I35" s="292">
        <f t="shared" si="21"/>
        <v>0</v>
      </c>
      <c r="J35" s="292">
        <f t="shared" si="21"/>
        <v>0</v>
      </c>
      <c r="K35" s="292">
        <f t="shared" si="21"/>
        <v>0</v>
      </c>
      <c r="L35" s="292">
        <f t="shared" si="21"/>
        <v>0</v>
      </c>
      <c r="M35" s="292">
        <f t="shared" si="21"/>
        <v>0</v>
      </c>
      <c r="N35" s="292">
        <f t="shared" si="21"/>
        <v>0</v>
      </c>
      <c r="O35" s="292">
        <f t="shared" si="21"/>
        <v>0</v>
      </c>
      <c r="P35" s="292">
        <f t="shared" si="21"/>
        <v>0</v>
      </c>
      <c r="Q35" s="292">
        <f t="shared" si="21"/>
        <v>0</v>
      </c>
      <c r="R35" s="292">
        <f t="shared" si="21"/>
        <v>0</v>
      </c>
      <c r="S35" s="292">
        <f t="shared" si="21"/>
        <v>0</v>
      </c>
      <c r="T35" s="292">
        <f t="shared" si="21"/>
        <v>0</v>
      </c>
      <c r="U35" s="292">
        <f t="shared" si="21"/>
        <v>0</v>
      </c>
      <c r="V35" s="292">
        <f t="shared" si="21"/>
        <v>0</v>
      </c>
      <c r="W35" s="292">
        <f t="shared" si="21"/>
        <v>0</v>
      </c>
      <c r="X35" s="292">
        <f t="shared" si="21"/>
        <v>0</v>
      </c>
      <c r="Y35" s="292">
        <f t="shared" si="21"/>
        <v>0</v>
      </c>
    </row>
    <row r="36" spans="1:25" ht="12">
      <c r="C36" s="47" t="s">
        <v>270</v>
      </c>
      <c r="D36" s="123">
        <v>30.634</v>
      </c>
      <c r="E36" s="123">
        <f>D36</f>
        <v>30.634</v>
      </c>
      <c r="F36" s="123">
        <f t="shared" si="21"/>
        <v>30.634</v>
      </c>
      <c r="G36" s="123">
        <f t="shared" si="21"/>
        <v>30.634</v>
      </c>
      <c r="H36" s="123">
        <f t="shared" si="21"/>
        <v>30.634</v>
      </c>
      <c r="I36" s="123">
        <f t="shared" si="21"/>
        <v>30.634</v>
      </c>
      <c r="J36" s="123">
        <f t="shared" si="21"/>
        <v>30.634</v>
      </c>
      <c r="K36" s="123">
        <f t="shared" si="21"/>
        <v>30.634</v>
      </c>
      <c r="L36" s="123">
        <f t="shared" si="21"/>
        <v>30.634</v>
      </c>
      <c r="M36" s="123">
        <f t="shared" si="21"/>
        <v>30.634</v>
      </c>
      <c r="N36" s="123">
        <f t="shared" si="21"/>
        <v>30.634</v>
      </c>
      <c r="O36" s="123">
        <f t="shared" si="21"/>
        <v>30.634</v>
      </c>
      <c r="P36" s="123">
        <f t="shared" si="21"/>
        <v>30.634</v>
      </c>
      <c r="Q36" s="123">
        <f t="shared" si="21"/>
        <v>30.634</v>
      </c>
      <c r="R36" s="123">
        <f t="shared" si="21"/>
        <v>30.634</v>
      </c>
      <c r="S36" s="123">
        <f t="shared" si="21"/>
        <v>30.634</v>
      </c>
      <c r="T36" s="123">
        <f t="shared" si="21"/>
        <v>30.634</v>
      </c>
      <c r="U36" s="123">
        <f t="shared" si="21"/>
        <v>30.634</v>
      </c>
      <c r="V36" s="123">
        <f t="shared" si="21"/>
        <v>30.634</v>
      </c>
      <c r="W36" s="123">
        <f t="shared" si="21"/>
        <v>30.634</v>
      </c>
      <c r="X36" s="123">
        <f t="shared" si="21"/>
        <v>30.634</v>
      </c>
      <c r="Y36" s="123">
        <f t="shared" si="21"/>
        <v>30.634</v>
      </c>
    </row>
    <row r="37" spans="1:25" ht="12">
      <c r="C37" s="47" t="s">
        <v>271</v>
      </c>
      <c r="D37" s="1">
        <v>5</v>
      </c>
      <c r="E37" s="123">
        <f>D37</f>
        <v>5</v>
      </c>
      <c r="F37" s="123">
        <f t="shared" si="21"/>
        <v>5</v>
      </c>
      <c r="G37" s="123">
        <f t="shared" si="21"/>
        <v>5</v>
      </c>
      <c r="H37" s="123">
        <f t="shared" si="21"/>
        <v>5</v>
      </c>
      <c r="I37" s="123">
        <f t="shared" si="21"/>
        <v>5</v>
      </c>
      <c r="J37" s="123">
        <f t="shared" si="21"/>
        <v>5</v>
      </c>
      <c r="K37" s="123">
        <f t="shared" si="21"/>
        <v>5</v>
      </c>
      <c r="L37" s="123">
        <f t="shared" si="21"/>
        <v>5</v>
      </c>
      <c r="M37" s="123">
        <f t="shared" si="21"/>
        <v>5</v>
      </c>
      <c r="N37" s="123">
        <f t="shared" si="21"/>
        <v>5</v>
      </c>
      <c r="O37" s="123">
        <f t="shared" si="21"/>
        <v>5</v>
      </c>
      <c r="P37" s="123">
        <f t="shared" si="21"/>
        <v>5</v>
      </c>
      <c r="Q37" s="123">
        <f t="shared" si="21"/>
        <v>5</v>
      </c>
      <c r="R37" s="123">
        <f t="shared" si="21"/>
        <v>5</v>
      </c>
      <c r="S37" s="123">
        <f t="shared" si="21"/>
        <v>5</v>
      </c>
      <c r="T37" s="123">
        <f t="shared" si="21"/>
        <v>5</v>
      </c>
      <c r="U37" s="123">
        <f t="shared" si="21"/>
        <v>5</v>
      </c>
      <c r="V37" s="123">
        <f t="shared" si="21"/>
        <v>5</v>
      </c>
      <c r="W37" s="123">
        <f t="shared" si="21"/>
        <v>5</v>
      </c>
      <c r="X37" s="123">
        <f t="shared" si="21"/>
        <v>5</v>
      </c>
      <c r="Y37" s="123">
        <f t="shared" si="21"/>
        <v>5</v>
      </c>
    </row>
    <row r="38" spans="1:25" ht="13">
      <c r="B38" s="170" t="s">
        <v>272</v>
      </c>
      <c r="C38" s="45" t="s">
        <v>81</v>
      </c>
      <c r="D38" s="294">
        <v>38.487000000000002</v>
      </c>
      <c r="E38" s="294" t="e">
        <f t="shared" ref="E38:Y38" si="22">E114</f>
        <v>#REF!</v>
      </c>
      <c r="F38" s="294" t="e">
        <f t="shared" si="22"/>
        <v>#REF!</v>
      </c>
      <c r="G38" s="294" t="e">
        <f t="shared" si="22"/>
        <v>#REF!</v>
      </c>
      <c r="H38" s="294" t="e">
        <f t="shared" si="22"/>
        <v>#REF!</v>
      </c>
      <c r="I38" s="294" t="e">
        <f t="shared" si="22"/>
        <v>#REF!</v>
      </c>
      <c r="J38" s="294" t="e">
        <f t="shared" si="22"/>
        <v>#REF!</v>
      </c>
      <c r="K38" s="294" t="e">
        <f t="shared" si="22"/>
        <v>#REF!</v>
      </c>
      <c r="L38" s="294" t="e">
        <f t="shared" si="22"/>
        <v>#REF!</v>
      </c>
      <c r="M38" s="294" t="e">
        <f t="shared" si="22"/>
        <v>#REF!</v>
      </c>
      <c r="N38" s="294" t="e">
        <f t="shared" si="22"/>
        <v>#REF!</v>
      </c>
      <c r="O38" s="294" t="e">
        <f t="shared" si="22"/>
        <v>#REF!</v>
      </c>
      <c r="P38" s="294" t="e">
        <f t="shared" si="22"/>
        <v>#REF!</v>
      </c>
      <c r="Q38" s="294" t="e">
        <f t="shared" si="22"/>
        <v>#REF!</v>
      </c>
      <c r="R38" s="294" t="e">
        <f t="shared" si="22"/>
        <v>#REF!</v>
      </c>
      <c r="S38" s="294" t="e">
        <f t="shared" si="22"/>
        <v>#REF!</v>
      </c>
      <c r="T38" s="294" t="e">
        <f t="shared" si="22"/>
        <v>#REF!</v>
      </c>
      <c r="U38" s="294" t="e">
        <f t="shared" si="22"/>
        <v>#REF!</v>
      </c>
      <c r="V38" s="294" t="e">
        <f t="shared" si="22"/>
        <v>#REF!</v>
      </c>
      <c r="W38" s="294" t="e">
        <f t="shared" si="22"/>
        <v>#REF!</v>
      </c>
      <c r="X38" s="294" t="e">
        <f t="shared" si="22"/>
        <v>#REF!</v>
      </c>
      <c r="Y38" s="294" t="e">
        <f t="shared" si="22"/>
        <v>#REF!</v>
      </c>
    </row>
    <row r="39" spans="1:25" s="3" customFormat="1" ht="12">
      <c r="B39" s="53" t="s">
        <v>273</v>
      </c>
      <c r="C39" s="53" t="s">
        <v>82</v>
      </c>
      <c r="D39" s="295">
        <f t="shared" ref="D39:Y39" si="23">SUM(D30:D38)</f>
        <v>75.431000000000012</v>
      </c>
      <c r="E39" s="295" t="e">
        <f t="shared" si="23"/>
        <v>#REF!</v>
      </c>
      <c r="F39" s="295" t="e">
        <f t="shared" si="23"/>
        <v>#REF!</v>
      </c>
      <c r="G39" s="295" t="e">
        <f t="shared" si="23"/>
        <v>#REF!</v>
      </c>
      <c r="H39" s="295" t="e">
        <f t="shared" si="23"/>
        <v>#REF!</v>
      </c>
      <c r="I39" s="295" t="e">
        <f t="shared" si="23"/>
        <v>#REF!</v>
      </c>
      <c r="J39" s="295" t="e">
        <f t="shared" si="23"/>
        <v>#REF!</v>
      </c>
      <c r="K39" s="295" t="e">
        <f t="shared" si="23"/>
        <v>#REF!</v>
      </c>
      <c r="L39" s="295" t="e">
        <f t="shared" si="23"/>
        <v>#REF!</v>
      </c>
      <c r="M39" s="295" t="e">
        <f t="shared" si="23"/>
        <v>#REF!</v>
      </c>
      <c r="N39" s="295" t="e">
        <f t="shared" si="23"/>
        <v>#REF!</v>
      </c>
      <c r="O39" s="295" t="e">
        <f t="shared" si="23"/>
        <v>#REF!</v>
      </c>
      <c r="P39" s="295" t="e">
        <f t="shared" si="23"/>
        <v>#REF!</v>
      </c>
      <c r="Q39" s="295" t="e">
        <f t="shared" si="23"/>
        <v>#REF!</v>
      </c>
      <c r="R39" s="295" t="e">
        <f t="shared" si="23"/>
        <v>#REF!</v>
      </c>
      <c r="S39" s="295" t="e">
        <f t="shared" si="23"/>
        <v>#REF!</v>
      </c>
      <c r="T39" s="295" t="e">
        <f t="shared" si="23"/>
        <v>#REF!</v>
      </c>
      <c r="U39" s="295" t="e">
        <f t="shared" si="23"/>
        <v>#REF!</v>
      </c>
      <c r="V39" s="295" t="e">
        <f t="shared" si="23"/>
        <v>#REF!</v>
      </c>
      <c r="W39" s="295" t="e">
        <f t="shared" si="23"/>
        <v>#REF!</v>
      </c>
      <c r="X39" s="295" t="e">
        <f t="shared" si="23"/>
        <v>#REF!</v>
      </c>
      <c r="Y39" s="295" t="e">
        <f t="shared" si="23"/>
        <v>#REF!</v>
      </c>
    </row>
    <row r="40" spans="1:25" ht="13">
      <c r="A40" s="1" t="s">
        <v>260</v>
      </c>
      <c r="B40" s="170" t="s">
        <v>274</v>
      </c>
      <c r="C40" s="45" t="s">
        <v>83</v>
      </c>
      <c r="D40" s="294">
        <v>0.33600000000000002</v>
      </c>
      <c r="E40" s="294">
        <f>Forecast!I87</f>
        <v>0.64900000000000002</v>
      </c>
      <c r="F40" s="294">
        <f>Forecast!J87</f>
        <v>1.006</v>
      </c>
      <c r="G40" s="294">
        <f>Forecast!K87</f>
        <v>1.363</v>
      </c>
      <c r="H40" s="294">
        <f>Forecast!L87</f>
        <v>1.72</v>
      </c>
      <c r="I40" s="294">
        <f>Forecast!M87</f>
        <v>2.077</v>
      </c>
      <c r="J40" s="294">
        <f>Forecast!N87</f>
        <v>2.4339999999999997</v>
      </c>
      <c r="K40" s="294">
        <f>Forecast!O87</f>
        <v>2.7909999999999999</v>
      </c>
      <c r="L40" s="294">
        <f>Forecast!P87</f>
        <v>3.1480000000000001</v>
      </c>
      <c r="M40" s="294">
        <f>Forecast!Q87</f>
        <v>3.5050000000000003</v>
      </c>
      <c r="N40" s="294">
        <f>Forecast!R87</f>
        <v>3.8620000000000005</v>
      </c>
      <c r="O40" s="294">
        <f>Forecast!S87</f>
        <v>4.2190000000000012</v>
      </c>
      <c r="P40" s="294">
        <f>Forecast!T87</f>
        <v>4.5760000000000014</v>
      </c>
      <c r="Q40" s="294">
        <f>Forecast!U87</f>
        <v>4.9330000000000016</v>
      </c>
      <c r="R40" s="294">
        <f>Forecast!V87</f>
        <v>5.2900000000000018</v>
      </c>
      <c r="S40" s="294">
        <f>Forecast!W87</f>
        <v>5.647000000000002</v>
      </c>
      <c r="T40" s="294">
        <f>Forecast!X87</f>
        <v>6.0040000000000022</v>
      </c>
      <c r="U40" s="294">
        <f>Forecast!Y87</f>
        <v>6.3610000000000024</v>
      </c>
      <c r="V40" s="294">
        <f>Forecast!Z87</f>
        <v>6.7180000000000026</v>
      </c>
      <c r="W40" s="294">
        <f>Forecast!AA87</f>
        <v>7.0750000000000028</v>
      </c>
      <c r="X40" s="294">
        <f>Forecast!AB87</f>
        <v>7.432000000000003</v>
      </c>
      <c r="Y40" s="294">
        <f>Forecast!AC87</f>
        <v>7.7890000000000033</v>
      </c>
    </row>
    <row r="41" spans="1:25" ht="13">
      <c r="A41" s="1" t="s">
        <v>260</v>
      </c>
      <c r="B41" s="170" t="s">
        <v>275</v>
      </c>
      <c r="C41" s="47" t="s">
        <v>85</v>
      </c>
      <c r="D41" s="110">
        <v>1.6739999999999999</v>
      </c>
      <c r="E41" s="110">
        <f>Forecast!I144</f>
        <v>3.157</v>
      </c>
      <c r="F41" s="110">
        <f>Forecast!J144</f>
        <v>4.6399999999999997</v>
      </c>
      <c r="G41" s="110">
        <f>Forecast!K144</f>
        <v>6.1230000000000002</v>
      </c>
      <c r="H41" s="110">
        <f>Forecast!L144</f>
        <v>7.6060000000000008</v>
      </c>
      <c r="I41" s="110">
        <f>Forecast!M144</f>
        <v>9.0890000000000004</v>
      </c>
      <c r="J41" s="110">
        <f>Forecast!N144</f>
        <v>10.571999999999999</v>
      </c>
      <c r="K41" s="110">
        <f>Forecast!O144</f>
        <v>12.054999999999998</v>
      </c>
      <c r="L41" s="110">
        <f>Forecast!P144</f>
        <v>13.537999999999997</v>
      </c>
      <c r="M41" s="110">
        <f>Forecast!Q144</f>
        <v>15.330999999999996</v>
      </c>
      <c r="N41" s="110">
        <f>Forecast!R144</f>
        <v>17.123999999999999</v>
      </c>
      <c r="O41" s="110">
        <f>Forecast!S144</f>
        <v>18.917000000000002</v>
      </c>
      <c r="P41" s="110">
        <f>Forecast!T144</f>
        <v>20.710000000000004</v>
      </c>
      <c r="Q41" s="110">
        <f>Forecast!U144</f>
        <v>22.503000000000007</v>
      </c>
      <c r="R41" s="110">
        <f>Forecast!V144</f>
        <v>24.29600000000001</v>
      </c>
      <c r="S41" s="110">
        <f>Forecast!W144</f>
        <v>26.089000000000013</v>
      </c>
      <c r="T41" s="110">
        <f>Forecast!X144</f>
        <v>27.882000000000016</v>
      </c>
      <c r="U41" s="110">
        <f>Forecast!Y144</f>
        <v>29.675000000000018</v>
      </c>
      <c r="V41" s="110">
        <f>Forecast!Z144</f>
        <v>31.468000000000021</v>
      </c>
      <c r="W41" s="110">
        <f>Forecast!AA144</f>
        <v>33.261000000000024</v>
      </c>
      <c r="X41" s="110">
        <f>Forecast!AB144</f>
        <v>35.054000000000023</v>
      </c>
      <c r="Y41" s="110">
        <f>Forecast!AC144</f>
        <v>36.847000000000023</v>
      </c>
    </row>
    <row r="42" spans="1:25" ht="13">
      <c r="A42" s="1" t="s">
        <v>260</v>
      </c>
      <c r="B42" s="170" t="s">
        <v>276</v>
      </c>
      <c r="C42" s="45" t="s">
        <v>84</v>
      </c>
      <c r="D42" s="294">
        <v>1.3380000000000001</v>
      </c>
      <c r="E42" s="294">
        <f>Forecast!I120</f>
        <v>10.301000000000002</v>
      </c>
      <c r="F42" s="294">
        <f>Forecast!J120</f>
        <v>18.264000000000003</v>
      </c>
      <c r="G42" s="294">
        <f>Forecast!K120</f>
        <v>25.227000000000004</v>
      </c>
      <c r="H42" s="294">
        <f>Forecast!L120</f>
        <v>31.190000000000005</v>
      </c>
      <c r="I42" s="294">
        <f>Forecast!M120</f>
        <v>36.153000000000006</v>
      </c>
      <c r="J42" s="294">
        <f>Forecast!N120</f>
        <v>40.116000000000007</v>
      </c>
      <c r="K42" s="294">
        <f>Forecast!O120</f>
        <v>43.079000000000008</v>
      </c>
      <c r="L42" s="294">
        <f>Forecast!P120</f>
        <v>45.042000000000009</v>
      </c>
      <c r="M42" s="294">
        <f>Forecast!Q120</f>
        <v>46.00500000000001</v>
      </c>
      <c r="N42" s="294">
        <f>Forecast!R120</f>
        <v>45.968000000000011</v>
      </c>
      <c r="O42" s="294">
        <f>Forecast!S120</f>
        <v>44.931000000000012</v>
      </c>
      <c r="P42" s="294">
        <f>Forecast!T120</f>
        <v>44.894000000000013</v>
      </c>
      <c r="Q42" s="294">
        <f>Forecast!U120</f>
        <v>46.857000000000014</v>
      </c>
      <c r="R42" s="294">
        <f>Forecast!V120</f>
        <v>51.820000000000014</v>
      </c>
      <c r="S42" s="294">
        <f>Forecast!W120</f>
        <v>60.783000000000023</v>
      </c>
      <c r="T42" s="294">
        <f>Forecast!X120</f>
        <v>74.746000000000009</v>
      </c>
      <c r="U42" s="294">
        <f>Forecast!Y120</f>
        <v>94.709000000000003</v>
      </c>
      <c r="V42" s="294">
        <f>Forecast!Z120</f>
        <v>121.672</v>
      </c>
      <c r="W42" s="294">
        <f>Forecast!AA120</f>
        <v>156.63499999999999</v>
      </c>
      <c r="X42" s="294">
        <f>Forecast!AB120</f>
        <v>200.59799999999998</v>
      </c>
      <c r="Y42" s="294">
        <f>Forecast!AC120</f>
        <v>254.56099999999998</v>
      </c>
    </row>
    <row r="43" spans="1:25" ht="12">
      <c r="B43" s="170"/>
      <c r="C43" s="45" t="s">
        <v>277</v>
      </c>
      <c r="D43" s="294">
        <v>9.6000000000000002E-2</v>
      </c>
      <c r="E43" s="123">
        <f t="shared" ref="E43:Y43" si="24">D43</f>
        <v>9.6000000000000002E-2</v>
      </c>
      <c r="F43" s="123">
        <f t="shared" si="24"/>
        <v>9.6000000000000002E-2</v>
      </c>
      <c r="G43" s="123">
        <f t="shared" si="24"/>
        <v>9.6000000000000002E-2</v>
      </c>
      <c r="H43" s="123">
        <f t="shared" si="24"/>
        <v>9.6000000000000002E-2</v>
      </c>
      <c r="I43" s="123">
        <f t="shared" si="24"/>
        <v>9.6000000000000002E-2</v>
      </c>
      <c r="J43" s="123">
        <f t="shared" si="24"/>
        <v>9.6000000000000002E-2</v>
      </c>
      <c r="K43" s="123">
        <f t="shared" si="24"/>
        <v>9.6000000000000002E-2</v>
      </c>
      <c r="L43" s="123">
        <f t="shared" si="24"/>
        <v>9.6000000000000002E-2</v>
      </c>
      <c r="M43" s="123">
        <f t="shared" si="24"/>
        <v>9.6000000000000002E-2</v>
      </c>
      <c r="N43" s="123">
        <f t="shared" si="24"/>
        <v>9.6000000000000002E-2</v>
      </c>
      <c r="O43" s="123">
        <f t="shared" si="24"/>
        <v>9.6000000000000002E-2</v>
      </c>
      <c r="P43" s="123">
        <f t="shared" si="24"/>
        <v>9.6000000000000002E-2</v>
      </c>
      <c r="Q43" s="123">
        <f t="shared" si="24"/>
        <v>9.6000000000000002E-2</v>
      </c>
      <c r="R43" s="123">
        <f t="shared" si="24"/>
        <v>9.6000000000000002E-2</v>
      </c>
      <c r="S43" s="123">
        <f t="shared" si="24"/>
        <v>9.6000000000000002E-2</v>
      </c>
      <c r="T43" s="123">
        <f t="shared" si="24"/>
        <v>9.6000000000000002E-2</v>
      </c>
      <c r="U43" s="123">
        <f t="shared" si="24"/>
        <v>9.6000000000000002E-2</v>
      </c>
      <c r="V43" s="123">
        <f t="shared" si="24"/>
        <v>9.6000000000000002E-2</v>
      </c>
      <c r="W43" s="123">
        <f t="shared" si="24"/>
        <v>9.6000000000000002E-2</v>
      </c>
      <c r="X43" s="123">
        <f t="shared" si="24"/>
        <v>9.6000000000000002E-2</v>
      </c>
      <c r="Y43" s="123">
        <f t="shared" si="24"/>
        <v>9.6000000000000002E-2</v>
      </c>
    </row>
    <row r="44" spans="1:25" ht="13">
      <c r="B44" s="170" t="s">
        <v>278</v>
      </c>
      <c r="C44" s="45" t="s">
        <v>279</v>
      </c>
      <c r="D44" s="294">
        <v>0.17799999999999999</v>
      </c>
      <c r="E44" s="123">
        <f t="shared" ref="E44:Y44" si="25">D44</f>
        <v>0.17799999999999999</v>
      </c>
      <c r="F44" s="123">
        <f t="shared" si="25"/>
        <v>0.17799999999999999</v>
      </c>
      <c r="G44" s="123">
        <f t="shared" si="25"/>
        <v>0.17799999999999999</v>
      </c>
      <c r="H44" s="123">
        <f t="shared" si="25"/>
        <v>0.17799999999999999</v>
      </c>
      <c r="I44" s="123">
        <f t="shared" si="25"/>
        <v>0.17799999999999999</v>
      </c>
      <c r="J44" s="123">
        <f t="shared" si="25"/>
        <v>0.17799999999999999</v>
      </c>
      <c r="K44" s="123">
        <f t="shared" si="25"/>
        <v>0.17799999999999999</v>
      </c>
      <c r="L44" s="123">
        <f t="shared" si="25"/>
        <v>0.17799999999999999</v>
      </c>
      <c r="M44" s="123">
        <f t="shared" si="25"/>
        <v>0.17799999999999999</v>
      </c>
      <c r="N44" s="123">
        <f t="shared" si="25"/>
        <v>0.17799999999999999</v>
      </c>
      <c r="O44" s="123">
        <f t="shared" si="25"/>
        <v>0.17799999999999999</v>
      </c>
      <c r="P44" s="123">
        <f t="shared" si="25"/>
        <v>0.17799999999999999</v>
      </c>
      <c r="Q44" s="123">
        <f t="shared" si="25"/>
        <v>0.17799999999999999</v>
      </c>
      <c r="R44" s="123">
        <f t="shared" si="25"/>
        <v>0.17799999999999999</v>
      </c>
      <c r="S44" s="123">
        <f t="shared" si="25"/>
        <v>0.17799999999999999</v>
      </c>
      <c r="T44" s="123">
        <f t="shared" si="25"/>
        <v>0.17799999999999999</v>
      </c>
      <c r="U44" s="123">
        <f t="shared" si="25"/>
        <v>0.17799999999999999</v>
      </c>
      <c r="V44" s="123">
        <f t="shared" si="25"/>
        <v>0.17799999999999999</v>
      </c>
      <c r="W44" s="123">
        <f t="shared" si="25"/>
        <v>0.17799999999999999</v>
      </c>
      <c r="X44" s="123">
        <f t="shared" si="25"/>
        <v>0.17799999999999999</v>
      </c>
      <c r="Y44" s="123">
        <f t="shared" si="25"/>
        <v>0.17799999999999999</v>
      </c>
    </row>
    <row r="45" spans="1:25" ht="13">
      <c r="B45" s="170" t="s">
        <v>258</v>
      </c>
      <c r="C45" s="45" t="s">
        <v>280</v>
      </c>
      <c r="D45" s="110">
        <v>0</v>
      </c>
      <c r="E45" s="110">
        <f>D45</f>
        <v>0</v>
      </c>
      <c r="F45" s="110">
        <f t="shared" ref="F45:Y45" si="26">E45</f>
        <v>0</v>
      </c>
      <c r="G45" s="110">
        <f t="shared" si="26"/>
        <v>0</v>
      </c>
      <c r="H45" s="110">
        <f t="shared" si="26"/>
        <v>0</v>
      </c>
      <c r="I45" s="110">
        <f t="shared" si="26"/>
        <v>0</v>
      </c>
      <c r="J45" s="110">
        <f t="shared" si="26"/>
        <v>0</v>
      </c>
      <c r="K45" s="110">
        <f t="shared" si="26"/>
        <v>0</v>
      </c>
      <c r="L45" s="110">
        <f t="shared" si="26"/>
        <v>0</v>
      </c>
      <c r="M45" s="110">
        <f t="shared" si="26"/>
        <v>0</v>
      </c>
      <c r="N45" s="110">
        <f t="shared" si="26"/>
        <v>0</v>
      </c>
      <c r="O45" s="110">
        <f t="shared" si="26"/>
        <v>0</v>
      </c>
      <c r="P45" s="110">
        <f t="shared" si="26"/>
        <v>0</v>
      </c>
      <c r="Q45" s="110">
        <f t="shared" si="26"/>
        <v>0</v>
      </c>
      <c r="R45" s="110">
        <f t="shared" si="26"/>
        <v>0</v>
      </c>
      <c r="S45" s="110">
        <f t="shared" si="26"/>
        <v>0</v>
      </c>
      <c r="T45" s="110">
        <f t="shared" si="26"/>
        <v>0</v>
      </c>
      <c r="U45" s="110">
        <f t="shared" si="26"/>
        <v>0</v>
      </c>
      <c r="V45" s="110">
        <f t="shared" si="26"/>
        <v>0</v>
      </c>
      <c r="W45" s="110">
        <f t="shared" si="26"/>
        <v>0</v>
      </c>
      <c r="X45" s="110">
        <f t="shared" si="26"/>
        <v>0</v>
      </c>
      <c r="Y45" s="110">
        <f t="shared" si="26"/>
        <v>0</v>
      </c>
    </row>
    <row r="46" spans="1:25" s="3" customFormat="1" ht="13">
      <c r="B46" s="414" t="s">
        <v>281</v>
      </c>
      <c r="C46" s="53" t="s">
        <v>282</v>
      </c>
      <c r="D46" s="290">
        <f t="shared" ref="D46:Y46" si="27">SUM(D40:D45)</f>
        <v>3.6219999999999999</v>
      </c>
      <c r="E46" s="290">
        <f t="shared" si="27"/>
        <v>14.381000000000004</v>
      </c>
      <c r="F46" s="290">
        <f t="shared" si="27"/>
        <v>24.184000000000005</v>
      </c>
      <c r="G46" s="290">
        <f t="shared" si="27"/>
        <v>32.987000000000002</v>
      </c>
      <c r="H46" s="290">
        <f t="shared" si="27"/>
        <v>40.79</v>
      </c>
      <c r="I46" s="290">
        <f t="shared" si="27"/>
        <v>47.592999999999996</v>
      </c>
      <c r="J46" s="290">
        <f t="shared" si="27"/>
        <v>53.396000000000001</v>
      </c>
      <c r="K46" s="290">
        <f t="shared" si="27"/>
        <v>58.198999999999998</v>
      </c>
      <c r="L46" s="290">
        <f t="shared" si="27"/>
        <v>62.002000000000002</v>
      </c>
      <c r="M46" s="290">
        <f t="shared" si="27"/>
        <v>65.115000000000009</v>
      </c>
      <c r="N46" s="290">
        <f t="shared" si="27"/>
        <v>67.228000000000009</v>
      </c>
      <c r="O46" s="290">
        <f t="shared" si="27"/>
        <v>68.341000000000008</v>
      </c>
      <c r="P46" s="290">
        <f t="shared" si="27"/>
        <v>70.454000000000022</v>
      </c>
      <c r="Q46" s="290">
        <f t="shared" si="27"/>
        <v>74.567000000000021</v>
      </c>
      <c r="R46" s="290">
        <f t="shared" si="27"/>
        <v>81.680000000000035</v>
      </c>
      <c r="S46" s="290">
        <f t="shared" si="27"/>
        <v>92.793000000000035</v>
      </c>
      <c r="T46" s="290">
        <f t="shared" si="27"/>
        <v>108.90600000000003</v>
      </c>
      <c r="U46" s="290">
        <f t="shared" si="27"/>
        <v>131.01900000000003</v>
      </c>
      <c r="V46" s="290">
        <f t="shared" si="27"/>
        <v>160.13200000000001</v>
      </c>
      <c r="W46" s="290">
        <f t="shared" si="27"/>
        <v>197.245</v>
      </c>
      <c r="X46" s="290">
        <f t="shared" si="27"/>
        <v>243.358</v>
      </c>
      <c r="Y46" s="290">
        <f t="shared" si="27"/>
        <v>299.471</v>
      </c>
    </row>
    <row r="47" spans="1:25" s="3" customFormat="1" ht="12">
      <c r="B47" s="53" t="s">
        <v>283</v>
      </c>
      <c r="C47" s="53" t="s">
        <v>86</v>
      </c>
      <c r="D47" s="290">
        <f t="shared" ref="D47:Y47" si="28">D39+D46</f>
        <v>79.053000000000011</v>
      </c>
      <c r="E47" s="290" t="e">
        <f t="shared" si="28"/>
        <v>#REF!</v>
      </c>
      <c r="F47" s="290" t="e">
        <f t="shared" si="28"/>
        <v>#REF!</v>
      </c>
      <c r="G47" s="290" t="e">
        <f t="shared" si="28"/>
        <v>#REF!</v>
      </c>
      <c r="H47" s="290" t="e">
        <f t="shared" si="28"/>
        <v>#REF!</v>
      </c>
      <c r="I47" s="290" t="e">
        <f t="shared" si="28"/>
        <v>#REF!</v>
      </c>
      <c r="J47" s="290" t="e">
        <f t="shared" si="28"/>
        <v>#REF!</v>
      </c>
      <c r="K47" s="290" t="e">
        <f t="shared" si="28"/>
        <v>#REF!</v>
      </c>
      <c r="L47" s="290" t="e">
        <f t="shared" si="28"/>
        <v>#REF!</v>
      </c>
      <c r="M47" s="290" t="e">
        <f t="shared" si="28"/>
        <v>#REF!</v>
      </c>
      <c r="N47" s="290" t="e">
        <f t="shared" si="28"/>
        <v>#REF!</v>
      </c>
      <c r="O47" s="290" t="e">
        <f t="shared" si="28"/>
        <v>#REF!</v>
      </c>
      <c r="P47" s="290" t="e">
        <f t="shared" si="28"/>
        <v>#REF!</v>
      </c>
      <c r="Q47" s="290" t="e">
        <f t="shared" si="28"/>
        <v>#REF!</v>
      </c>
      <c r="R47" s="290" t="e">
        <f t="shared" si="28"/>
        <v>#REF!</v>
      </c>
      <c r="S47" s="290" t="e">
        <f t="shared" si="28"/>
        <v>#REF!</v>
      </c>
      <c r="T47" s="290" t="e">
        <f t="shared" si="28"/>
        <v>#REF!</v>
      </c>
      <c r="U47" s="290" t="e">
        <f t="shared" si="28"/>
        <v>#REF!</v>
      </c>
      <c r="V47" s="290" t="e">
        <f t="shared" si="28"/>
        <v>#REF!</v>
      </c>
      <c r="W47" s="290" t="e">
        <f t="shared" si="28"/>
        <v>#REF!</v>
      </c>
      <c r="X47" s="290" t="e">
        <f t="shared" si="28"/>
        <v>#REF!</v>
      </c>
      <c r="Y47" s="290" t="e">
        <f t="shared" si="28"/>
        <v>#REF!</v>
      </c>
    </row>
    <row r="48" spans="1:25" ht="13">
      <c r="B48" s="170" t="s">
        <v>284</v>
      </c>
      <c r="C48" s="45" t="s">
        <v>285</v>
      </c>
      <c r="D48" s="294">
        <v>3.6619999999999999</v>
      </c>
      <c r="E48" s="294">
        <f>D48</f>
        <v>3.6619999999999999</v>
      </c>
      <c r="F48" s="294">
        <f t="shared" ref="F48:Y48" si="29">E48</f>
        <v>3.6619999999999999</v>
      </c>
      <c r="G48" s="294">
        <f t="shared" si="29"/>
        <v>3.6619999999999999</v>
      </c>
      <c r="H48" s="294">
        <f t="shared" si="29"/>
        <v>3.6619999999999999</v>
      </c>
      <c r="I48" s="294">
        <f t="shared" si="29"/>
        <v>3.6619999999999999</v>
      </c>
      <c r="J48" s="294">
        <f t="shared" si="29"/>
        <v>3.6619999999999999</v>
      </c>
      <c r="K48" s="294">
        <f t="shared" si="29"/>
        <v>3.6619999999999999</v>
      </c>
      <c r="L48" s="294">
        <f t="shared" si="29"/>
        <v>3.6619999999999999</v>
      </c>
      <c r="M48" s="294">
        <f t="shared" si="29"/>
        <v>3.6619999999999999</v>
      </c>
      <c r="N48" s="294">
        <f t="shared" si="29"/>
        <v>3.6619999999999999</v>
      </c>
      <c r="O48" s="294">
        <f t="shared" si="29"/>
        <v>3.6619999999999999</v>
      </c>
      <c r="P48" s="294">
        <f t="shared" si="29"/>
        <v>3.6619999999999999</v>
      </c>
      <c r="Q48" s="294">
        <f t="shared" si="29"/>
        <v>3.6619999999999999</v>
      </c>
      <c r="R48" s="294">
        <f t="shared" si="29"/>
        <v>3.6619999999999999</v>
      </c>
      <c r="S48" s="294">
        <f t="shared" si="29"/>
        <v>3.6619999999999999</v>
      </c>
      <c r="T48" s="294">
        <f t="shared" si="29"/>
        <v>3.6619999999999999</v>
      </c>
      <c r="U48" s="294">
        <f t="shared" si="29"/>
        <v>3.6619999999999999</v>
      </c>
      <c r="V48" s="294">
        <f t="shared" si="29"/>
        <v>3.6619999999999999</v>
      </c>
      <c r="W48" s="294">
        <f t="shared" si="29"/>
        <v>3.6619999999999999</v>
      </c>
      <c r="X48" s="294">
        <f t="shared" si="29"/>
        <v>3.6619999999999999</v>
      </c>
      <c r="Y48" s="294">
        <f t="shared" si="29"/>
        <v>3.6619999999999999</v>
      </c>
    </row>
    <row r="49" spans="1:27" ht="13">
      <c r="B49" s="170" t="s">
        <v>286</v>
      </c>
      <c r="C49" s="47" t="s">
        <v>287</v>
      </c>
      <c r="D49" s="173">
        <v>0.32200000000000001</v>
      </c>
      <c r="E49" s="173">
        <f>D49</f>
        <v>0.32200000000000001</v>
      </c>
      <c r="F49" s="173">
        <f t="shared" ref="F49:Y49" si="30">E49</f>
        <v>0.32200000000000001</v>
      </c>
      <c r="G49" s="173">
        <f t="shared" si="30"/>
        <v>0.32200000000000001</v>
      </c>
      <c r="H49" s="173">
        <f t="shared" si="30"/>
        <v>0.32200000000000001</v>
      </c>
      <c r="I49" s="173">
        <f t="shared" si="30"/>
        <v>0.32200000000000001</v>
      </c>
      <c r="J49" s="173">
        <f t="shared" si="30"/>
        <v>0.32200000000000001</v>
      </c>
      <c r="K49" s="173">
        <f t="shared" si="30"/>
        <v>0.32200000000000001</v>
      </c>
      <c r="L49" s="173">
        <f t="shared" si="30"/>
        <v>0.32200000000000001</v>
      </c>
      <c r="M49" s="173">
        <f t="shared" si="30"/>
        <v>0.32200000000000001</v>
      </c>
      <c r="N49" s="173">
        <f t="shared" si="30"/>
        <v>0.32200000000000001</v>
      </c>
      <c r="O49" s="173">
        <f t="shared" si="30"/>
        <v>0.32200000000000001</v>
      </c>
      <c r="P49" s="173">
        <f t="shared" si="30"/>
        <v>0.32200000000000001</v>
      </c>
      <c r="Q49" s="173">
        <f t="shared" si="30"/>
        <v>0.32200000000000001</v>
      </c>
      <c r="R49" s="173">
        <f t="shared" si="30"/>
        <v>0.32200000000000001</v>
      </c>
      <c r="S49" s="173">
        <f t="shared" si="30"/>
        <v>0.32200000000000001</v>
      </c>
      <c r="T49" s="173">
        <f t="shared" si="30"/>
        <v>0.32200000000000001</v>
      </c>
      <c r="U49" s="173">
        <f t="shared" si="30"/>
        <v>0.32200000000000001</v>
      </c>
      <c r="V49" s="173">
        <f t="shared" si="30"/>
        <v>0.32200000000000001</v>
      </c>
      <c r="W49" s="173">
        <f t="shared" si="30"/>
        <v>0.32200000000000001</v>
      </c>
      <c r="X49" s="173">
        <f t="shared" si="30"/>
        <v>0.32200000000000001</v>
      </c>
      <c r="Y49" s="173">
        <f t="shared" si="30"/>
        <v>0.32200000000000001</v>
      </c>
    </row>
    <row r="50" spans="1:27" ht="13">
      <c r="B50" s="170" t="s">
        <v>288</v>
      </c>
      <c r="C50" s="45" t="s">
        <v>289</v>
      </c>
      <c r="D50" s="110">
        <v>0.14799999999999999</v>
      </c>
      <c r="E50" s="110">
        <f>D50</f>
        <v>0.14799999999999999</v>
      </c>
      <c r="F50" s="110">
        <f t="shared" ref="F50:Y50" si="31">E50</f>
        <v>0.14799999999999999</v>
      </c>
      <c r="G50" s="110">
        <f t="shared" si="31"/>
        <v>0.14799999999999999</v>
      </c>
      <c r="H50" s="110">
        <f t="shared" si="31"/>
        <v>0.14799999999999999</v>
      </c>
      <c r="I50" s="110">
        <f t="shared" si="31"/>
        <v>0.14799999999999999</v>
      </c>
      <c r="J50" s="110">
        <f t="shared" si="31"/>
        <v>0.14799999999999999</v>
      </c>
      <c r="K50" s="110">
        <f t="shared" si="31"/>
        <v>0.14799999999999999</v>
      </c>
      <c r="L50" s="110">
        <f t="shared" si="31"/>
        <v>0.14799999999999999</v>
      </c>
      <c r="M50" s="110">
        <f t="shared" si="31"/>
        <v>0.14799999999999999</v>
      </c>
      <c r="N50" s="110">
        <f t="shared" si="31"/>
        <v>0.14799999999999999</v>
      </c>
      <c r="O50" s="110">
        <f t="shared" si="31"/>
        <v>0.14799999999999999</v>
      </c>
      <c r="P50" s="110">
        <f t="shared" si="31"/>
        <v>0.14799999999999999</v>
      </c>
      <c r="Q50" s="110">
        <f t="shared" si="31"/>
        <v>0.14799999999999999</v>
      </c>
      <c r="R50" s="110">
        <f t="shared" si="31"/>
        <v>0.14799999999999999</v>
      </c>
      <c r="S50" s="110">
        <f t="shared" si="31"/>
        <v>0.14799999999999999</v>
      </c>
      <c r="T50" s="110">
        <f t="shared" si="31"/>
        <v>0.14799999999999999</v>
      </c>
      <c r="U50" s="110">
        <f t="shared" si="31"/>
        <v>0.14799999999999999</v>
      </c>
      <c r="V50" s="110">
        <f t="shared" si="31"/>
        <v>0.14799999999999999</v>
      </c>
      <c r="W50" s="110">
        <f t="shared" si="31"/>
        <v>0.14799999999999999</v>
      </c>
      <c r="X50" s="110">
        <f t="shared" si="31"/>
        <v>0.14799999999999999</v>
      </c>
      <c r="Y50" s="110">
        <f t="shared" si="31"/>
        <v>0.14799999999999999</v>
      </c>
    </row>
    <row r="51" spans="1:27" ht="13">
      <c r="B51" s="170" t="s">
        <v>290</v>
      </c>
      <c r="C51" s="45" t="s">
        <v>291</v>
      </c>
      <c r="D51" s="294">
        <v>0.44600000000000001</v>
      </c>
      <c r="E51" s="294">
        <f>D51</f>
        <v>0.44600000000000001</v>
      </c>
      <c r="F51" s="294">
        <f t="shared" ref="F51:Y51" si="32">E51</f>
        <v>0.44600000000000001</v>
      </c>
      <c r="G51" s="294">
        <f t="shared" si="32"/>
        <v>0.44600000000000001</v>
      </c>
      <c r="H51" s="294">
        <f t="shared" si="32"/>
        <v>0.44600000000000001</v>
      </c>
      <c r="I51" s="294">
        <f t="shared" si="32"/>
        <v>0.44600000000000001</v>
      </c>
      <c r="J51" s="294">
        <f t="shared" si="32"/>
        <v>0.44600000000000001</v>
      </c>
      <c r="K51" s="294">
        <f t="shared" si="32"/>
        <v>0.44600000000000001</v>
      </c>
      <c r="L51" s="294">
        <f t="shared" si="32"/>
        <v>0.44600000000000001</v>
      </c>
      <c r="M51" s="294">
        <f t="shared" si="32"/>
        <v>0.44600000000000001</v>
      </c>
      <c r="N51" s="294">
        <f t="shared" si="32"/>
        <v>0.44600000000000001</v>
      </c>
      <c r="O51" s="294">
        <f t="shared" si="32"/>
        <v>0.44600000000000001</v>
      </c>
      <c r="P51" s="294">
        <f t="shared" si="32"/>
        <v>0.44600000000000001</v>
      </c>
      <c r="Q51" s="294">
        <f t="shared" si="32"/>
        <v>0.44600000000000001</v>
      </c>
      <c r="R51" s="294">
        <f t="shared" si="32"/>
        <v>0.44600000000000001</v>
      </c>
      <c r="S51" s="294">
        <f t="shared" si="32"/>
        <v>0.44600000000000001</v>
      </c>
      <c r="T51" s="294">
        <f t="shared" si="32"/>
        <v>0.44600000000000001</v>
      </c>
      <c r="U51" s="294">
        <f t="shared" si="32"/>
        <v>0.44600000000000001</v>
      </c>
      <c r="V51" s="294">
        <f t="shared" si="32"/>
        <v>0.44600000000000001</v>
      </c>
      <c r="W51" s="294">
        <f t="shared" si="32"/>
        <v>0.44600000000000001</v>
      </c>
      <c r="X51" s="294">
        <f t="shared" si="32"/>
        <v>0.44600000000000001</v>
      </c>
      <c r="Y51" s="294">
        <f t="shared" si="32"/>
        <v>0.44600000000000001</v>
      </c>
    </row>
    <row r="52" spans="1:27" ht="13">
      <c r="A52" s="1" t="s">
        <v>260</v>
      </c>
      <c r="B52" s="170" t="s">
        <v>292</v>
      </c>
      <c r="C52" s="47" t="s">
        <v>87</v>
      </c>
      <c r="D52" s="173">
        <v>0</v>
      </c>
      <c r="E52" s="173" t="e">
        <f>-E7*Forecast!I53/365</f>
        <v>#REF!</v>
      </c>
      <c r="F52" s="173" t="e">
        <f>-F7*Forecast!J53/365</f>
        <v>#REF!</v>
      </c>
      <c r="G52" s="173" t="e">
        <f>-G7*Forecast!K53/365</f>
        <v>#REF!</v>
      </c>
      <c r="H52" s="173" t="e">
        <f>-H7*Forecast!L53/365</f>
        <v>#REF!</v>
      </c>
      <c r="I52" s="173" t="e">
        <f>-I7*Forecast!M53/365</f>
        <v>#REF!</v>
      </c>
      <c r="J52" s="173" t="e">
        <f>-J7*Forecast!N53/365</f>
        <v>#REF!</v>
      </c>
      <c r="K52" s="173" t="e">
        <f>-K7*Forecast!O53/365</f>
        <v>#REF!</v>
      </c>
      <c r="L52" s="173" t="e">
        <f>-L7*Forecast!P53/365</f>
        <v>#REF!</v>
      </c>
      <c r="M52" s="173" t="e">
        <f>-M7*Forecast!Q53/365</f>
        <v>#REF!</v>
      </c>
      <c r="N52" s="173" t="e">
        <f>-N7*Forecast!R53/365</f>
        <v>#REF!</v>
      </c>
      <c r="O52" s="173" t="e">
        <f>-O7*Forecast!S53/365</f>
        <v>#REF!</v>
      </c>
      <c r="P52" s="173" t="e">
        <f>-P7*Forecast!T53/365</f>
        <v>#REF!</v>
      </c>
      <c r="Q52" s="173" t="e">
        <f>-Q7*Forecast!U53/365</f>
        <v>#REF!</v>
      </c>
      <c r="R52" s="173" t="e">
        <f>-R7*Forecast!V53/365</f>
        <v>#REF!</v>
      </c>
      <c r="S52" s="173" t="e">
        <f>-S7*Forecast!W53/365</f>
        <v>#REF!</v>
      </c>
      <c r="T52" s="173" t="e">
        <f>-T7*Forecast!X53/365</f>
        <v>#REF!</v>
      </c>
      <c r="U52" s="173" t="e">
        <f>-U7*Forecast!Y53/365</f>
        <v>#REF!</v>
      </c>
      <c r="V52" s="173" t="e">
        <f>-V7*Forecast!Z53/365</f>
        <v>#REF!</v>
      </c>
      <c r="W52" s="173" t="e">
        <f>-W7*Forecast!AA53/365</f>
        <v>#REF!</v>
      </c>
      <c r="X52" s="173" t="e">
        <f>-X7*Forecast!AB53/365</f>
        <v>#REF!</v>
      </c>
      <c r="Y52" s="173" t="e">
        <f>-Y7*Forecast!AC53/365</f>
        <v>#REF!</v>
      </c>
    </row>
    <row r="53" spans="1:27" ht="12">
      <c r="B53" s="170"/>
      <c r="C53" s="47" t="s">
        <v>293</v>
      </c>
      <c r="D53" s="173">
        <v>0</v>
      </c>
      <c r="E53" s="173" t="e">
        <f>E47-E62-E56-SUM(E48:E52)-1</f>
        <v>#REF!</v>
      </c>
      <c r="F53" s="173" t="e">
        <f>F47-F62-F56-SUM(F48:F52)-1</f>
        <v>#REF!</v>
      </c>
      <c r="G53" s="173" t="e">
        <f>G47-G62-G56-SUM(G48:G52)-1</f>
        <v>#REF!</v>
      </c>
      <c r="H53" s="173" t="e">
        <f t="shared" ref="H53:Y53" si="33">H47-H62-H56-SUM(H48:H52)-1</f>
        <v>#REF!</v>
      </c>
      <c r="I53" s="173" t="e">
        <f t="shared" si="33"/>
        <v>#REF!</v>
      </c>
      <c r="J53" s="173" t="e">
        <f t="shared" si="33"/>
        <v>#REF!</v>
      </c>
      <c r="K53" s="173" t="e">
        <f t="shared" si="33"/>
        <v>#REF!</v>
      </c>
      <c r="L53" s="173" t="e">
        <f t="shared" si="33"/>
        <v>#REF!</v>
      </c>
      <c r="M53" s="173" t="e">
        <f t="shared" si="33"/>
        <v>#REF!</v>
      </c>
      <c r="N53" s="173" t="e">
        <f t="shared" si="33"/>
        <v>#REF!</v>
      </c>
      <c r="O53" s="173" t="e">
        <f t="shared" si="33"/>
        <v>#REF!</v>
      </c>
      <c r="P53" s="173" t="e">
        <f t="shared" si="33"/>
        <v>#REF!</v>
      </c>
      <c r="Q53" s="173" t="e">
        <f t="shared" si="33"/>
        <v>#REF!</v>
      </c>
      <c r="R53" s="173" t="e">
        <f t="shared" si="33"/>
        <v>#REF!</v>
      </c>
      <c r="S53" s="173" t="e">
        <f t="shared" si="33"/>
        <v>#REF!</v>
      </c>
      <c r="T53" s="173" t="e">
        <f t="shared" si="33"/>
        <v>#REF!</v>
      </c>
      <c r="U53" s="173" t="e">
        <f t="shared" si="33"/>
        <v>#REF!</v>
      </c>
      <c r="V53" s="173" t="e">
        <f t="shared" si="33"/>
        <v>#REF!</v>
      </c>
      <c r="W53" s="173" t="e">
        <f t="shared" si="33"/>
        <v>#REF!</v>
      </c>
      <c r="X53" s="173" t="e">
        <f t="shared" si="33"/>
        <v>#REF!</v>
      </c>
      <c r="Y53" s="173" t="e">
        <f t="shared" si="33"/>
        <v>#REF!</v>
      </c>
    </row>
    <row r="54" spans="1:27" s="3" customFormat="1" ht="12">
      <c r="B54" s="53" t="s">
        <v>294</v>
      </c>
      <c r="C54" s="53" t="s">
        <v>88</v>
      </c>
      <c r="D54" s="290">
        <f>SUM(D48:D53)</f>
        <v>4.5779999999999994</v>
      </c>
      <c r="E54" s="290" t="e">
        <f>SUM(E48:E53)</f>
        <v>#REF!</v>
      </c>
      <c r="F54" s="290" t="e">
        <f t="shared" ref="F54:Y54" si="34">SUM(F48:F53)</f>
        <v>#REF!</v>
      </c>
      <c r="G54" s="290" t="e">
        <f t="shared" si="34"/>
        <v>#REF!</v>
      </c>
      <c r="H54" s="290" t="e">
        <f t="shared" si="34"/>
        <v>#REF!</v>
      </c>
      <c r="I54" s="290" t="e">
        <f t="shared" si="34"/>
        <v>#REF!</v>
      </c>
      <c r="J54" s="290" t="e">
        <f t="shared" si="34"/>
        <v>#REF!</v>
      </c>
      <c r="K54" s="290" t="e">
        <f t="shared" si="34"/>
        <v>#REF!</v>
      </c>
      <c r="L54" s="290" t="e">
        <f t="shared" si="34"/>
        <v>#REF!</v>
      </c>
      <c r="M54" s="290" t="e">
        <f t="shared" si="34"/>
        <v>#REF!</v>
      </c>
      <c r="N54" s="290" t="e">
        <f t="shared" si="34"/>
        <v>#REF!</v>
      </c>
      <c r="O54" s="290" t="e">
        <f t="shared" si="34"/>
        <v>#REF!</v>
      </c>
      <c r="P54" s="290" t="e">
        <f t="shared" si="34"/>
        <v>#REF!</v>
      </c>
      <c r="Q54" s="290" t="e">
        <f t="shared" si="34"/>
        <v>#REF!</v>
      </c>
      <c r="R54" s="290" t="e">
        <f t="shared" si="34"/>
        <v>#REF!</v>
      </c>
      <c r="S54" s="290" t="e">
        <f t="shared" si="34"/>
        <v>#REF!</v>
      </c>
      <c r="T54" s="290" t="e">
        <f t="shared" si="34"/>
        <v>#REF!</v>
      </c>
      <c r="U54" s="290" t="e">
        <f t="shared" si="34"/>
        <v>#REF!</v>
      </c>
      <c r="V54" s="290" t="e">
        <f t="shared" si="34"/>
        <v>#REF!</v>
      </c>
      <c r="W54" s="290" t="e">
        <f t="shared" si="34"/>
        <v>#REF!</v>
      </c>
      <c r="X54" s="290" t="e">
        <f t="shared" si="34"/>
        <v>#REF!</v>
      </c>
      <c r="Y54" s="290" t="e">
        <f t="shared" si="34"/>
        <v>#REF!</v>
      </c>
    </row>
    <row r="55" spans="1:27" ht="13">
      <c r="B55" s="170" t="s">
        <v>290</v>
      </c>
      <c r="C55" s="45" t="s">
        <v>295</v>
      </c>
      <c r="D55" s="293">
        <v>1.228</v>
      </c>
      <c r="E55" s="294">
        <f>D55</f>
        <v>1.228</v>
      </c>
      <c r="F55" s="294">
        <f t="shared" ref="F55:Y55" si="35">E55</f>
        <v>1.228</v>
      </c>
      <c r="G55" s="294">
        <f t="shared" si="35"/>
        <v>1.228</v>
      </c>
      <c r="H55" s="294">
        <f t="shared" si="35"/>
        <v>1.228</v>
      </c>
      <c r="I55" s="294">
        <f t="shared" si="35"/>
        <v>1.228</v>
      </c>
      <c r="J55" s="294">
        <f t="shared" si="35"/>
        <v>1.228</v>
      </c>
      <c r="K55" s="294">
        <f t="shared" si="35"/>
        <v>1.228</v>
      </c>
      <c r="L55" s="294">
        <f t="shared" si="35"/>
        <v>1.228</v>
      </c>
      <c r="M55" s="294">
        <f t="shared" si="35"/>
        <v>1.228</v>
      </c>
      <c r="N55" s="294">
        <f t="shared" si="35"/>
        <v>1.228</v>
      </c>
      <c r="O55" s="294">
        <f t="shared" si="35"/>
        <v>1.228</v>
      </c>
      <c r="P55" s="294">
        <f t="shared" si="35"/>
        <v>1.228</v>
      </c>
      <c r="Q55" s="294">
        <f t="shared" si="35"/>
        <v>1.228</v>
      </c>
      <c r="R55" s="294">
        <f t="shared" si="35"/>
        <v>1.228</v>
      </c>
      <c r="S55" s="294">
        <f t="shared" si="35"/>
        <v>1.228</v>
      </c>
      <c r="T55" s="294">
        <f t="shared" si="35"/>
        <v>1.228</v>
      </c>
      <c r="U55" s="294">
        <f t="shared" si="35"/>
        <v>1.228</v>
      </c>
      <c r="V55" s="294">
        <f t="shared" si="35"/>
        <v>1.228</v>
      </c>
      <c r="W55" s="294">
        <f t="shared" si="35"/>
        <v>1.228</v>
      </c>
      <c r="X55" s="294">
        <f t="shared" si="35"/>
        <v>1.228</v>
      </c>
      <c r="Y55" s="294">
        <f t="shared" si="35"/>
        <v>1.228</v>
      </c>
    </row>
    <row r="56" spans="1:27" ht="13">
      <c r="B56" s="170" t="s">
        <v>296</v>
      </c>
      <c r="C56" s="45" t="s">
        <v>297</v>
      </c>
      <c r="D56" s="294">
        <v>133.96899999999999</v>
      </c>
      <c r="E56" s="294">
        <f t="shared" ref="E56:Y56" si="36">D56</f>
        <v>133.96899999999999</v>
      </c>
      <c r="F56" s="294">
        <f t="shared" si="36"/>
        <v>133.96899999999999</v>
      </c>
      <c r="G56" s="294">
        <f t="shared" si="36"/>
        <v>133.96899999999999</v>
      </c>
      <c r="H56" s="294">
        <f t="shared" si="36"/>
        <v>133.96899999999999</v>
      </c>
      <c r="I56" s="294">
        <f t="shared" si="36"/>
        <v>133.96899999999999</v>
      </c>
      <c r="J56" s="294">
        <f t="shared" si="36"/>
        <v>133.96899999999999</v>
      </c>
      <c r="K56" s="294">
        <f t="shared" si="36"/>
        <v>133.96899999999999</v>
      </c>
      <c r="L56" s="294">
        <f t="shared" si="36"/>
        <v>133.96899999999999</v>
      </c>
      <c r="M56" s="294">
        <f t="shared" si="36"/>
        <v>133.96899999999999</v>
      </c>
      <c r="N56" s="294">
        <f t="shared" si="36"/>
        <v>133.96899999999999</v>
      </c>
      <c r="O56" s="294">
        <f t="shared" si="36"/>
        <v>133.96899999999999</v>
      </c>
      <c r="P56" s="294">
        <f t="shared" si="36"/>
        <v>133.96899999999999</v>
      </c>
      <c r="Q56" s="294">
        <f t="shared" si="36"/>
        <v>133.96899999999999</v>
      </c>
      <c r="R56" s="294">
        <f t="shared" si="36"/>
        <v>133.96899999999999</v>
      </c>
      <c r="S56" s="294">
        <f t="shared" si="36"/>
        <v>133.96899999999999</v>
      </c>
      <c r="T56" s="294">
        <f t="shared" si="36"/>
        <v>133.96899999999999</v>
      </c>
      <c r="U56" s="294">
        <f t="shared" si="36"/>
        <v>133.96899999999999</v>
      </c>
      <c r="V56" s="294">
        <f t="shared" si="36"/>
        <v>133.96899999999999</v>
      </c>
      <c r="W56" s="294">
        <f t="shared" si="36"/>
        <v>133.96899999999999</v>
      </c>
      <c r="X56" s="294">
        <f t="shared" si="36"/>
        <v>133.96899999999999</v>
      </c>
      <c r="Y56" s="294">
        <f t="shared" si="36"/>
        <v>133.96899999999999</v>
      </c>
    </row>
    <row r="57" spans="1:27" s="3" customFormat="1" ht="12">
      <c r="B57" s="415" t="s">
        <v>298</v>
      </c>
      <c r="C57" s="53" t="s">
        <v>299</v>
      </c>
      <c r="D57" s="290">
        <f t="shared" ref="D57:Y57" si="37">SUM(D55:D56)</f>
        <v>135.197</v>
      </c>
      <c r="E57" s="290">
        <f t="shared" si="37"/>
        <v>135.197</v>
      </c>
      <c r="F57" s="290">
        <f t="shared" si="37"/>
        <v>135.197</v>
      </c>
      <c r="G57" s="290">
        <f t="shared" si="37"/>
        <v>135.197</v>
      </c>
      <c r="H57" s="290">
        <f t="shared" si="37"/>
        <v>135.197</v>
      </c>
      <c r="I57" s="290">
        <f t="shared" si="37"/>
        <v>135.197</v>
      </c>
      <c r="J57" s="290">
        <f t="shared" si="37"/>
        <v>135.197</v>
      </c>
      <c r="K57" s="290">
        <f t="shared" si="37"/>
        <v>135.197</v>
      </c>
      <c r="L57" s="290">
        <f t="shared" si="37"/>
        <v>135.197</v>
      </c>
      <c r="M57" s="290">
        <f t="shared" si="37"/>
        <v>135.197</v>
      </c>
      <c r="N57" s="290">
        <f t="shared" si="37"/>
        <v>135.197</v>
      </c>
      <c r="O57" s="290">
        <f t="shared" si="37"/>
        <v>135.197</v>
      </c>
      <c r="P57" s="290">
        <f t="shared" si="37"/>
        <v>135.197</v>
      </c>
      <c r="Q57" s="290">
        <f t="shared" si="37"/>
        <v>135.197</v>
      </c>
      <c r="R57" s="290">
        <f t="shared" si="37"/>
        <v>135.197</v>
      </c>
      <c r="S57" s="290">
        <f t="shared" si="37"/>
        <v>135.197</v>
      </c>
      <c r="T57" s="290">
        <f t="shared" si="37"/>
        <v>135.197</v>
      </c>
      <c r="U57" s="290">
        <f t="shared" si="37"/>
        <v>135.197</v>
      </c>
      <c r="V57" s="290">
        <f t="shared" si="37"/>
        <v>135.197</v>
      </c>
      <c r="W57" s="290">
        <f t="shared" si="37"/>
        <v>135.197</v>
      </c>
      <c r="X57" s="290">
        <f t="shared" si="37"/>
        <v>135.197</v>
      </c>
      <c r="Y57" s="290">
        <f t="shared" si="37"/>
        <v>135.197</v>
      </c>
    </row>
    <row r="58" spans="1:27" s="3" customFormat="1" ht="12">
      <c r="B58" s="53" t="s">
        <v>300</v>
      </c>
      <c r="C58" s="53" t="s">
        <v>89</v>
      </c>
      <c r="D58" s="290">
        <f t="shared" ref="D58:Y58" si="38">D54+D57</f>
        <v>139.77500000000001</v>
      </c>
      <c r="E58" s="290" t="e">
        <f t="shared" si="38"/>
        <v>#REF!</v>
      </c>
      <c r="F58" s="290" t="e">
        <f t="shared" si="38"/>
        <v>#REF!</v>
      </c>
      <c r="G58" s="290" t="e">
        <f t="shared" si="38"/>
        <v>#REF!</v>
      </c>
      <c r="H58" s="290" t="e">
        <f t="shared" si="38"/>
        <v>#REF!</v>
      </c>
      <c r="I58" s="290" t="e">
        <f t="shared" si="38"/>
        <v>#REF!</v>
      </c>
      <c r="J58" s="290" t="e">
        <f t="shared" si="38"/>
        <v>#REF!</v>
      </c>
      <c r="K58" s="290" t="e">
        <f t="shared" si="38"/>
        <v>#REF!</v>
      </c>
      <c r="L58" s="290" t="e">
        <f t="shared" si="38"/>
        <v>#REF!</v>
      </c>
      <c r="M58" s="290" t="e">
        <f t="shared" si="38"/>
        <v>#REF!</v>
      </c>
      <c r="N58" s="290" t="e">
        <f t="shared" si="38"/>
        <v>#REF!</v>
      </c>
      <c r="O58" s="290" t="e">
        <f t="shared" si="38"/>
        <v>#REF!</v>
      </c>
      <c r="P58" s="290" t="e">
        <f t="shared" si="38"/>
        <v>#REF!</v>
      </c>
      <c r="Q58" s="290" t="e">
        <f t="shared" si="38"/>
        <v>#REF!</v>
      </c>
      <c r="R58" s="290" t="e">
        <f t="shared" si="38"/>
        <v>#REF!</v>
      </c>
      <c r="S58" s="290" t="e">
        <f t="shared" si="38"/>
        <v>#REF!</v>
      </c>
      <c r="T58" s="290" t="e">
        <f t="shared" si="38"/>
        <v>#REF!</v>
      </c>
      <c r="U58" s="290" t="e">
        <f t="shared" si="38"/>
        <v>#REF!</v>
      </c>
      <c r="V58" s="290" t="e">
        <f t="shared" si="38"/>
        <v>#REF!</v>
      </c>
      <c r="W58" s="290" t="e">
        <f t="shared" si="38"/>
        <v>#REF!</v>
      </c>
      <c r="X58" s="290" t="e">
        <f t="shared" si="38"/>
        <v>#REF!</v>
      </c>
      <c r="Y58" s="290" t="e">
        <f t="shared" si="38"/>
        <v>#REF!</v>
      </c>
    </row>
    <row r="59" spans="1:27" s="3" customFormat="1" ht="13">
      <c r="B59" s="170" t="s">
        <v>301</v>
      </c>
      <c r="C59" s="45" t="s">
        <v>302</v>
      </c>
      <c r="D59" s="294">
        <v>3.5999999999999997E-2</v>
      </c>
      <c r="E59" s="294">
        <f t="shared" ref="E59:Y59" si="39">D59+E140+E154</f>
        <v>3.5999999999999997E-2</v>
      </c>
      <c r="F59" s="294">
        <f t="shared" si="39"/>
        <v>3.7999999999999999E-2</v>
      </c>
      <c r="G59" s="294">
        <f t="shared" si="39"/>
        <v>3.7999999999999999E-2</v>
      </c>
      <c r="H59" s="294">
        <f t="shared" si="39"/>
        <v>3.7999999999999999E-2</v>
      </c>
      <c r="I59" s="294">
        <f t="shared" si="39"/>
        <v>3.9E-2</v>
      </c>
      <c r="J59" s="294">
        <f t="shared" si="39"/>
        <v>3.9E-2</v>
      </c>
      <c r="K59" s="294">
        <f t="shared" si="39"/>
        <v>3.9E-2</v>
      </c>
      <c r="L59" s="294">
        <f t="shared" si="39"/>
        <v>3.9E-2</v>
      </c>
      <c r="M59" s="294">
        <f t="shared" si="39"/>
        <v>3.9E-2</v>
      </c>
      <c r="N59" s="294">
        <f t="shared" si="39"/>
        <v>3.9E-2</v>
      </c>
      <c r="O59" s="294">
        <f t="shared" si="39"/>
        <v>3.9E-2</v>
      </c>
      <c r="P59" s="294">
        <f t="shared" si="39"/>
        <v>3.9E-2</v>
      </c>
      <c r="Q59" s="294">
        <f t="shared" si="39"/>
        <v>3.9E-2</v>
      </c>
      <c r="R59" s="294">
        <f t="shared" si="39"/>
        <v>3.9E-2</v>
      </c>
      <c r="S59" s="294">
        <f t="shared" si="39"/>
        <v>3.9E-2</v>
      </c>
      <c r="T59" s="294">
        <f t="shared" si="39"/>
        <v>3.9E-2</v>
      </c>
      <c r="U59" s="294">
        <f t="shared" si="39"/>
        <v>3.9E-2</v>
      </c>
      <c r="V59" s="294">
        <f t="shared" si="39"/>
        <v>3.9E-2</v>
      </c>
      <c r="W59" s="294">
        <f t="shared" si="39"/>
        <v>3.9E-2</v>
      </c>
      <c r="X59" s="294">
        <f t="shared" si="39"/>
        <v>3.9E-2</v>
      </c>
      <c r="Y59" s="294">
        <f t="shared" si="39"/>
        <v>3.9E-2</v>
      </c>
    </row>
    <row r="60" spans="1:27" ht="12">
      <c r="B60" s="273" t="s">
        <v>303</v>
      </c>
      <c r="C60" s="1" t="s">
        <v>304</v>
      </c>
      <c r="D60" s="110">
        <v>-0.32200000000000001</v>
      </c>
      <c r="E60" s="294">
        <v>0</v>
      </c>
      <c r="F60" s="294">
        <f>E60</f>
        <v>0</v>
      </c>
      <c r="G60" s="294">
        <f t="shared" ref="G60:Y60" si="40">F60</f>
        <v>0</v>
      </c>
      <c r="H60" s="294">
        <f t="shared" si="40"/>
        <v>0</v>
      </c>
      <c r="I60" s="294">
        <f t="shared" si="40"/>
        <v>0</v>
      </c>
      <c r="J60" s="294">
        <f t="shared" si="40"/>
        <v>0</v>
      </c>
      <c r="K60" s="294">
        <f t="shared" si="40"/>
        <v>0</v>
      </c>
      <c r="L60" s="294">
        <f t="shared" si="40"/>
        <v>0</v>
      </c>
      <c r="M60" s="294">
        <f t="shared" si="40"/>
        <v>0</v>
      </c>
      <c r="N60" s="294">
        <f t="shared" si="40"/>
        <v>0</v>
      </c>
      <c r="O60" s="294">
        <f t="shared" si="40"/>
        <v>0</v>
      </c>
      <c r="P60" s="294">
        <f t="shared" si="40"/>
        <v>0</v>
      </c>
      <c r="Q60" s="294">
        <f t="shared" si="40"/>
        <v>0</v>
      </c>
      <c r="R60" s="294">
        <f t="shared" si="40"/>
        <v>0</v>
      </c>
      <c r="S60" s="294">
        <f t="shared" si="40"/>
        <v>0</v>
      </c>
      <c r="T60" s="294">
        <f t="shared" si="40"/>
        <v>0</v>
      </c>
      <c r="U60" s="294">
        <f t="shared" si="40"/>
        <v>0</v>
      </c>
      <c r="V60" s="294">
        <f t="shared" si="40"/>
        <v>0</v>
      </c>
      <c r="W60" s="294">
        <f t="shared" si="40"/>
        <v>0</v>
      </c>
      <c r="X60" s="294">
        <f t="shared" si="40"/>
        <v>0</v>
      </c>
      <c r="Y60" s="294">
        <f t="shared" si="40"/>
        <v>0</v>
      </c>
    </row>
    <row r="61" spans="1:27" ht="13">
      <c r="B61" s="170" t="s">
        <v>305</v>
      </c>
      <c r="C61" s="45" t="s">
        <v>306</v>
      </c>
      <c r="D61" s="294">
        <v>-60.436</v>
      </c>
      <c r="E61" s="294" t="e">
        <f t="shared" ref="E61:Y61" si="41">D61+E81+E24+E141</f>
        <v>#REF!</v>
      </c>
      <c r="F61" s="294" t="e">
        <f>E61+F81+F24+F141</f>
        <v>#REF!</v>
      </c>
      <c r="G61" s="294" t="e">
        <f t="shared" si="41"/>
        <v>#REF!</v>
      </c>
      <c r="H61" s="294" t="e">
        <f t="shared" si="41"/>
        <v>#REF!</v>
      </c>
      <c r="I61" s="294" t="e">
        <f t="shared" si="41"/>
        <v>#REF!</v>
      </c>
      <c r="J61" s="294" t="e">
        <f t="shared" si="41"/>
        <v>#REF!</v>
      </c>
      <c r="K61" s="294" t="e">
        <f t="shared" si="41"/>
        <v>#REF!</v>
      </c>
      <c r="L61" s="294" t="e">
        <f t="shared" si="41"/>
        <v>#REF!</v>
      </c>
      <c r="M61" s="294" t="e">
        <f t="shared" si="41"/>
        <v>#REF!</v>
      </c>
      <c r="N61" s="294" t="e">
        <f t="shared" si="41"/>
        <v>#REF!</v>
      </c>
      <c r="O61" s="294" t="e">
        <f t="shared" si="41"/>
        <v>#REF!</v>
      </c>
      <c r="P61" s="294" t="e">
        <f t="shared" si="41"/>
        <v>#REF!</v>
      </c>
      <c r="Q61" s="294" t="e">
        <f t="shared" si="41"/>
        <v>#REF!</v>
      </c>
      <c r="R61" s="294" t="e">
        <f t="shared" si="41"/>
        <v>#REF!</v>
      </c>
      <c r="S61" s="294" t="e">
        <f t="shared" si="41"/>
        <v>#REF!</v>
      </c>
      <c r="T61" s="294" t="e">
        <f t="shared" si="41"/>
        <v>#REF!</v>
      </c>
      <c r="U61" s="294" t="e">
        <f t="shared" si="41"/>
        <v>#REF!</v>
      </c>
      <c r="V61" s="294" t="e">
        <f t="shared" si="41"/>
        <v>#REF!</v>
      </c>
      <c r="W61" s="294" t="e">
        <f t="shared" si="41"/>
        <v>#REF!</v>
      </c>
      <c r="X61" s="294" t="e">
        <f t="shared" si="41"/>
        <v>#REF!</v>
      </c>
      <c r="Y61" s="294" t="e">
        <f t="shared" si="41"/>
        <v>#REF!</v>
      </c>
    </row>
    <row r="62" spans="1:27" ht="12">
      <c r="B62" s="347" t="s">
        <v>307</v>
      </c>
      <c r="C62" s="45" t="s">
        <v>90</v>
      </c>
      <c r="D62" s="292">
        <v>-60.722000000000001</v>
      </c>
      <c r="E62" s="292" t="e">
        <f t="shared" ref="E62:Y62" si="42">SUM(E59:E61)</f>
        <v>#REF!</v>
      </c>
      <c r="F62" s="292" t="e">
        <f t="shared" si="42"/>
        <v>#REF!</v>
      </c>
      <c r="G62" s="292" t="e">
        <f t="shared" si="42"/>
        <v>#REF!</v>
      </c>
      <c r="H62" s="292" t="e">
        <f t="shared" si="42"/>
        <v>#REF!</v>
      </c>
      <c r="I62" s="292" t="e">
        <f t="shared" si="42"/>
        <v>#REF!</v>
      </c>
      <c r="J62" s="292" t="e">
        <f t="shared" si="42"/>
        <v>#REF!</v>
      </c>
      <c r="K62" s="292" t="e">
        <f t="shared" si="42"/>
        <v>#REF!</v>
      </c>
      <c r="L62" s="292" t="e">
        <f t="shared" si="42"/>
        <v>#REF!</v>
      </c>
      <c r="M62" s="292" t="e">
        <f t="shared" si="42"/>
        <v>#REF!</v>
      </c>
      <c r="N62" s="292" t="e">
        <f t="shared" si="42"/>
        <v>#REF!</v>
      </c>
      <c r="O62" s="292" t="e">
        <f t="shared" si="42"/>
        <v>#REF!</v>
      </c>
      <c r="P62" s="292" t="e">
        <f t="shared" si="42"/>
        <v>#REF!</v>
      </c>
      <c r="Q62" s="292" t="e">
        <f t="shared" si="42"/>
        <v>#REF!</v>
      </c>
      <c r="R62" s="292" t="e">
        <f t="shared" si="42"/>
        <v>#REF!</v>
      </c>
      <c r="S62" s="292" t="e">
        <f t="shared" si="42"/>
        <v>#REF!</v>
      </c>
      <c r="T62" s="292" t="e">
        <f t="shared" si="42"/>
        <v>#REF!</v>
      </c>
      <c r="U62" s="292" t="e">
        <f t="shared" si="42"/>
        <v>#REF!</v>
      </c>
      <c r="V62" s="292" t="e">
        <f t="shared" si="42"/>
        <v>#REF!</v>
      </c>
      <c r="W62" s="292" t="e">
        <f t="shared" si="42"/>
        <v>#REF!</v>
      </c>
      <c r="X62" s="292" t="e">
        <f t="shared" si="42"/>
        <v>#REF!</v>
      </c>
      <c r="Y62" s="292" t="e">
        <f t="shared" si="42"/>
        <v>#REF!</v>
      </c>
    </row>
    <row r="63" spans="1:27" s="3" customFormat="1" ht="12">
      <c r="A63" s="1"/>
      <c r="B63" s="58" t="s">
        <v>308</v>
      </c>
      <c r="C63" s="53" t="s">
        <v>91</v>
      </c>
      <c r="D63" s="272">
        <f t="shared" ref="D63:Y63" si="43">D58+D62</f>
        <v>79.052999999999997</v>
      </c>
      <c r="E63" s="272" t="e">
        <f t="shared" si="43"/>
        <v>#REF!</v>
      </c>
      <c r="F63" s="272" t="e">
        <f t="shared" si="43"/>
        <v>#REF!</v>
      </c>
      <c r="G63" s="272" t="e">
        <f t="shared" si="43"/>
        <v>#REF!</v>
      </c>
      <c r="H63" s="272" t="e">
        <f t="shared" si="43"/>
        <v>#REF!</v>
      </c>
      <c r="I63" s="272" t="e">
        <f t="shared" si="43"/>
        <v>#REF!</v>
      </c>
      <c r="J63" s="272" t="e">
        <f t="shared" si="43"/>
        <v>#REF!</v>
      </c>
      <c r="K63" s="272" t="e">
        <f t="shared" si="43"/>
        <v>#REF!</v>
      </c>
      <c r="L63" s="272" t="e">
        <f t="shared" si="43"/>
        <v>#REF!</v>
      </c>
      <c r="M63" s="272" t="e">
        <f t="shared" si="43"/>
        <v>#REF!</v>
      </c>
      <c r="N63" s="272" t="e">
        <f t="shared" si="43"/>
        <v>#REF!</v>
      </c>
      <c r="O63" s="272" t="e">
        <f t="shared" si="43"/>
        <v>#REF!</v>
      </c>
      <c r="P63" s="272" t="e">
        <f t="shared" si="43"/>
        <v>#REF!</v>
      </c>
      <c r="Q63" s="272" t="e">
        <f t="shared" si="43"/>
        <v>#REF!</v>
      </c>
      <c r="R63" s="272" t="e">
        <f t="shared" si="43"/>
        <v>#REF!</v>
      </c>
      <c r="S63" s="272" t="e">
        <f t="shared" si="43"/>
        <v>#REF!</v>
      </c>
      <c r="T63" s="272" t="e">
        <f t="shared" si="43"/>
        <v>#REF!</v>
      </c>
      <c r="U63" s="272" t="e">
        <f t="shared" si="43"/>
        <v>#REF!</v>
      </c>
      <c r="V63" s="272" t="e">
        <f t="shared" si="43"/>
        <v>#REF!</v>
      </c>
      <c r="W63" s="272" t="e">
        <f t="shared" si="43"/>
        <v>#REF!</v>
      </c>
      <c r="X63" s="272" t="e">
        <f t="shared" si="43"/>
        <v>#REF!</v>
      </c>
      <c r="Y63" s="272" t="e">
        <f t="shared" si="43"/>
        <v>#REF!</v>
      </c>
    </row>
    <row r="64" spans="1:27" s="62" customFormat="1" ht="12">
      <c r="A64" s="1"/>
      <c r="B64" s="59"/>
      <c r="C64" s="60" t="s">
        <v>309</v>
      </c>
      <c r="D64" s="111">
        <f t="shared" ref="D64:Y64" si="44">IF(D63-D47=0,"ok",D63-D47)</f>
        <v>-1.4210854715202004E-14</v>
      </c>
      <c r="E64" s="111" t="e">
        <f t="shared" si="44"/>
        <v>#REF!</v>
      </c>
      <c r="F64" s="111" t="e">
        <f t="shared" si="44"/>
        <v>#REF!</v>
      </c>
      <c r="G64" s="111" t="e">
        <f t="shared" si="44"/>
        <v>#REF!</v>
      </c>
      <c r="H64" s="111" t="e">
        <f t="shared" si="44"/>
        <v>#REF!</v>
      </c>
      <c r="I64" s="111" t="e">
        <f t="shared" si="44"/>
        <v>#REF!</v>
      </c>
      <c r="J64" s="111" t="e">
        <f t="shared" si="44"/>
        <v>#REF!</v>
      </c>
      <c r="K64" s="111" t="e">
        <f t="shared" si="44"/>
        <v>#REF!</v>
      </c>
      <c r="L64" s="111" t="e">
        <f t="shared" si="44"/>
        <v>#REF!</v>
      </c>
      <c r="M64" s="111" t="e">
        <f t="shared" si="44"/>
        <v>#REF!</v>
      </c>
      <c r="N64" s="111" t="e">
        <f t="shared" si="44"/>
        <v>#REF!</v>
      </c>
      <c r="O64" s="111" t="e">
        <f t="shared" si="44"/>
        <v>#REF!</v>
      </c>
      <c r="P64" s="111" t="e">
        <f t="shared" si="44"/>
        <v>#REF!</v>
      </c>
      <c r="Q64" s="111" t="e">
        <f t="shared" si="44"/>
        <v>#REF!</v>
      </c>
      <c r="R64" s="111" t="e">
        <f t="shared" si="44"/>
        <v>#REF!</v>
      </c>
      <c r="S64" s="111" t="e">
        <f t="shared" si="44"/>
        <v>#REF!</v>
      </c>
      <c r="T64" s="111" t="e">
        <f t="shared" si="44"/>
        <v>#REF!</v>
      </c>
      <c r="U64" s="111" t="e">
        <f t="shared" si="44"/>
        <v>#REF!</v>
      </c>
      <c r="V64" s="111" t="e">
        <f t="shared" si="44"/>
        <v>#REF!</v>
      </c>
      <c r="W64" s="111" t="e">
        <f t="shared" si="44"/>
        <v>#REF!</v>
      </c>
      <c r="X64" s="111" t="e">
        <f t="shared" si="44"/>
        <v>#REF!</v>
      </c>
      <c r="Y64" s="111" t="e">
        <f t="shared" si="44"/>
        <v>#REF!</v>
      </c>
      <c r="Z64" s="61"/>
      <c r="AA64" s="61"/>
    </row>
    <row r="65" spans="1:25">
      <c r="B65" s="63"/>
      <c r="C65" s="64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</row>
    <row r="66" spans="1:25">
      <c r="B66" s="63"/>
      <c r="C66" s="64"/>
      <c r="D66" s="66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</row>
    <row r="67" spans="1:25">
      <c r="B67" s="63"/>
      <c r="C67" s="6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</row>
    <row r="68" spans="1:25">
      <c r="B68" s="63"/>
      <c r="C68" s="64"/>
    </row>
    <row r="69" spans="1:25" s="48" customFormat="1" ht="12">
      <c r="B69" s="49" t="s">
        <v>310</v>
      </c>
      <c r="C69" s="50" t="s">
        <v>311</v>
      </c>
      <c r="D69" s="264">
        <v>2019</v>
      </c>
      <c r="E69" s="265">
        <v>2020</v>
      </c>
      <c r="F69" s="265">
        <v>2021</v>
      </c>
      <c r="G69" s="265">
        <v>2022</v>
      </c>
      <c r="H69" s="265">
        <v>2023</v>
      </c>
      <c r="I69" s="265">
        <v>2024</v>
      </c>
      <c r="J69" s="265">
        <v>2025</v>
      </c>
      <c r="K69" s="265">
        <v>2026</v>
      </c>
      <c r="L69" s="265">
        <v>2027</v>
      </c>
      <c r="M69" s="265">
        <v>2028</v>
      </c>
      <c r="N69" s="265">
        <v>2029</v>
      </c>
      <c r="O69" s="265">
        <v>2030</v>
      </c>
      <c r="P69" s="265">
        <v>2031</v>
      </c>
      <c r="Q69" s="265">
        <v>2032</v>
      </c>
      <c r="R69" s="265">
        <v>2033</v>
      </c>
      <c r="S69" s="265">
        <v>2034</v>
      </c>
      <c r="T69" s="265">
        <v>2035</v>
      </c>
      <c r="U69" s="265">
        <v>2036</v>
      </c>
      <c r="V69" s="265">
        <v>2037</v>
      </c>
      <c r="W69" s="265">
        <v>2038</v>
      </c>
      <c r="X69" s="265">
        <v>2039</v>
      </c>
      <c r="Y69" s="265">
        <v>2040</v>
      </c>
    </row>
    <row r="70" spans="1:25" ht="12">
      <c r="B70" s="45" t="s">
        <v>312</v>
      </c>
      <c r="C70" s="45" t="s">
        <v>92</v>
      </c>
      <c r="D70" s="294">
        <f t="shared" ref="D70:Y70" si="45">D22</f>
        <v>-45.752000000000002</v>
      </c>
      <c r="E70" s="294" t="e">
        <f t="shared" si="45"/>
        <v>#REF!</v>
      </c>
      <c r="F70" s="294" t="e">
        <f t="shared" si="45"/>
        <v>#REF!</v>
      </c>
      <c r="G70" s="294" t="e">
        <f t="shared" si="45"/>
        <v>#REF!</v>
      </c>
      <c r="H70" s="294" t="e">
        <f t="shared" si="45"/>
        <v>#REF!</v>
      </c>
      <c r="I70" s="294" t="e">
        <f t="shared" si="45"/>
        <v>#REF!</v>
      </c>
      <c r="J70" s="294" t="e">
        <f t="shared" si="45"/>
        <v>#REF!</v>
      </c>
      <c r="K70" s="294" t="e">
        <f t="shared" si="45"/>
        <v>#REF!</v>
      </c>
      <c r="L70" s="294" t="e">
        <f t="shared" si="45"/>
        <v>#REF!</v>
      </c>
      <c r="M70" s="294" t="e">
        <f t="shared" si="45"/>
        <v>#REF!</v>
      </c>
      <c r="N70" s="294" t="e">
        <f t="shared" si="45"/>
        <v>#REF!</v>
      </c>
      <c r="O70" s="294" t="e">
        <f t="shared" si="45"/>
        <v>#REF!</v>
      </c>
      <c r="P70" s="294" t="e">
        <f t="shared" si="45"/>
        <v>#REF!</v>
      </c>
      <c r="Q70" s="294" t="e">
        <f t="shared" si="45"/>
        <v>#REF!</v>
      </c>
      <c r="R70" s="294" t="e">
        <f t="shared" si="45"/>
        <v>#REF!</v>
      </c>
      <c r="S70" s="294" t="e">
        <f t="shared" si="45"/>
        <v>#REF!</v>
      </c>
      <c r="T70" s="294" t="e">
        <f t="shared" si="45"/>
        <v>#REF!</v>
      </c>
      <c r="U70" s="294" t="e">
        <f t="shared" si="45"/>
        <v>#REF!</v>
      </c>
      <c r="V70" s="294" t="e">
        <f t="shared" si="45"/>
        <v>#REF!</v>
      </c>
      <c r="W70" s="294" t="e">
        <f t="shared" si="45"/>
        <v>#REF!</v>
      </c>
      <c r="X70" s="294" t="e">
        <f t="shared" si="45"/>
        <v>#REF!</v>
      </c>
      <c r="Y70" s="294" t="e">
        <f t="shared" si="45"/>
        <v>#REF!</v>
      </c>
    </row>
    <row r="71" spans="1:25" s="3" customFormat="1" ht="13">
      <c r="B71" s="53" t="s">
        <v>313</v>
      </c>
      <c r="C71" s="53" t="s">
        <v>314</v>
      </c>
      <c r="D71" s="295">
        <f>SUM(D72:D82)</f>
        <v>22.141000000000002</v>
      </c>
      <c r="E71" s="295">
        <f t="shared" ref="E71:Y71" si="46">SUM(E72:E82)</f>
        <v>24.546740000000003</v>
      </c>
      <c r="F71" s="295" t="e">
        <f t="shared" si="46"/>
        <v>#REF!</v>
      </c>
      <c r="G71" s="295" t="e">
        <f t="shared" si="46"/>
        <v>#REF!</v>
      </c>
      <c r="H71" s="295" t="e">
        <f t="shared" si="46"/>
        <v>#REF!</v>
      </c>
      <c r="I71" s="295" t="e">
        <f t="shared" si="46"/>
        <v>#REF!</v>
      </c>
      <c r="J71" s="295" t="e">
        <f t="shared" si="46"/>
        <v>#REF!</v>
      </c>
      <c r="K71" s="295" t="e">
        <f t="shared" si="46"/>
        <v>#REF!</v>
      </c>
      <c r="L71" s="295" t="e">
        <f t="shared" si="46"/>
        <v>#REF!</v>
      </c>
      <c r="M71" s="295" t="e">
        <f t="shared" si="46"/>
        <v>#REF!</v>
      </c>
      <c r="N71" s="295" t="e">
        <f t="shared" si="46"/>
        <v>#REF!</v>
      </c>
      <c r="O71" s="295" t="e">
        <f t="shared" si="46"/>
        <v>#REF!</v>
      </c>
      <c r="P71" s="295" t="e">
        <f t="shared" si="46"/>
        <v>#REF!</v>
      </c>
      <c r="Q71" s="295" t="e">
        <f t="shared" si="46"/>
        <v>#REF!</v>
      </c>
      <c r="R71" s="295" t="e">
        <f t="shared" si="46"/>
        <v>#REF!</v>
      </c>
      <c r="S71" s="295" t="e">
        <f t="shared" si="46"/>
        <v>#REF!</v>
      </c>
      <c r="T71" s="295" t="e">
        <f t="shared" si="46"/>
        <v>#REF!</v>
      </c>
      <c r="U71" s="295" t="e">
        <f t="shared" si="46"/>
        <v>#REF!</v>
      </c>
      <c r="V71" s="295" t="e">
        <f t="shared" si="46"/>
        <v>#REF!</v>
      </c>
      <c r="W71" s="295" t="e">
        <f t="shared" si="46"/>
        <v>#REF!</v>
      </c>
      <c r="X71" s="295" t="e">
        <f t="shared" si="46"/>
        <v>#REF!</v>
      </c>
      <c r="Y71" s="295" t="e">
        <f t="shared" si="46"/>
        <v>#REF!</v>
      </c>
    </row>
    <row r="72" spans="1:25" ht="12">
      <c r="A72" s="1" t="s">
        <v>260</v>
      </c>
      <c r="B72" s="45" t="s">
        <v>315</v>
      </c>
      <c r="C72" s="45" t="s">
        <v>316</v>
      </c>
      <c r="D72" s="294">
        <v>-0.70199999999999996</v>
      </c>
      <c r="E72" s="294">
        <f>Forecast!I35</f>
        <v>0.76974000000000009</v>
      </c>
      <c r="F72" s="294" t="e">
        <f>Forecast!J35</f>
        <v>#REF!</v>
      </c>
      <c r="G72" s="294" t="e">
        <f>Forecast!K35</f>
        <v>#REF!</v>
      </c>
      <c r="H72" s="294" t="e">
        <f>Forecast!L35</f>
        <v>#REF!</v>
      </c>
      <c r="I72" s="294" t="e">
        <f>Forecast!M35</f>
        <v>#REF!</v>
      </c>
      <c r="J72" s="294" t="e">
        <f>Forecast!N35</f>
        <v>#REF!</v>
      </c>
      <c r="K72" s="294" t="e">
        <f>Forecast!O35</f>
        <v>#REF!</v>
      </c>
      <c r="L72" s="294" t="e">
        <f>Forecast!P35</f>
        <v>#REF!</v>
      </c>
      <c r="M72" s="294" t="e">
        <f>Forecast!Q35</f>
        <v>#REF!</v>
      </c>
      <c r="N72" s="294" t="e">
        <f>Forecast!R35</f>
        <v>#REF!</v>
      </c>
      <c r="O72" s="294" t="e">
        <f>Forecast!S35</f>
        <v>#REF!</v>
      </c>
      <c r="P72" s="294" t="e">
        <f>Forecast!T35</f>
        <v>#REF!</v>
      </c>
      <c r="Q72" s="294" t="e">
        <f>Forecast!U35</f>
        <v>#REF!</v>
      </c>
      <c r="R72" s="294" t="e">
        <f>Forecast!V35</f>
        <v>#REF!</v>
      </c>
      <c r="S72" s="294" t="e">
        <f>Forecast!W35</f>
        <v>#REF!</v>
      </c>
      <c r="T72" s="294" t="e">
        <f>Forecast!X35</f>
        <v>#REF!</v>
      </c>
      <c r="U72" s="294" t="e">
        <f>Forecast!Y35</f>
        <v>#REF!</v>
      </c>
      <c r="V72" s="294" t="e">
        <f>Forecast!Z35</f>
        <v>#REF!</v>
      </c>
      <c r="W72" s="294" t="e">
        <f>Forecast!AA35</f>
        <v>#REF!</v>
      </c>
      <c r="X72" s="294" t="e">
        <f>Forecast!AB35</f>
        <v>#REF!</v>
      </c>
      <c r="Y72" s="294" t="e">
        <f>Forecast!AC35</f>
        <v>#REF!</v>
      </c>
    </row>
    <row r="73" spans="1:25" ht="12">
      <c r="A73" s="1" t="s">
        <v>260</v>
      </c>
      <c r="B73" s="45" t="s">
        <v>317</v>
      </c>
      <c r="C73" s="45" t="s">
        <v>318</v>
      </c>
      <c r="D73" s="294">
        <v>3.9E-2</v>
      </c>
      <c r="E73" s="294">
        <f>Forecast!I79</f>
        <v>3.9E-2</v>
      </c>
      <c r="F73" s="294">
        <f>Forecast!J79</f>
        <v>3.9E-2</v>
      </c>
      <c r="G73" s="294">
        <f>Forecast!K79</f>
        <v>3.9E-2</v>
      </c>
      <c r="H73" s="270">
        <f>Forecast!L79</f>
        <v>3.9E-2</v>
      </c>
      <c r="I73" s="270">
        <f>Forecast!M79</f>
        <v>3.9E-2</v>
      </c>
      <c r="J73" s="270">
        <f>Forecast!N79</f>
        <v>3.9E-2</v>
      </c>
      <c r="K73" s="270">
        <f>Forecast!O79</f>
        <v>3.9E-2</v>
      </c>
      <c r="L73" s="270">
        <f>Forecast!P79</f>
        <v>3.9E-2</v>
      </c>
      <c r="M73" s="270">
        <f>Forecast!Q79</f>
        <v>3.9E-2</v>
      </c>
      <c r="N73" s="270">
        <f>Forecast!R79</f>
        <v>3.9E-2</v>
      </c>
      <c r="O73" s="270">
        <f>Forecast!S79</f>
        <v>3.9E-2</v>
      </c>
      <c r="P73" s="270">
        <f>Forecast!T79</f>
        <v>3.9E-2</v>
      </c>
      <c r="Q73" s="270">
        <f>Forecast!U79</f>
        <v>3.9E-2</v>
      </c>
      <c r="R73" s="270">
        <f>Forecast!V79</f>
        <v>3.9E-2</v>
      </c>
      <c r="S73" s="270">
        <f>Forecast!W79</f>
        <v>3.9E-2</v>
      </c>
      <c r="T73" s="270">
        <f>Forecast!X79</f>
        <v>3.9E-2</v>
      </c>
      <c r="U73" s="270">
        <f>Forecast!Y79</f>
        <v>3.9E-2</v>
      </c>
      <c r="V73" s="270">
        <f>Forecast!Z79</f>
        <v>3.9E-2</v>
      </c>
      <c r="W73" s="270">
        <f>Forecast!AA79</f>
        <v>3.9E-2</v>
      </c>
      <c r="X73" s="270">
        <f>Forecast!AB79</f>
        <v>3.9E-2</v>
      </c>
      <c r="Y73" s="270">
        <f>Forecast!AC79</f>
        <v>3.9E-2</v>
      </c>
    </row>
    <row r="74" spans="1:25" ht="12">
      <c r="B74" s="45"/>
      <c r="C74" s="45" t="s">
        <v>319</v>
      </c>
      <c r="D74" s="294">
        <v>0.31</v>
      </c>
      <c r="E74" s="294">
        <f>Forecast!I137</f>
        <v>0.31</v>
      </c>
      <c r="F74" s="294">
        <f>Forecast!J137</f>
        <v>0.31</v>
      </c>
      <c r="G74" s="294">
        <f>Forecast!K137</f>
        <v>0.31</v>
      </c>
      <c r="H74" s="294">
        <f>Forecast!L137</f>
        <v>0.31</v>
      </c>
      <c r="I74" s="294">
        <f>Forecast!M137</f>
        <v>0.31</v>
      </c>
      <c r="J74" s="294">
        <f>Forecast!N137</f>
        <v>0.31</v>
      </c>
      <c r="K74" s="294">
        <f>Forecast!O137</f>
        <v>0.31</v>
      </c>
      <c r="L74" s="294">
        <f>Forecast!P137</f>
        <v>0.31</v>
      </c>
      <c r="M74" s="294">
        <f>Forecast!Q137</f>
        <v>0</v>
      </c>
      <c r="N74" s="294">
        <f>Forecast!R137</f>
        <v>0</v>
      </c>
      <c r="O74" s="294">
        <f>Forecast!S137</f>
        <v>0</v>
      </c>
      <c r="P74" s="294">
        <f>Forecast!T137</f>
        <v>0</v>
      </c>
      <c r="Q74" s="294">
        <f>Forecast!U137</f>
        <v>0</v>
      </c>
      <c r="R74" s="294">
        <f>Forecast!V137</f>
        <v>0</v>
      </c>
      <c r="S74" s="294">
        <f>Forecast!W137</f>
        <v>0</v>
      </c>
      <c r="T74" s="294">
        <f>Forecast!X137</f>
        <v>0</v>
      </c>
      <c r="U74" s="294">
        <f>Forecast!Y137</f>
        <v>0</v>
      </c>
      <c r="V74" s="294">
        <f>Forecast!Z137</f>
        <v>0</v>
      </c>
      <c r="W74" s="294">
        <f>Forecast!AA137</f>
        <v>0</v>
      </c>
      <c r="X74" s="294">
        <f>Forecast!AB137</f>
        <v>0</v>
      </c>
      <c r="Y74" s="294">
        <f>Forecast!AC137</f>
        <v>0</v>
      </c>
    </row>
    <row r="75" spans="1:25" ht="12">
      <c r="A75" s="1" t="s">
        <v>260</v>
      </c>
      <c r="B75" s="45" t="s">
        <v>320</v>
      </c>
      <c r="C75" s="45" t="s">
        <v>175</v>
      </c>
      <c r="D75" s="294">
        <v>0.02</v>
      </c>
      <c r="E75" s="294">
        <f>Forecast!I105</f>
        <v>1</v>
      </c>
      <c r="F75" s="294">
        <f>Forecast!J105</f>
        <v>1</v>
      </c>
      <c r="G75" s="294">
        <f>Forecast!K105</f>
        <v>1</v>
      </c>
      <c r="H75" s="294">
        <f>Forecast!L105</f>
        <v>1</v>
      </c>
      <c r="I75" s="294">
        <f>Forecast!M105</f>
        <v>1</v>
      </c>
      <c r="J75" s="294">
        <f>Forecast!N105</f>
        <v>1</v>
      </c>
      <c r="K75" s="294">
        <f>Forecast!O105</f>
        <v>1</v>
      </c>
      <c r="L75" s="294">
        <f>Forecast!P105</f>
        <v>1</v>
      </c>
      <c r="M75" s="294">
        <f>Forecast!Q105</f>
        <v>1</v>
      </c>
      <c r="N75" s="294">
        <f>Forecast!R105</f>
        <v>1</v>
      </c>
      <c r="O75" s="294">
        <f>Forecast!S105</f>
        <v>1</v>
      </c>
      <c r="P75" s="294">
        <f>Forecast!T105</f>
        <v>1</v>
      </c>
      <c r="Q75" s="294">
        <f>Forecast!U105</f>
        <v>1</v>
      </c>
      <c r="R75" s="294">
        <f>Forecast!V105</f>
        <v>1</v>
      </c>
      <c r="S75" s="294">
        <f>Forecast!W105</f>
        <v>1</v>
      </c>
      <c r="T75" s="294">
        <f>Forecast!X105</f>
        <v>1</v>
      </c>
      <c r="U75" s="294">
        <f>Forecast!Y105</f>
        <v>1</v>
      </c>
      <c r="V75" s="294">
        <f>Forecast!Z105</f>
        <v>1</v>
      </c>
      <c r="W75" s="294">
        <f>Forecast!AA105</f>
        <v>1</v>
      </c>
      <c r="X75" s="294">
        <f>Forecast!AB105</f>
        <v>1</v>
      </c>
      <c r="Y75" s="294">
        <f>Forecast!AC105</f>
        <v>1</v>
      </c>
    </row>
    <row r="76" spans="1:25" s="3" customFormat="1" ht="12">
      <c r="B76" s="53"/>
      <c r="C76" s="45" t="s">
        <v>321</v>
      </c>
      <c r="D76" s="295">
        <v>0</v>
      </c>
      <c r="E76" s="295">
        <f>D76</f>
        <v>0</v>
      </c>
      <c r="F76" s="295">
        <f t="shared" ref="F76:Y76" si="47">E76</f>
        <v>0</v>
      </c>
      <c r="G76" s="295">
        <f t="shared" si="47"/>
        <v>0</v>
      </c>
      <c r="H76" s="295">
        <f t="shared" si="47"/>
        <v>0</v>
      </c>
      <c r="I76" s="295">
        <f t="shared" si="47"/>
        <v>0</v>
      </c>
      <c r="J76" s="295">
        <f t="shared" si="47"/>
        <v>0</v>
      </c>
      <c r="K76" s="295">
        <f t="shared" si="47"/>
        <v>0</v>
      </c>
      <c r="L76" s="295">
        <f t="shared" si="47"/>
        <v>0</v>
      </c>
      <c r="M76" s="295">
        <f t="shared" si="47"/>
        <v>0</v>
      </c>
      <c r="N76" s="295">
        <f t="shared" si="47"/>
        <v>0</v>
      </c>
      <c r="O76" s="295">
        <f t="shared" si="47"/>
        <v>0</v>
      </c>
      <c r="P76" s="295">
        <f t="shared" si="47"/>
        <v>0</v>
      </c>
      <c r="Q76" s="295">
        <f t="shared" si="47"/>
        <v>0</v>
      </c>
      <c r="R76" s="295">
        <f t="shared" si="47"/>
        <v>0</v>
      </c>
      <c r="S76" s="295">
        <f t="shared" si="47"/>
        <v>0</v>
      </c>
      <c r="T76" s="295">
        <f t="shared" si="47"/>
        <v>0</v>
      </c>
      <c r="U76" s="295">
        <f t="shared" si="47"/>
        <v>0</v>
      </c>
      <c r="V76" s="295">
        <f t="shared" si="47"/>
        <v>0</v>
      </c>
      <c r="W76" s="295">
        <f t="shared" si="47"/>
        <v>0</v>
      </c>
      <c r="X76" s="295">
        <f t="shared" si="47"/>
        <v>0</v>
      </c>
      <c r="Y76" s="295">
        <f t="shared" si="47"/>
        <v>0</v>
      </c>
    </row>
    <row r="77" spans="1:25" s="3" customFormat="1" ht="12">
      <c r="B77" s="53"/>
      <c r="C77" s="45" t="s">
        <v>238</v>
      </c>
      <c r="D77" s="295">
        <v>-2.5150000000000001</v>
      </c>
      <c r="E77" s="295">
        <f t="shared" ref="E77:Y77" si="48">-E16</f>
        <v>-2.5150000000000001</v>
      </c>
      <c r="F77" s="295">
        <f t="shared" si="48"/>
        <v>-2.5150000000000001</v>
      </c>
      <c r="G77" s="295">
        <f t="shared" si="48"/>
        <v>-2.5150000000000001</v>
      </c>
      <c r="H77" s="295">
        <f t="shared" si="48"/>
        <v>-2.5150000000000001</v>
      </c>
      <c r="I77" s="295">
        <f t="shared" si="48"/>
        <v>-2.5150000000000001</v>
      </c>
      <c r="J77" s="295">
        <f t="shared" si="48"/>
        <v>-2.5150000000000001</v>
      </c>
      <c r="K77" s="295">
        <f t="shared" si="48"/>
        <v>-2.5150000000000001</v>
      </c>
      <c r="L77" s="295">
        <f t="shared" si="48"/>
        <v>-2.5150000000000001</v>
      </c>
      <c r="M77" s="295">
        <f t="shared" si="48"/>
        <v>-2.5150000000000001</v>
      </c>
      <c r="N77" s="295">
        <f t="shared" si="48"/>
        <v>-2.5150000000000001</v>
      </c>
      <c r="O77" s="295">
        <f t="shared" si="48"/>
        <v>-2.5150000000000001</v>
      </c>
      <c r="P77" s="295">
        <f t="shared" si="48"/>
        <v>-2.5150000000000001</v>
      </c>
      <c r="Q77" s="295">
        <f t="shared" si="48"/>
        <v>-2.5150000000000001</v>
      </c>
      <c r="R77" s="295">
        <f t="shared" si="48"/>
        <v>-2.5150000000000001</v>
      </c>
      <c r="S77" s="295">
        <f t="shared" si="48"/>
        <v>-2.5150000000000001</v>
      </c>
      <c r="T77" s="295">
        <f t="shared" si="48"/>
        <v>-2.5150000000000001</v>
      </c>
      <c r="U77" s="295">
        <f t="shared" si="48"/>
        <v>-2.5150000000000001</v>
      </c>
      <c r="V77" s="295">
        <f t="shared" si="48"/>
        <v>-2.5150000000000001</v>
      </c>
      <c r="W77" s="295">
        <f t="shared" si="48"/>
        <v>-2.5150000000000001</v>
      </c>
      <c r="X77" s="295">
        <f t="shared" si="48"/>
        <v>-2.5150000000000001</v>
      </c>
      <c r="Y77" s="295">
        <f t="shared" si="48"/>
        <v>-2.5150000000000001</v>
      </c>
    </row>
    <row r="78" spans="1:25" s="3" customFormat="1" ht="12">
      <c r="B78" s="53"/>
      <c r="C78" s="45" t="s">
        <v>322</v>
      </c>
      <c r="D78" s="295">
        <v>-0.63400000000000001</v>
      </c>
      <c r="E78" s="295">
        <f t="shared" ref="E78:Y78" si="49">-E15</f>
        <v>-0.63400000000000001</v>
      </c>
      <c r="F78" s="295">
        <f t="shared" si="49"/>
        <v>-0.63400000000000001</v>
      </c>
      <c r="G78" s="295">
        <f t="shared" si="49"/>
        <v>-0.63400000000000001</v>
      </c>
      <c r="H78" s="295">
        <f t="shared" si="49"/>
        <v>-0.63400000000000001</v>
      </c>
      <c r="I78" s="295">
        <f t="shared" si="49"/>
        <v>-0.63400000000000001</v>
      </c>
      <c r="J78" s="295">
        <f t="shared" si="49"/>
        <v>-0.63400000000000001</v>
      </c>
      <c r="K78" s="295">
        <f t="shared" si="49"/>
        <v>-0.63400000000000001</v>
      </c>
      <c r="L78" s="295">
        <f t="shared" si="49"/>
        <v>-0.63400000000000001</v>
      </c>
      <c r="M78" s="295">
        <f t="shared" si="49"/>
        <v>-0.63400000000000001</v>
      </c>
      <c r="N78" s="295">
        <f t="shared" si="49"/>
        <v>-0.63400000000000001</v>
      </c>
      <c r="O78" s="295">
        <f t="shared" si="49"/>
        <v>-0.63400000000000001</v>
      </c>
      <c r="P78" s="295">
        <f t="shared" si="49"/>
        <v>-0.63400000000000001</v>
      </c>
      <c r="Q78" s="295">
        <f t="shared" si="49"/>
        <v>-0.63400000000000001</v>
      </c>
      <c r="R78" s="295">
        <f t="shared" si="49"/>
        <v>-0.63400000000000001</v>
      </c>
      <c r="S78" s="295">
        <f t="shared" si="49"/>
        <v>-0.63400000000000001</v>
      </c>
      <c r="T78" s="295">
        <f t="shared" si="49"/>
        <v>-0.63400000000000001</v>
      </c>
      <c r="U78" s="295">
        <f t="shared" si="49"/>
        <v>-0.63400000000000001</v>
      </c>
      <c r="V78" s="295">
        <f t="shared" si="49"/>
        <v>-0.63400000000000001</v>
      </c>
      <c r="W78" s="295">
        <f t="shared" si="49"/>
        <v>-0.63400000000000001</v>
      </c>
      <c r="X78" s="295">
        <f t="shared" si="49"/>
        <v>-0.63400000000000001</v>
      </c>
      <c r="Y78" s="295">
        <f t="shared" si="49"/>
        <v>-0.63400000000000001</v>
      </c>
    </row>
    <row r="79" spans="1:25" s="3" customFormat="1" ht="12">
      <c r="B79" s="53"/>
      <c r="C79" s="45" t="s">
        <v>239</v>
      </c>
      <c r="D79" s="295">
        <v>25.359000000000002</v>
      </c>
      <c r="E79" s="295">
        <f t="shared" ref="E79:Y79" si="50">-E17</f>
        <v>25.359000000000002</v>
      </c>
      <c r="F79" s="295">
        <f t="shared" si="50"/>
        <v>25.359000000000002</v>
      </c>
      <c r="G79" s="295">
        <f t="shared" si="50"/>
        <v>25.359000000000002</v>
      </c>
      <c r="H79" s="295">
        <f t="shared" si="50"/>
        <v>25.359000000000002</v>
      </c>
      <c r="I79" s="295">
        <f t="shared" si="50"/>
        <v>25.359000000000002</v>
      </c>
      <c r="J79" s="295">
        <f t="shared" si="50"/>
        <v>25.359000000000002</v>
      </c>
      <c r="K79" s="295">
        <f t="shared" si="50"/>
        <v>25.359000000000002</v>
      </c>
      <c r="L79" s="295">
        <f t="shared" si="50"/>
        <v>25.359000000000002</v>
      </c>
      <c r="M79" s="295">
        <f t="shared" si="50"/>
        <v>25.359000000000002</v>
      </c>
      <c r="N79" s="295">
        <f t="shared" si="50"/>
        <v>25.359000000000002</v>
      </c>
      <c r="O79" s="295">
        <f t="shared" si="50"/>
        <v>25.359000000000002</v>
      </c>
      <c r="P79" s="295">
        <f t="shared" si="50"/>
        <v>25.359000000000002</v>
      </c>
      <c r="Q79" s="295">
        <f t="shared" si="50"/>
        <v>25.359000000000002</v>
      </c>
      <c r="R79" s="295">
        <f t="shared" si="50"/>
        <v>25.359000000000002</v>
      </c>
      <c r="S79" s="295">
        <f t="shared" si="50"/>
        <v>25.359000000000002</v>
      </c>
      <c r="T79" s="295">
        <f t="shared" si="50"/>
        <v>25.359000000000002</v>
      </c>
      <c r="U79" s="295">
        <f t="shared" si="50"/>
        <v>25.359000000000002</v>
      </c>
      <c r="V79" s="295">
        <f t="shared" si="50"/>
        <v>25.359000000000002</v>
      </c>
      <c r="W79" s="295">
        <f t="shared" si="50"/>
        <v>25.359000000000002</v>
      </c>
      <c r="X79" s="295">
        <f t="shared" si="50"/>
        <v>25.359000000000002</v>
      </c>
      <c r="Y79" s="295">
        <f t="shared" si="50"/>
        <v>25.359000000000002</v>
      </c>
    </row>
    <row r="80" spans="1:25" ht="12">
      <c r="B80" s="45" t="s">
        <v>323</v>
      </c>
      <c r="C80" s="45" t="s">
        <v>324</v>
      </c>
      <c r="D80" s="294">
        <v>4.5999999999999999E-2</v>
      </c>
      <c r="E80" s="294">
        <f t="shared" ref="E80:Y80" si="51">-E19</f>
        <v>0</v>
      </c>
      <c r="F80" s="294">
        <f t="shared" si="51"/>
        <v>0</v>
      </c>
      <c r="G80" s="294">
        <f t="shared" si="51"/>
        <v>0</v>
      </c>
      <c r="H80" s="294">
        <f t="shared" si="51"/>
        <v>0</v>
      </c>
      <c r="I80" s="294">
        <f t="shared" si="51"/>
        <v>0</v>
      </c>
      <c r="J80" s="294">
        <f t="shared" si="51"/>
        <v>0</v>
      </c>
      <c r="K80" s="294">
        <f t="shared" si="51"/>
        <v>0</v>
      </c>
      <c r="L80" s="294">
        <f t="shared" si="51"/>
        <v>0</v>
      </c>
      <c r="M80" s="294">
        <f t="shared" si="51"/>
        <v>0</v>
      </c>
      <c r="N80" s="294">
        <f t="shared" si="51"/>
        <v>0</v>
      </c>
      <c r="O80" s="294">
        <f t="shared" si="51"/>
        <v>0</v>
      </c>
      <c r="P80" s="294">
        <f t="shared" si="51"/>
        <v>0</v>
      </c>
      <c r="Q80" s="294">
        <f t="shared" si="51"/>
        <v>0</v>
      </c>
      <c r="R80" s="294">
        <f t="shared" si="51"/>
        <v>0</v>
      </c>
      <c r="S80" s="294">
        <f t="shared" si="51"/>
        <v>0</v>
      </c>
      <c r="T80" s="294">
        <f t="shared" si="51"/>
        <v>0</v>
      </c>
      <c r="U80" s="294">
        <f t="shared" si="51"/>
        <v>0</v>
      </c>
      <c r="V80" s="294">
        <f t="shared" si="51"/>
        <v>0</v>
      </c>
      <c r="W80" s="294">
        <f t="shared" si="51"/>
        <v>0</v>
      </c>
      <c r="X80" s="294">
        <f t="shared" si="51"/>
        <v>0</v>
      </c>
      <c r="Y80" s="294">
        <f t="shared" si="51"/>
        <v>0</v>
      </c>
    </row>
    <row r="81" spans="1:25" ht="13">
      <c r="B81" s="45" t="s">
        <v>325</v>
      </c>
      <c r="C81" s="45" t="s">
        <v>326</v>
      </c>
      <c r="D81" s="294">
        <v>0.218</v>
      </c>
      <c r="E81" s="294">
        <f>D81</f>
        <v>0.218</v>
      </c>
      <c r="F81" s="294">
        <f t="shared" ref="F81:Y81" si="52">E81</f>
        <v>0.218</v>
      </c>
      <c r="G81" s="294">
        <f t="shared" si="52"/>
        <v>0.218</v>
      </c>
      <c r="H81" s="270">
        <f t="shared" si="52"/>
        <v>0.218</v>
      </c>
      <c r="I81" s="270">
        <f t="shared" si="52"/>
        <v>0.218</v>
      </c>
      <c r="J81" s="270">
        <f t="shared" si="52"/>
        <v>0.218</v>
      </c>
      <c r="K81" s="270">
        <f t="shared" si="52"/>
        <v>0.218</v>
      </c>
      <c r="L81" s="270">
        <f t="shared" si="52"/>
        <v>0.218</v>
      </c>
      <c r="M81" s="270">
        <f t="shared" si="52"/>
        <v>0.218</v>
      </c>
      <c r="N81" s="270">
        <f t="shared" si="52"/>
        <v>0.218</v>
      </c>
      <c r="O81" s="270">
        <f t="shared" si="52"/>
        <v>0.218</v>
      </c>
      <c r="P81" s="270">
        <f t="shared" si="52"/>
        <v>0.218</v>
      </c>
      <c r="Q81" s="270">
        <f t="shared" si="52"/>
        <v>0.218</v>
      </c>
      <c r="R81" s="270">
        <f t="shared" si="52"/>
        <v>0.218</v>
      </c>
      <c r="S81" s="270">
        <f t="shared" si="52"/>
        <v>0.218</v>
      </c>
      <c r="T81" s="270">
        <f t="shared" si="52"/>
        <v>0.218</v>
      </c>
      <c r="U81" s="270">
        <f t="shared" si="52"/>
        <v>0.218</v>
      </c>
      <c r="V81" s="270">
        <f t="shared" si="52"/>
        <v>0.218</v>
      </c>
      <c r="W81" s="270">
        <f t="shared" si="52"/>
        <v>0.218</v>
      </c>
      <c r="X81" s="270">
        <f t="shared" si="52"/>
        <v>0.218</v>
      </c>
      <c r="Y81" s="270">
        <f t="shared" si="52"/>
        <v>0.218</v>
      </c>
    </row>
    <row r="82" spans="1:25" ht="12">
      <c r="B82" s="45"/>
      <c r="C82" s="45" t="s">
        <v>327</v>
      </c>
      <c r="D82" s="294">
        <v>0</v>
      </c>
      <c r="E82" s="294">
        <f t="shared" ref="E82:Y82" si="53">-E18</f>
        <v>0</v>
      </c>
      <c r="F82" s="294">
        <f t="shared" si="53"/>
        <v>0</v>
      </c>
      <c r="G82" s="294">
        <f t="shared" si="53"/>
        <v>0</v>
      </c>
      <c r="H82" s="294">
        <f t="shared" si="53"/>
        <v>0</v>
      </c>
      <c r="I82" s="294">
        <f t="shared" si="53"/>
        <v>0</v>
      </c>
      <c r="J82" s="294">
        <f t="shared" si="53"/>
        <v>0</v>
      </c>
      <c r="K82" s="294">
        <f t="shared" si="53"/>
        <v>0</v>
      </c>
      <c r="L82" s="294">
        <f t="shared" si="53"/>
        <v>0</v>
      </c>
      <c r="M82" s="294">
        <f t="shared" si="53"/>
        <v>0</v>
      </c>
      <c r="N82" s="294">
        <f t="shared" si="53"/>
        <v>0</v>
      </c>
      <c r="O82" s="294">
        <f t="shared" si="53"/>
        <v>0</v>
      </c>
      <c r="P82" s="294">
        <f t="shared" si="53"/>
        <v>0</v>
      </c>
      <c r="Q82" s="294">
        <f t="shared" si="53"/>
        <v>0</v>
      </c>
      <c r="R82" s="294">
        <f t="shared" si="53"/>
        <v>0</v>
      </c>
      <c r="S82" s="294">
        <f t="shared" si="53"/>
        <v>0</v>
      </c>
      <c r="T82" s="294">
        <f t="shared" si="53"/>
        <v>0</v>
      </c>
      <c r="U82" s="294">
        <f t="shared" si="53"/>
        <v>0</v>
      </c>
      <c r="V82" s="294">
        <f t="shared" si="53"/>
        <v>0</v>
      </c>
      <c r="W82" s="294">
        <f t="shared" si="53"/>
        <v>0</v>
      </c>
      <c r="X82" s="294">
        <f t="shared" si="53"/>
        <v>0</v>
      </c>
      <c r="Y82" s="294">
        <f t="shared" si="53"/>
        <v>0</v>
      </c>
    </row>
    <row r="83" spans="1:25" s="3" customFormat="1">
      <c r="B83" s="53"/>
      <c r="C83" s="54" t="s">
        <v>328</v>
      </c>
      <c r="D83" s="295">
        <v>-23.611000000000001</v>
      </c>
      <c r="E83" s="295" t="e">
        <f>SUM(E70:E71)</f>
        <v>#REF!</v>
      </c>
      <c r="F83" s="295" t="e">
        <f t="shared" ref="F83:Y83" si="54">SUM(F70:F71)</f>
        <v>#REF!</v>
      </c>
      <c r="G83" s="295" t="e">
        <f t="shared" si="54"/>
        <v>#REF!</v>
      </c>
      <c r="H83" s="295" t="e">
        <f t="shared" si="54"/>
        <v>#REF!</v>
      </c>
      <c r="I83" s="295" t="e">
        <f t="shared" si="54"/>
        <v>#REF!</v>
      </c>
      <c r="J83" s="295" t="e">
        <f t="shared" si="54"/>
        <v>#REF!</v>
      </c>
      <c r="K83" s="295" t="e">
        <f t="shared" si="54"/>
        <v>#REF!</v>
      </c>
      <c r="L83" s="295" t="e">
        <f t="shared" si="54"/>
        <v>#REF!</v>
      </c>
      <c r="M83" s="295" t="e">
        <f t="shared" si="54"/>
        <v>#REF!</v>
      </c>
      <c r="N83" s="295" t="e">
        <f t="shared" si="54"/>
        <v>#REF!</v>
      </c>
      <c r="O83" s="295" t="e">
        <f t="shared" si="54"/>
        <v>#REF!</v>
      </c>
      <c r="P83" s="295" t="e">
        <f t="shared" si="54"/>
        <v>#REF!</v>
      </c>
      <c r="Q83" s="295" t="e">
        <f t="shared" si="54"/>
        <v>#REF!</v>
      </c>
      <c r="R83" s="295" t="e">
        <f t="shared" si="54"/>
        <v>#REF!</v>
      </c>
      <c r="S83" s="295" t="e">
        <f t="shared" si="54"/>
        <v>#REF!</v>
      </c>
      <c r="T83" s="295" t="e">
        <f t="shared" si="54"/>
        <v>#REF!</v>
      </c>
      <c r="U83" s="295" t="e">
        <f t="shared" si="54"/>
        <v>#REF!</v>
      </c>
      <c r="V83" s="295" t="e">
        <f t="shared" si="54"/>
        <v>#REF!</v>
      </c>
      <c r="W83" s="295" t="e">
        <f t="shared" si="54"/>
        <v>#REF!</v>
      </c>
      <c r="X83" s="295" t="e">
        <f t="shared" si="54"/>
        <v>#REF!</v>
      </c>
      <c r="Y83" s="295" t="e">
        <f t="shared" si="54"/>
        <v>#REF!</v>
      </c>
    </row>
    <row r="84" spans="1:25" s="3" customFormat="1" ht="12">
      <c r="B84" s="3" t="s">
        <v>329</v>
      </c>
      <c r="C84" s="53" t="s">
        <v>330</v>
      </c>
      <c r="D84" s="296">
        <f>SUM(D85:D89)</f>
        <v>1.1099999999999999</v>
      </c>
      <c r="E84" s="296" t="e">
        <f t="shared" ref="E84:Y84" si="55">SUM(E85:E89)</f>
        <v>#REF!</v>
      </c>
      <c r="F84" s="296" t="e">
        <f t="shared" si="55"/>
        <v>#REF!</v>
      </c>
      <c r="G84" s="296" t="e">
        <f t="shared" si="55"/>
        <v>#REF!</v>
      </c>
      <c r="H84" s="296" t="e">
        <f t="shared" si="55"/>
        <v>#REF!</v>
      </c>
      <c r="I84" s="296" t="e">
        <f t="shared" si="55"/>
        <v>#REF!</v>
      </c>
      <c r="J84" s="296" t="e">
        <f t="shared" si="55"/>
        <v>#REF!</v>
      </c>
      <c r="K84" s="296" t="e">
        <f t="shared" si="55"/>
        <v>#REF!</v>
      </c>
      <c r="L84" s="296" t="e">
        <f t="shared" si="55"/>
        <v>#REF!</v>
      </c>
      <c r="M84" s="296" t="e">
        <f t="shared" si="55"/>
        <v>#REF!</v>
      </c>
      <c r="N84" s="296" t="e">
        <f t="shared" si="55"/>
        <v>#REF!</v>
      </c>
      <c r="O84" s="296" t="e">
        <f t="shared" si="55"/>
        <v>#REF!</v>
      </c>
      <c r="P84" s="296" t="e">
        <f t="shared" si="55"/>
        <v>#REF!</v>
      </c>
      <c r="Q84" s="296" t="e">
        <f t="shared" si="55"/>
        <v>#REF!</v>
      </c>
      <c r="R84" s="296" t="e">
        <f t="shared" si="55"/>
        <v>#REF!</v>
      </c>
      <c r="S84" s="296" t="e">
        <f t="shared" si="55"/>
        <v>#REF!</v>
      </c>
      <c r="T84" s="296" t="e">
        <f t="shared" si="55"/>
        <v>#REF!</v>
      </c>
      <c r="U84" s="296" t="e">
        <f t="shared" si="55"/>
        <v>#REF!</v>
      </c>
      <c r="V84" s="296" t="e">
        <f t="shared" si="55"/>
        <v>#REF!</v>
      </c>
      <c r="W84" s="296" t="e">
        <f t="shared" si="55"/>
        <v>#REF!</v>
      </c>
      <c r="X84" s="296" t="e">
        <f t="shared" si="55"/>
        <v>#REF!</v>
      </c>
      <c r="Y84" s="296" t="e">
        <f t="shared" si="55"/>
        <v>#REF!</v>
      </c>
    </row>
    <row r="85" spans="1:25" s="2" customFormat="1" ht="13">
      <c r="A85" s="1"/>
      <c r="B85" s="47" t="s">
        <v>331</v>
      </c>
      <c r="C85" s="54" t="s">
        <v>332</v>
      </c>
      <c r="D85" s="254">
        <v>-0.33400000000000002</v>
      </c>
      <c r="E85" s="292">
        <f t="shared" ref="E85:Y85" si="56">E30-D30</f>
        <v>0</v>
      </c>
      <c r="F85" s="292">
        <f t="shared" si="56"/>
        <v>0</v>
      </c>
      <c r="G85" s="292">
        <f t="shared" si="56"/>
        <v>0</v>
      </c>
      <c r="H85" s="271">
        <f t="shared" si="56"/>
        <v>0</v>
      </c>
      <c r="I85" s="271">
        <f t="shared" si="56"/>
        <v>0</v>
      </c>
      <c r="J85" s="271">
        <f t="shared" si="56"/>
        <v>0</v>
      </c>
      <c r="K85" s="271">
        <f t="shared" si="56"/>
        <v>0</v>
      </c>
      <c r="L85" s="271">
        <f t="shared" si="56"/>
        <v>0</v>
      </c>
      <c r="M85" s="271">
        <f t="shared" si="56"/>
        <v>0</v>
      </c>
      <c r="N85" s="271">
        <f t="shared" si="56"/>
        <v>0</v>
      </c>
      <c r="O85" s="271">
        <f t="shared" si="56"/>
        <v>0</v>
      </c>
      <c r="P85" s="271">
        <f t="shared" si="56"/>
        <v>0</v>
      </c>
      <c r="Q85" s="271">
        <f t="shared" si="56"/>
        <v>0</v>
      </c>
      <c r="R85" s="271">
        <f t="shared" si="56"/>
        <v>0</v>
      </c>
      <c r="S85" s="271">
        <f t="shared" si="56"/>
        <v>0</v>
      </c>
      <c r="T85" s="271">
        <f t="shared" si="56"/>
        <v>0</v>
      </c>
      <c r="U85" s="271">
        <f t="shared" si="56"/>
        <v>0</v>
      </c>
      <c r="V85" s="271">
        <f t="shared" si="56"/>
        <v>0</v>
      </c>
      <c r="W85" s="271">
        <f t="shared" si="56"/>
        <v>0</v>
      </c>
      <c r="X85" s="271">
        <f t="shared" si="56"/>
        <v>0</v>
      </c>
      <c r="Y85" s="271">
        <f t="shared" si="56"/>
        <v>0</v>
      </c>
    </row>
    <row r="86" spans="1:25" ht="12">
      <c r="B86" s="1" t="s">
        <v>333</v>
      </c>
      <c r="C86" s="54" t="s">
        <v>334</v>
      </c>
      <c r="D86" s="254">
        <v>1.444</v>
      </c>
      <c r="E86" s="110">
        <f t="shared" ref="E86:Y86" si="57">D48-E48</f>
        <v>0</v>
      </c>
      <c r="F86" s="110">
        <f t="shared" si="57"/>
        <v>0</v>
      </c>
      <c r="G86" s="110">
        <f t="shared" si="57"/>
        <v>0</v>
      </c>
      <c r="H86" s="110">
        <f t="shared" si="57"/>
        <v>0</v>
      </c>
      <c r="I86" s="110">
        <f t="shared" si="57"/>
        <v>0</v>
      </c>
      <c r="J86" s="110">
        <f t="shared" si="57"/>
        <v>0</v>
      </c>
      <c r="K86" s="110">
        <f t="shared" si="57"/>
        <v>0</v>
      </c>
      <c r="L86" s="110">
        <f t="shared" si="57"/>
        <v>0</v>
      </c>
      <c r="M86" s="110">
        <f t="shared" si="57"/>
        <v>0</v>
      </c>
      <c r="N86" s="110">
        <f t="shared" si="57"/>
        <v>0</v>
      </c>
      <c r="O86" s="110">
        <f t="shared" si="57"/>
        <v>0</v>
      </c>
      <c r="P86" s="110">
        <f t="shared" si="57"/>
        <v>0</v>
      </c>
      <c r="Q86" s="110">
        <f t="shared" si="57"/>
        <v>0</v>
      </c>
      <c r="R86" s="110">
        <f t="shared" si="57"/>
        <v>0</v>
      </c>
      <c r="S86" s="110">
        <f t="shared" si="57"/>
        <v>0</v>
      </c>
      <c r="T86" s="110">
        <f t="shared" si="57"/>
        <v>0</v>
      </c>
      <c r="U86" s="110">
        <f t="shared" si="57"/>
        <v>0</v>
      </c>
      <c r="V86" s="110">
        <f t="shared" si="57"/>
        <v>0</v>
      </c>
      <c r="W86" s="110">
        <f t="shared" si="57"/>
        <v>0</v>
      </c>
      <c r="X86" s="110">
        <f t="shared" si="57"/>
        <v>0</v>
      </c>
      <c r="Y86" s="110">
        <f t="shared" si="57"/>
        <v>0</v>
      </c>
    </row>
    <row r="87" spans="1:25" s="2" customFormat="1" ht="12">
      <c r="A87" s="1"/>
      <c r="B87" s="1" t="s">
        <v>335</v>
      </c>
      <c r="C87" s="45" t="s">
        <v>264</v>
      </c>
      <c r="D87" s="254">
        <v>0</v>
      </c>
      <c r="E87" s="292" t="e">
        <f t="shared" ref="E87:Y87" si="58">E32-D32</f>
        <v>#REF!</v>
      </c>
      <c r="F87" s="292" t="e">
        <f t="shared" si="58"/>
        <v>#REF!</v>
      </c>
      <c r="G87" s="292" t="e">
        <f t="shared" si="58"/>
        <v>#REF!</v>
      </c>
      <c r="H87" s="292" t="e">
        <f t="shared" si="58"/>
        <v>#REF!</v>
      </c>
      <c r="I87" s="292" t="e">
        <f t="shared" si="58"/>
        <v>#REF!</v>
      </c>
      <c r="J87" s="292" t="e">
        <f t="shared" si="58"/>
        <v>#REF!</v>
      </c>
      <c r="K87" s="292" t="e">
        <f t="shared" si="58"/>
        <v>#REF!</v>
      </c>
      <c r="L87" s="292" t="e">
        <f t="shared" si="58"/>
        <v>#REF!</v>
      </c>
      <c r="M87" s="292" t="e">
        <f t="shared" si="58"/>
        <v>#REF!</v>
      </c>
      <c r="N87" s="292" t="e">
        <f t="shared" si="58"/>
        <v>#REF!</v>
      </c>
      <c r="O87" s="292" t="e">
        <f t="shared" si="58"/>
        <v>#REF!</v>
      </c>
      <c r="P87" s="292" t="e">
        <f t="shared" si="58"/>
        <v>#REF!</v>
      </c>
      <c r="Q87" s="292" t="e">
        <f t="shared" si="58"/>
        <v>#REF!</v>
      </c>
      <c r="R87" s="292" t="e">
        <f t="shared" si="58"/>
        <v>#REF!</v>
      </c>
      <c r="S87" s="292" t="e">
        <f t="shared" si="58"/>
        <v>#REF!</v>
      </c>
      <c r="T87" s="292" t="e">
        <f t="shared" si="58"/>
        <v>#REF!</v>
      </c>
      <c r="U87" s="292" t="e">
        <f t="shared" si="58"/>
        <v>#REF!</v>
      </c>
      <c r="V87" s="292" t="e">
        <f t="shared" si="58"/>
        <v>#REF!</v>
      </c>
      <c r="W87" s="292" t="e">
        <f t="shared" si="58"/>
        <v>#REF!</v>
      </c>
      <c r="X87" s="292" t="e">
        <f t="shared" si="58"/>
        <v>#REF!</v>
      </c>
      <c r="Y87" s="292" t="e">
        <f t="shared" si="58"/>
        <v>#REF!</v>
      </c>
    </row>
    <row r="88" spans="1:25" ht="12">
      <c r="B88" s="1" t="s">
        <v>336</v>
      </c>
      <c r="C88" s="45" t="s">
        <v>262</v>
      </c>
      <c r="D88" s="343">
        <v>0</v>
      </c>
      <c r="E88" s="110" t="e">
        <f t="shared" ref="E88:Y88" si="59">E31-D31</f>
        <v>#REF!</v>
      </c>
      <c r="F88" s="110" t="e">
        <f t="shared" si="59"/>
        <v>#REF!</v>
      </c>
      <c r="G88" s="110" t="e">
        <f t="shared" si="59"/>
        <v>#REF!</v>
      </c>
      <c r="H88" s="110" t="e">
        <f t="shared" si="59"/>
        <v>#REF!</v>
      </c>
      <c r="I88" s="110" t="e">
        <f t="shared" si="59"/>
        <v>#REF!</v>
      </c>
      <c r="J88" s="110" t="e">
        <f t="shared" si="59"/>
        <v>#REF!</v>
      </c>
      <c r="K88" s="110" t="e">
        <f t="shared" si="59"/>
        <v>#REF!</v>
      </c>
      <c r="L88" s="110" t="e">
        <f t="shared" si="59"/>
        <v>#REF!</v>
      </c>
      <c r="M88" s="110" t="e">
        <f t="shared" si="59"/>
        <v>#REF!</v>
      </c>
      <c r="N88" s="110" t="e">
        <f t="shared" si="59"/>
        <v>#REF!</v>
      </c>
      <c r="O88" s="110" t="e">
        <f t="shared" si="59"/>
        <v>#REF!</v>
      </c>
      <c r="P88" s="110" t="e">
        <f t="shared" si="59"/>
        <v>#REF!</v>
      </c>
      <c r="Q88" s="110" t="e">
        <f t="shared" si="59"/>
        <v>#REF!</v>
      </c>
      <c r="R88" s="110" t="e">
        <f t="shared" si="59"/>
        <v>#REF!</v>
      </c>
      <c r="S88" s="110" t="e">
        <f t="shared" si="59"/>
        <v>#REF!</v>
      </c>
      <c r="T88" s="110" t="e">
        <f t="shared" si="59"/>
        <v>#REF!</v>
      </c>
      <c r="U88" s="110" t="e">
        <f t="shared" si="59"/>
        <v>#REF!</v>
      </c>
      <c r="V88" s="110" t="e">
        <f t="shared" si="59"/>
        <v>#REF!</v>
      </c>
      <c r="W88" s="110" t="e">
        <f t="shared" si="59"/>
        <v>#REF!</v>
      </c>
      <c r="X88" s="110" t="e">
        <f t="shared" si="59"/>
        <v>#REF!</v>
      </c>
      <c r="Y88" s="110" t="e">
        <f t="shared" si="59"/>
        <v>#REF!</v>
      </c>
    </row>
    <row r="89" spans="1:25" s="2" customFormat="1" ht="12">
      <c r="A89" s="1"/>
      <c r="B89" s="47" t="s">
        <v>337</v>
      </c>
      <c r="C89" s="45" t="s">
        <v>87</v>
      </c>
      <c r="D89" s="292">
        <v>0</v>
      </c>
      <c r="E89" s="292" t="e">
        <f t="shared" ref="E89:Y89" si="60">E52-D52</f>
        <v>#REF!</v>
      </c>
      <c r="F89" s="292" t="e">
        <f t="shared" si="60"/>
        <v>#REF!</v>
      </c>
      <c r="G89" s="292" t="e">
        <f t="shared" si="60"/>
        <v>#REF!</v>
      </c>
      <c r="H89" s="271" t="e">
        <f t="shared" si="60"/>
        <v>#REF!</v>
      </c>
      <c r="I89" s="271" t="e">
        <f t="shared" si="60"/>
        <v>#REF!</v>
      </c>
      <c r="J89" s="271" t="e">
        <f t="shared" si="60"/>
        <v>#REF!</v>
      </c>
      <c r="K89" s="271" t="e">
        <f t="shared" si="60"/>
        <v>#REF!</v>
      </c>
      <c r="L89" s="271" t="e">
        <f t="shared" si="60"/>
        <v>#REF!</v>
      </c>
      <c r="M89" s="271" t="e">
        <f t="shared" si="60"/>
        <v>#REF!</v>
      </c>
      <c r="N89" s="271" t="e">
        <f t="shared" si="60"/>
        <v>#REF!</v>
      </c>
      <c r="O89" s="271" t="e">
        <f t="shared" si="60"/>
        <v>#REF!</v>
      </c>
      <c r="P89" s="271" t="e">
        <f t="shared" si="60"/>
        <v>#REF!</v>
      </c>
      <c r="Q89" s="271" t="e">
        <f t="shared" si="60"/>
        <v>#REF!</v>
      </c>
      <c r="R89" s="271" t="e">
        <f t="shared" si="60"/>
        <v>#REF!</v>
      </c>
      <c r="S89" s="271" t="e">
        <f t="shared" si="60"/>
        <v>#REF!</v>
      </c>
      <c r="T89" s="271" t="e">
        <f t="shared" si="60"/>
        <v>#REF!</v>
      </c>
      <c r="U89" s="271" t="e">
        <f t="shared" si="60"/>
        <v>#REF!</v>
      </c>
      <c r="V89" s="271" t="e">
        <f t="shared" si="60"/>
        <v>#REF!</v>
      </c>
      <c r="W89" s="271" t="e">
        <f t="shared" si="60"/>
        <v>#REF!</v>
      </c>
      <c r="X89" s="271" t="e">
        <f t="shared" si="60"/>
        <v>#REF!</v>
      </c>
      <c r="Y89" s="271" t="e">
        <f t="shared" si="60"/>
        <v>#REF!</v>
      </c>
    </row>
    <row r="90" spans="1:25" s="3" customFormat="1" ht="12">
      <c r="B90" s="55" t="s">
        <v>338</v>
      </c>
      <c r="C90" s="53" t="s">
        <v>339</v>
      </c>
      <c r="D90" s="290">
        <f>D83+D84</f>
        <v>-22.501000000000001</v>
      </c>
      <c r="E90" s="290" t="e">
        <f t="shared" ref="E90:Y90" si="61">E83+E84</f>
        <v>#REF!</v>
      </c>
      <c r="F90" s="290" t="e">
        <f t="shared" si="61"/>
        <v>#REF!</v>
      </c>
      <c r="G90" s="290" t="e">
        <f t="shared" si="61"/>
        <v>#REF!</v>
      </c>
      <c r="H90" s="290" t="e">
        <f t="shared" si="61"/>
        <v>#REF!</v>
      </c>
      <c r="I90" s="290" t="e">
        <f t="shared" si="61"/>
        <v>#REF!</v>
      </c>
      <c r="J90" s="290" t="e">
        <f t="shared" si="61"/>
        <v>#REF!</v>
      </c>
      <c r="K90" s="290" t="e">
        <f t="shared" si="61"/>
        <v>#REF!</v>
      </c>
      <c r="L90" s="290" t="e">
        <f t="shared" si="61"/>
        <v>#REF!</v>
      </c>
      <c r="M90" s="290" t="e">
        <f t="shared" si="61"/>
        <v>#REF!</v>
      </c>
      <c r="N90" s="290" t="e">
        <f t="shared" si="61"/>
        <v>#REF!</v>
      </c>
      <c r="O90" s="290" t="e">
        <f t="shared" si="61"/>
        <v>#REF!</v>
      </c>
      <c r="P90" s="290" t="e">
        <f t="shared" si="61"/>
        <v>#REF!</v>
      </c>
      <c r="Q90" s="290" t="e">
        <f t="shared" si="61"/>
        <v>#REF!</v>
      </c>
      <c r="R90" s="290" t="e">
        <f t="shared" si="61"/>
        <v>#REF!</v>
      </c>
      <c r="S90" s="290" t="e">
        <f t="shared" si="61"/>
        <v>#REF!</v>
      </c>
      <c r="T90" s="290" t="e">
        <f t="shared" si="61"/>
        <v>#REF!</v>
      </c>
      <c r="U90" s="290" t="e">
        <f t="shared" si="61"/>
        <v>#REF!</v>
      </c>
      <c r="V90" s="290" t="e">
        <f t="shared" si="61"/>
        <v>#REF!</v>
      </c>
      <c r="W90" s="290" t="e">
        <f t="shared" si="61"/>
        <v>#REF!</v>
      </c>
      <c r="X90" s="290" t="e">
        <f t="shared" si="61"/>
        <v>#REF!</v>
      </c>
      <c r="Y90" s="290" t="e">
        <f t="shared" si="61"/>
        <v>#REF!</v>
      </c>
    </row>
    <row r="91" spans="1:25" ht="12">
      <c r="B91" s="47" t="s">
        <v>340</v>
      </c>
      <c r="C91" s="45" t="s">
        <v>341</v>
      </c>
      <c r="D91" s="292">
        <v>-9.5000000000000001E-2</v>
      </c>
      <c r="E91" s="292">
        <f t="shared" ref="E91:Y91" si="62">D23</f>
        <v>-0.153</v>
      </c>
      <c r="F91" s="292" t="e">
        <f t="shared" si="62"/>
        <v>#REF!</v>
      </c>
      <c r="G91" s="292" t="e">
        <f t="shared" si="62"/>
        <v>#REF!</v>
      </c>
      <c r="H91" s="271" t="e">
        <f t="shared" si="62"/>
        <v>#REF!</v>
      </c>
      <c r="I91" s="271" t="e">
        <f t="shared" si="62"/>
        <v>#REF!</v>
      </c>
      <c r="J91" s="271" t="e">
        <f t="shared" si="62"/>
        <v>#REF!</v>
      </c>
      <c r="K91" s="271" t="e">
        <f t="shared" si="62"/>
        <v>#REF!</v>
      </c>
      <c r="L91" s="271" t="e">
        <f t="shared" si="62"/>
        <v>#REF!</v>
      </c>
      <c r="M91" s="271" t="e">
        <f t="shared" si="62"/>
        <v>#REF!</v>
      </c>
      <c r="N91" s="271" t="e">
        <f t="shared" si="62"/>
        <v>#REF!</v>
      </c>
      <c r="O91" s="271" t="e">
        <f t="shared" si="62"/>
        <v>#REF!</v>
      </c>
      <c r="P91" s="271" t="e">
        <f t="shared" si="62"/>
        <v>#REF!</v>
      </c>
      <c r="Q91" s="271" t="e">
        <f t="shared" si="62"/>
        <v>#REF!</v>
      </c>
      <c r="R91" s="271" t="e">
        <f t="shared" si="62"/>
        <v>#REF!</v>
      </c>
      <c r="S91" s="271" t="e">
        <f t="shared" si="62"/>
        <v>#REF!</v>
      </c>
      <c r="T91" s="271" t="e">
        <f t="shared" si="62"/>
        <v>#REF!</v>
      </c>
      <c r="U91" s="271" t="e">
        <f t="shared" si="62"/>
        <v>#REF!</v>
      </c>
      <c r="V91" s="271" t="e">
        <f t="shared" si="62"/>
        <v>#REF!</v>
      </c>
      <c r="W91" s="271" t="e">
        <f t="shared" si="62"/>
        <v>#REF!</v>
      </c>
      <c r="X91" s="271" t="e">
        <f t="shared" si="62"/>
        <v>#REF!</v>
      </c>
      <c r="Y91" s="271" t="e">
        <f t="shared" si="62"/>
        <v>#REF!</v>
      </c>
    </row>
    <row r="92" spans="1:25" s="3" customFormat="1" ht="12">
      <c r="B92" s="55" t="s">
        <v>342</v>
      </c>
      <c r="C92" s="53" t="s">
        <v>93</v>
      </c>
      <c r="D92" s="290">
        <f>SUM(D90:D91)</f>
        <v>-22.596</v>
      </c>
      <c r="E92" s="290" t="e">
        <f>SUM(E90:E91)</f>
        <v>#REF!</v>
      </c>
      <c r="F92" s="290" t="e">
        <f t="shared" ref="F92:Y92" si="63">SUM(F90:F91)</f>
        <v>#REF!</v>
      </c>
      <c r="G92" s="290" t="e">
        <f t="shared" si="63"/>
        <v>#REF!</v>
      </c>
      <c r="H92" s="269" t="e">
        <f t="shared" si="63"/>
        <v>#REF!</v>
      </c>
      <c r="I92" s="269" t="e">
        <f t="shared" si="63"/>
        <v>#REF!</v>
      </c>
      <c r="J92" s="269" t="e">
        <f t="shared" si="63"/>
        <v>#REF!</v>
      </c>
      <c r="K92" s="269" t="e">
        <f t="shared" si="63"/>
        <v>#REF!</v>
      </c>
      <c r="L92" s="269" t="e">
        <f t="shared" si="63"/>
        <v>#REF!</v>
      </c>
      <c r="M92" s="269" t="e">
        <f t="shared" si="63"/>
        <v>#REF!</v>
      </c>
      <c r="N92" s="269" t="e">
        <f t="shared" si="63"/>
        <v>#REF!</v>
      </c>
      <c r="O92" s="269" t="e">
        <f t="shared" si="63"/>
        <v>#REF!</v>
      </c>
      <c r="P92" s="269" t="e">
        <f t="shared" si="63"/>
        <v>#REF!</v>
      </c>
      <c r="Q92" s="269" t="e">
        <f t="shared" si="63"/>
        <v>#REF!</v>
      </c>
      <c r="R92" s="269" t="e">
        <f t="shared" si="63"/>
        <v>#REF!</v>
      </c>
      <c r="S92" s="269" t="e">
        <f t="shared" si="63"/>
        <v>#REF!</v>
      </c>
      <c r="T92" s="269" t="e">
        <f t="shared" si="63"/>
        <v>#REF!</v>
      </c>
      <c r="U92" s="269" t="e">
        <f t="shared" si="63"/>
        <v>#REF!</v>
      </c>
      <c r="V92" s="269" t="e">
        <f t="shared" si="63"/>
        <v>#REF!</v>
      </c>
      <c r="W92" s="269" t="e">
        <f t="shared" si="63"/>
        <v>#REF!</v>
      </c>
      <c r="X92" s="269" t="e">
        <f t="shared" si="63"/>
        <v>#REF!</v>
      </c>
      <c r="Y92" s="269" t="e">
        <f t="shared" si="63"/>
        <v>#REF!</v>
      </c>
    </row>
    <row r="93" spans="1:25" s="3" customFormat="1">
      <c r="B93" s="47"/>
      <c r="C93" s="45"/>
      <c r="D93" s="291"/>
      <c r="E93" s="295"/>
      <c r="F93" s="295"/>
      <c r="G93" s="295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</row>
    <row r="94" spans="1:25" s="3" customFormat="1" ht="12">
      <c r="B94" s="47"/>
      <c r="C94" s="45" t="s">
        <v>343</v>
      </c>
      <c r="D94" s="291">
        <v>0.69899999999999995</v>
      </c>
      <c r="E94" s="295">
        <f>D94</f>
        <v>0.69899999999999995</v>
      </c>
      <c r="F94" s="295">
        <f t="shared" ref="F94:Y95" si="64">E94</f>
        <v>0.69899999999999995</v>
      </c>
      <c r="G94" s="295">
        <f t="shared" si="64"/>
        <v>0.69899999999999995</v>
      </c>
      <c r="H94" s="272">
        <f t="shared" si="64"/>
        <v>0.69899999999999995</v>
      </c>
      <c r="I94" s="272">
        <f t="shared" si="64"/>
        <v>0.69899999999999995</v>
      </c>
      <c r="J94" s="272">
        <f t="shared" si="64"/>
        <v>0.69899999999999995</v>
      </c>
      <c r="K94" s="272">
        <f t="shared" si="64"/>
        <v>0.69899999999999995</v>
      </c>
      <c r="L94" s="272">
        <f t="shared" si="64"/>
        <v>0.69899999999999995</v>
      </c>
      <c r="M94" s="272">
        <f t="shared" si="64"/>
        <v>0.69899999999999995</v>
      </c>
      <c r="N94" s="272">
        <f t="shared" si="64"/>
        <v>0.69899999999999995</v>
      </c>
      <c r="O94" s="272">
        <f t="shared" si="64"/>
        <v>0.69899999999999995</v>
      </c>
      <c r="P94" s="272">
        <f t="shared" si="64"/>
        <v>0.69899999999999995</v>
      </c>
      <c r="Q94" s="272">
        <f t="shared" si="64"/>
        <v>0.69899999999999995</v>
      </c>
      <c r="R94" s="272">
        <f t="shared" si="64"/>
        <v>0.69899999999999995</v>
      </c>
      <c r="S94" s="272">
        <f t="shared" si="64"/>
        <v>0.69899999999999995</v>
      </c>
      <c r="T94" s="272">
        <f t="shared" si="64"/>
        <v>0.69899999999999995</v>
      </c>
      <c r="U94" s="272">
        <f t="shared" si="64"/>
        <v>0.69899999999999995</v>
      </c>
      <c r="V94" s="272">
        <f t="shared" si="64"/>
        <v>0.69899999999999995</v>
      </c>
      <c r="W94" s="272">
        <f t="shared" si="64"/>
        <v>0.69899999999999995</v>
      </c>
      <c r="X94" s="272">
        <f t="shared" si="64"/>
        <v>0.69899999999999995</v>
      </c>
      <c r="Y94" s="272">
        <f t="shared" si="64"/>
        <v>0.69899999999999995</v>
      </c>
    </row>
    <row r="95" spans="1:25" s="3" customFormat="1" ht="12">
      <c r="B95" s="47"/>
      <c r="C95" s="45" t="s">
        <v>344</v>
      </c>
      <c r="D95" s="291">
        <v>20.399999999999999</v>
      </c>
      <c r="E95" s="295">
        <f>D95</f>
        <v>20.399999999999999</v>
      </c>
      <c r="F95" s="295">
        <f t="shared" si="64"/>
        <v>20.399999999999999</v>
      </c>
      <c r="G95" s="295">
        <f t="shared" si="64"/>
        <v>20.399999999999999</v>
      </c>
      <c r="H95" s="272">
        <f t="shared" si="64"/>
        <v>20.399999999999999</v>
      </c>
      <c r="I95" s="272">
        <f t="shared" si="64"/>
        <v>20.399999999999999</v>
      </c>
      <c r="J95" s="272">
        <f t="shared" si="64"/>
        <v>20.399999999999999</v>
      </c>
      <c r="K95" s="272">
        <f t="shared" si="64"/>
        <v>20.399999999999999</v>
      </c>
      <c r="L95" s="272">
        <f t="shared" si="64"/>
        <v>20.399999999999999</v>
      </c>
      <c r="M95" s="272">
        <f t="shared" si="64"/>
        <v>20.399999999999999</v>
      </c>
      <c r="N95" s="272">
        <f t="shared" si="64"/>
        <v>20.399999999999999</v>
      </c>
      <c r="O95" s="272">
        <f t="shared" si="64"/>
        <v>20.399999999999999</v>
      </c>
      <c r="P95" s="272">
        <f t="shared" si="64"/>
        <v>20.399999999999999</v>
      </c>
      <c r="Q95" s="272">
        <f t="shared" si="64"/>
        <v>20.399999999999999</v>
      </c>
      <c r="R95" s="272">
        <f t="shared" si="64"/>
        <v>20.399999999999999</v>
      </c>
      <c r="S95" s="272">
        <f t="shared" si="64"/>
        <v>20.399999999999999</v>
      </c>
      <c r="T95" s="272">
        <f t="shared" si="64"/>
        <v>20.399999999999999</v>
      </c>
      <c r="U95" s="272">
        <f t="shared" si="64"/>
        <v>20.399999999999999</v>
      </c>
      <c r="V95" s="272">
        <f t="shared" si="64"/>
        <v>20.399999999999999</v>
      </c>
      <c r="W95" s="272">
        <f t="shared" si="64"/>
        <v>20.399999999999999</v>
      </c>
      <c r="X95" s="272">
        <f t="shared" si="64"/>
        <v>20.399999999999999</v>
      </c>
      <c r="Y95" s="272">
        <f t="shared" si="64"/>
        <v>20.399999999999999</v>
      </c>
    </row>
    <row r="96" spans="1:25" ht="12">
      <c r="B96" s="47" t="s">
        <v>345</v>
      </c>
      <c r="C96" s="45" t="s">
        <v>346</v>
      </c>
      <c r="D96" s="294">
        <v>-0.35699999999999998</v>
      </c>
      <c r="E96" s="294">
        <f t="shared" ref="E96:Y96" si="65">-(E40-D40)</f>
        <v>-0.313</v>
      </c>
      <c r="F96" s="294">
        <f t="shared" si="65"/>
        <v>-0.35699999999999998</v>
      </c>
      <c r="G96" s="294">
        <f t="shared" si="65"/>
        <v>-0.35699999999999998</v>
      </c>
      <c r="H96" s="270">
        <f t="shared" si="65"/>
        <v>-0.35699999999999998</v>
      </c>
      <c r="I96" s="270">
        <f t="shared" si="65"/>
        <v>-0.35699999999999998</v>
      </c>
      <c r="J96" s="270">
        <f t="shared" si="65"/>
        <v>-0.35699999999999976</v>
      </c>
      <c r="K96" s="270">
        <f t="shared" si="65"/>
        <v>-0.35700000000000021</v>
      </c>
      <c r="L96" s="270">
        <f t="shared" si="65"/>
        <v>-0.35700000000000021</v>
      </c>
      <c r="M96" s="270">
        <f t="shared" si="65"/>
        <v>-0.35700000000000021</v>
      </c>
      <c r="N96" s="270">
        <f t="shared" si="65"/>
        <v>-0.35700000000000021</v>
      </c>
      <c r="O96" s="270">
        <f t="shared" si="65"/>
        <v>-0.35700000000000065</v>
      </c>
      <c r="P96" s="270">
        <f t="shared" si="65"/>
        <v>-0.35700000000000021</v>
      </c>
      <c r="Q96" s="270">
        <f t="shared" si="65"/>
        <v>-0.35700000000000021</v>
      </c>
      <c r="R96" s="270">
        <f t="shared" si="65"/>
        <v>-0.35700000000000021</v>
      </c>
      <c r="S96" s="270">
        <f t="shared" si="65"/>
        <v>-0.35700000000000021</v>
      </c>
      <c r="T96" s="270">
        <f t="shared" si="65"/>
        <v>-0.35700000000000021</v>
      </c>
      <c r="U96" s="270">
        <f t="shared" si="65"/>
        <v>-0.35700000000000021</v>
      </c>
      <c r="V96" s="270">
        <f t="shared" si="65"/>
        <v>-0.35700000000000021</v>
      </c>
      <c r="W96" s="270">
        <f t="shared" si="65"/>
        <v>-0.35700000000000021</v>
      </c>
      <c r="X96" s="270">
        <f t="shared" si="65"/>
        <v>-0.35700000000000021</v>
      </c>
      <c r="Y96" s="270">
        <f t="shared" si="65"/>
        <v>-0.35700000000000021</v>
      </c>
    </row>
    <row r="97" spans="1:25" ht="12">
      <c r="A97" s="1" t="s">
        <v>260</v>
      </c>
      <c r="B97" s="47" t="s">
        <v>347</v>
      </c>
      <c r="C97" s="45" t="s">
        <v>348</v>
      </c>
      <c r="D97" s="294">
        <v>-0.5</v>
      </c>
      <c r="E97" s="294">
        <f>-Forecast!I97</f>
        <v>-10</v>
      </c>
      <c r="F97" s="294">
        <f>-Forecast!J97</f>
        <v>-10</v>
      </c>
      <c r="G97" s="294">
        <f>-Forecast!K97</f>
        <v>-10</v>
      </c>
      <c r="H97" s="270">
        <f>-Forecast!L97</f>
        <v>-10</v>
      </c>
      <c r="I97" s="270">
        <f>-Forecast!M97</f>
        <v>-10</v>
      </c>
      <c r="J97" s="270">
        <f>-Forecast!N97</f>
        <v>-10</v>
      </c>
      <c r="K97" s="270">
        <f>-Forecast!O97</f>
        <v>-10</v>
      </c>
      <c r="L97" s="270">
        <f>-Forecast!P97</f>
        <v>-10</v>
      </c>
      <c r="M97" s="270">
        <f>-Forecast!Q97</f>
        <v>-10</v>
      </c>
      <c r="N97" s="270">
        <f>-Forecast!R97</f>
        <v>-10</v>
      </c>
      <c r="O97" s="270">
        <f>-Forecast!S97</f>
        <v>-10</v>
      </c>
      <c r="P97" s="270">
        <f>-Forecast!T97</f>
        <v>-10</v>
      </c>
      <c r="Q97" s="270">
        <f>-Forecast!U97</f>
        <v>-10</v>
      </c>
      <c r="R97" s="270">
        <f>-Forecast!V97</f>
        <v>-10</v>
      </c>
      <c r="S97" s="270">
        <f>-Forecast!W97</f>
        <v>-10</v>
      </c>
      <c r="T97" s="270">
        <f>-Forecast!X97</f>
        <v>-10</v>
      </c>
      <c r="U97" s="270">
        <f>-Forecast!Y97</f>
        <v>-10</v>
      </c>
      <c r="V97" s="270">
        <f>-Forecast!Z97</f>
        <v>-10</v>
      </c>
      <c r="W97" s="270">
        <f>-Forecast!AA97</f>
        <v>-10</v>
      </c>
      <c r="X97" s="270">
        <f>-Forecast!AB97</f>
        <v>-10</v>
      </c>
      <c r="Y97" s="270">
        <f>-Forecast!AC97</f>
        <v>-10</v>
      </c>
    </row>
    <row r="98" spans="1:25" s="3" customFormat="1" ht="12">
      <c r="B98" s="47"/>
      <c r="C98" s="45" t="s">
        <v>349</v>
      </c>
      <c r="D98" s="291">
        <v>-70</v>
      </c>
      <c r="E98" s="295">
        <v>0</v>
      </c>
      <c r="F98" s="295">
        <f t="shared" ref="F98:Y98" si="66">E98</f>
        <v>0</v>
      </c>
      <c r="G98" s="295">
        <f t="shared" si="66"/>
        <v>0</v>
      </c>
      <c r="H98" s="272">
        <f t="shared" si="66"/>
        <v>0</v>
      </c>
      <c r="I98" s="272">
        <f t="shared" si="66"/>
        <v>0</v>
      </c>
      <c r="J98" s="272">
        <f t="shared" si="66"/>
        <v>0</v>
      </c>
      <c r="K98" s="272">
        <f t="shared" si="66"/>
        <v>0</v>
      </c>
      <c r="L98" s="272">
        <f t="shared" si="66"/>
        <v>0</v>
      </c>
      <c r="M98" s="272">
        <f t="shared" si="66"/>
        <v>0</v>
      </c>
      <c r="N98" s="272">
        <f t="shared" si="66"/>
        <v>0</v>
      </c>
      <c r="O98" s="272">
        <f t="shared" si="66"/>
        <v>0</v>
      </c>
      <c r="P98" s="272">
        <f t="shared" si="66"/>
        <v>0</v>
      </c>
      <c r="Q98" s="272">
        <f t="shared" si="66"/>
        <v>0</v>
      </c>
      <c r="R98" s="272">
        <f t="shared" si="66"/>
        <v>0</v>
      </c>
      <c r="S98" s="272">
        <f t="shared" si="66"/>
        <v>0</v>
      </c>
      <c r="T98" s="272">
        <f t="shared" si="66"/>
        <v>0</v>
      </c>
      <c r="U98" s="272">
        <f t="shared" si="66"/>
        <v>0</v>
      </c>
      <c r="V98" s="272">
        <f t="shared" si="66"/>
        <v>0</v>
      </c>
      <c r="W98" s="272">
        <f t="shared" si="66"/>
        <v>0</v>
      </c>
      <c r="X98" s="272">
        <f t="shared" si="66"/>
        <v>0</v>
      </c>
      <c r="Y98" s="272">
        <f t="shared" si="66"/>
        <v>0</v>
      </c>
    </row>
    <row r="99" spans="1:25" ht="12">
      <c r="B99" s="47" t="s">
        <v>350</v>
      </c>
      <c r="C99" s="45" t="s">
        <v>351</v>
      </c>
      <c r="D99" s="294">
        <v>40</v>
      </c>
      <c r="E99" s="294">
        <v>0</v>
      </c>
      <c r="F99" s="294">
        <f t="shared" ref="F99:Y99" si="67">E99</f>
        <v>0</v>
      </c>
      <c r="G99" s="294">
        <f t="shared" si="67"/>
        <v>0</v>
      </c>
      <c r="H99" s="270">
        <f t="shared" si="67"/>
        <v>0</v>
      </c>
      <c r="I99" s="270">
        <f t="shared" si="67"/>
        <v>0</v>
      </c>
      <c r="J99" s="270">
        <f t="shared" si="67"/>
        <v>0</v>
      </c>
      <c r="K99" s="270">
        <f t="shared" si="67"/>
        <v>0</v>
      </c>
      <c r="L99" s="270">
        <f t="shared" si="67"/>
        <v>0</v>
      </c>
      <c r="M99" s="270">
        <f t="shared" si="67"/>
        <v>0</v>
      </c>
      <c r="N99" s="270">
        <f t="shared" si="67"/>
        <v>0</v>
      </c>
      <c r="O99" s="270">
        <f t="shared" si="67"/>
        <v>0</v>
      </c>
      <c r="P99" s="270">
        <f t="shared" si="67"/>
        <v>0</v>
      </c>
      <c r="Q99" s="270">
        <f t="shared" si="67"/>
        <v>0</v>
      </c>
      <c r="R99" s="270">
        <f t="shared" si="67"/>
        <v>0</v>
      </c>
      <c r="S99" s="270">
        <f t="shared" si="67"/>
        <v>0</v>
      </c>
      <c r="T99" s="270">
        <f t="shared" si="67"/>
        <v>0</v>
      </c>
      <c r="U99" s="270">
        <f t="shared" si="67"/>
        <v>0</v>
      </c>
      <c r="V99" s="270">
        <f t="shared" si="67"/>
        <v>0</v>
      </c>
      <c r="W99" s="270">
        <f t="shared" si="67"/>
        <v>0</v>
      </c>
      <c r="X99" s="270">
        <f t="shared" si="67"/>
        <v>0</v>
      </c>
      <c r="Y99" s="270">
        <f t="shared" si="67"/>
        <v>0</v>
      </c>
    </row>
    <row r="100" spans="1:25" s="3" customFormat="1" ht="12">
      <c r="B100" s="47"/>
      <c r="C100" s="45" t="s">
        <v>352</v>
      </c>
      <c r="D100" s="291">
        <v>-5.0000000000000001E-3</v>
      </c>
      <c r="E100" s="295">
        <f>-(E43-D43)</f>
        <v>0</v>
      </c>
      <c r="F100" s="295">
        <f t="shared" ref="F100:Y100" si="68">-(F43-E43)</f>
        <v>0</v>
      </c>
      <c r="G100" s="295">
        <f t="shared" si="68"/>
        <v>0</v>
      </c>
      <c r="H100" s="272">
        <f t="shared" si="68"/>
        <v>0</v>
      </c>
      <c r="I100" s="272">
        <f t="shared" si="68"/>
        <v>0</v>
      </c>
      <c r="J100" s="272">
        <f t="shared" si="68"/>
        <v>0</v>
      </c>
      <c r="K100" s="272">
        <f t="shared" si="68"/>
        <v>0</v>
      </c>
      <c r="L100" s="272">
        <f t="shared" si="68"/>
        <v>0</v>
      </c>
      <c r="M100" s="272">
        <f t="shared" si="68"/>
        <v>0</v>
      </c>
      <c r="N100" s="272">
        <f t="shared" si="68"/>
        <v>0</v>
      </c>
      <c r="O100" s="272">
        <f t="shared" si="68"/>
        <v>0</v>
      </c>
      <c r="P100" s="272">
        <f t="shared" si="68"/>
        <v>0</v>
      </c>
      <c r="Q100" s="272">
        <f t="shared" si="68"/>
        <v>0</v>
      </c>
      <c r="R100" s="272">
        <f t="shared" si="68"/>
        <v>0</v>
      </c>
      <c r="S100" s="272">
        <f t="shared" si="68"/>
        <v>0</v>
      </c>
      <c r="T100" s="272">
        <f t="shared" si="68"/>
        <v>0</v>
      </c>
      <c r="U100" s="272">
        <f t="shared" si="68"/>
        <v>0</v>
      </c>
      <c r="V100" s="272">
        <f t="shared" si="68"/>
        <v>0</v>
      </c>
      <c r="W100" s="272">
        <f t="shared" si="68"/>
        <v>0</v>
      </c>
      <c r="X100" s="272">
        <f t="shared" si="68"/>
        <v>0</v>
      </c>
      <c r="Y100" s="272">
        <f t="shared" si="68"/>
        <v>0</v>
      </c>
    </row>
    <row r="101" spans="1:25" s="3" customFormat="1" ht="12">
      <c r="B101" s="47"/>
      <c r="C101" s="45" t="s">
        <v>353</v>
      </c>
      <c r="D101" s="291">
        <v>-19.399999999999999</v>
      </c>
      <c r="E101" s="295">
        <v>0</v>
      </c>
      <c r="F101" s="295">
        <f t="shared" ref="F101:Y101" si="69">E101</f>
        <v>0</v>
      </c>
      <c r="G101" s="295">
        <f t="shared" si="69"/>
        <v>0</v>
      </c>
      <c r="H101" s="272">
        <f t="shared" si="69"/>
        <v>0</v>
      </c>
      <c r="I101" s="272">
        <f t="shared" si="69"/>
        <v>0</v>
      </c>
      <c r="J101" s="272">
        <f t="shared" si="69"/>
        <v>0</v>
      </c>
      <c r="K101" s="272">
        <f t="shared" si="69"/>
        <v>0</v>
      </c>
      <c r="L101" s="272">
        <f t="shared" si="69"/>
        <v>0</v>
      </c>
      <c r="M101" s="272">
        <f t="shared" si="69"/>
        <v>0</v>
      </c>
      <c r="N101" s="272">
        <f t="shared" si="69"/>
        <v>0</v>
      </c>
      <c r="O101" s="272">
        <f t="shared" si="69"/>
        <v>0</v>
      </c>
      <c r="P101" s="272">
        <f t="shared" si="69"/>
        <v>0</v>
      </c>
      <c r="Q101" s="272">
        <f t="shared" si="69"/>
        <v>0</v>
      </c>
      <c r="R101" s="272">
        <f t="shared" si="69"/>
        <v>0</v>
      </c>
      <c r="S101" s="272">
        <f t="shared" si="69"/>
        <v>0</v>
      </c>
      <c r="T101" s="272">
        <f t="shared" si="69"/>
        <v>0</v>
      </c>
      <c r="U101" s="272">
        <f t="shared" si="69"/>
        <v>0</v>
      </c>
      <c r="V101" s="272">
        <f t="shared" si="69"/>
        <v>0</v>
      </c>
      <c r="W101" s="272">
        <f t="shared" si="69"/>
        <v>0</v>
      </c>
      <c r="X101" s="272">
        <f t="shared" si="69"/>
        <v>0</v>
      </c>
      <c r="Y101" s="272">
        <f t="shared" si="69"/>
        <v>0</v>
      </c>
    </row>
    <row r="102" spans="1:25" s="3" customFormat="1" ht="12">
      <c r="B102" s="47"/>
      <c r="C102" s="45" t="s">
        <v>354</v>
      </c>
      <c r="D102" s="291">
        <v>0</v>
      </c>
      <c r="E102" s="295">
        <f t="shared" ref="E102:Y102" si="70">E33-D33</f>
        <v>-0.13100000000000001</v>
      </c>
      <c r="F102" s="295">
        <f t="shared" si="70"/>
        <v>0</v>
      </c>
      <c r="G102" s="295">
        <f t="shared" si="70"/>
        <v>0</v>
      </c>
      <c r="H102" s="272">
        <f t="shared" si="70"/>
        <v>0</v>
      </c>
      <c r="I102" s="272">
        <f t="shared" si="70"/>
        <v>0</v>
      </c>
      <c r="J102" s="272">
        <f t="shared" si="70"/>
        <v>0</v>
      </c>
      <c r="K102" s="272">
        <f t="shared" si="70"/>
        <v>0</v>
      </c>
      <c r="L102" s="272">
        <f t="shared" si="70"/>
        <v>0</v>
      </c>
      <c r="M102" s="272">
        <f t="shared" si="70"/>
        <v>0</v>
      </c>
      <c r="N102" s="272">
        <f t="shared" si="70"/>
        <v>0</v>
      </c>
      <c r="O102" s="272">
        <f t="shared" si="70"/>
        <v>0</v>
      </c>
      <c r="P102" s="272">
        <f t="shared" si="70"/>
        <v>0</v>
      </c>
      <c r="Q102" s="272">
        <f t="shared" si="70"/>
        <v>0</v>
      </c>
      <c r="R102" s="272">
        <f t="shared" si="70"/>
        <v>0</v>
      </c>
      <c r="S102" s="272">
        <f t="shared" si="70"/>
        <v>0</v>
      </c>
      <c r="T102" s="272">
        <f t="shared" si="70"/>
        <v>0</v>
      </c>
      <c r="U102" s="272">
        <f t="shared" si="70"/>
        <v>0</v>
      </c>
      <c r="V102" s="272">
        <f t="shared" si="70"/>
        <v>0</v>
      </c>
      <c r="W102" s="272">
        <f t="shared" si="70"/>
        <v>0</v>
      </c>
      <c r="X102" s="272">
        <f t="shared" si="70"/>
        <v>0</v>
      </c>
      <c r="Y102" s="272">
        <f t="shared" si="70"/>
        <v>0</v>
      </c>
    </row>
    <row r="103" spans="1:25" s="3" customFormat="1" ht="12">
      <c r="B103" s="55" t="s">
        <v>355</v>
      </c>
      <c r="C103" s="53" t="s">
        <v>94</v>
      </c>
      <c r="D103" s="295">
        <f>SUM(D94:D102)</f>
        <v>-29.162999999999997</v>
      </c>
      <c r="E103" s="295">
        <f t="shared" ref="E103:Y103" si="71">SUM(E94:E102)</f>
        <v>10.655000000000001</v>
      </c>
      <c r="F103" s="295">
        <f t="shared" si="71"/>
        <v>10.742000000000001</v>
      </c>
      <c r="G103" s="295">
        <f t="shared" si="71"/>
        <v>10.742000000000001</v>
      </c>
      <c r="H103" s="295">
        <f t="shared" si="71"/>
        <v>10.742000000000001</v>
      </c>
      <c r="I103" s="295">
        <f t="shared" si="71"/>
        <v>10.742000000000001</v>
      </c>
      <c r="J103" s="295">
        <f t="shared" si="71"/>
        <v>10.742000000000001</v>
      </c>
      <c r="K103" s="295">
        <f t="shared" si="71"/>
        <v>10.742000000000001</v>
      </c>
      <c r="L103" s="295">
        <f t="shared" si="71"/>
        <v>10.742000000000001</v>
      </c>
      <c r="M103" s="295">
        <f t="shared" si="71"/>
        <v>10.742000000000001</v>
      </c>
      <c r="N103" s="295">
        <f t="shared" si="71"/>
        <v>10.742000000000001</v>
      </c>
      <c r="O103" s="295">
        <f t="shared" si="71"/>
        <v>10.742000000000001</v>
      </c>
      <c r="P103" s="295">
        <f t="shared" si="71"/>
        <v>10.742000000000001</v>
      </c>
      <c r="Q103" s="295">
        <f t="shared" si="71"/>
        <v>10.742000000000001</v>
      </c>
      <c r="R103" s="295">
        <f t="shared" si="71"/>
        <v>10.742000000000001</v>
      </c>
      <c r="S103" s="295">
        <f t="shared" si="71"/>
        <v>10.742000000000001</v>
      </c>
      <c r="T103" s="295">
        <f t="shared" si="71"/>
        <v>10.742000000000001</v>
      </c>
      <c r="U103" s="295">
        <f t="shared" si="71"/>
        <v>10.742000000000001</v>
      </c>
      <c r="V103" s="295">
        <f t="shared" si="71"/>
        <v>10.742000000000001</v>
      </c>
      <c r="W103" s="295">
        <f t="shared" si="71"/>
        <v>10.742000000000001</v>
      </c>
      <c r="X103" s="295">
        <f t="shared" si="71"/>
        <v>10.742000000000001</v>
      </c>
      <c r="Y103" s="295">
        <f t="shared" si="71"/>
        <v>10.742000000000001</v>
      </c>
    </row>
    <row r="104" spans="1:25" s="3" customFormat="1" ht="13">
      <c r="B104" s="47" t="s">
        <v>356</v>
      </c>
      <c r="C104" s="45" t="s">
        <v>357</v>
      </c>
      <c r="D104" s="294">
        <v>12.2</v>
      </c>
      <c r="E104" s="294">
        <f>E139</f>
        <v>0</v>
      </c>
      <c r="F104" s="294">
        <f>F139</f>
        <v>200</v>
      </c>
      <c r="G104" s="294">
        <f>G153</f>
        <v>0</v>
      </c>
      <c r="H104" s="294">
        <f t="shared" ref="H104:Y104" si="72">H153</f>
        <v>0</v>
      </c>
      <c r="I104" s="294">
        <f t="shared" si="72"/>
        <v>100</v>
      </c>
      <c r="J104" s="294">
        <f t="shared" si="72"/>
        <v>0</v>
      </c>
      <c r="K104" s="294">
        <f t="shared" si="72"/>
        <v>0</v>
      </c>
      <c r="L104" s="294">
        <f t="shared" si="72"/>
        <v>0</v>
      </c>
      <c r="M104" s="294">
        <f t="shared" si="72"/>
        <v>0</v>
      </c>
      <c r="N104" s="294">
        <f t="shared" si="72"/>
        <v>0</v>
      </c>
      <c r="O104" s="294">
        <f t="shared" si="72"/>
        <v>0</v>
      </c>
      <c r="P104" s="294">
        <f t="shared" si="72"/>
        <v>0</v>
      </c>
      <c r="Q104" s="294">
        <f t="shared" si="72"/>
        <v>0</v>
      </c>
      <c r="R104" s="294">
        <f t="shared" si="72"/>
        <v>0</v>
      </c>
      <c r="S104" s="294">
        <f t="shared" si="72"/>
        <v>0</v>
      </c>
      <c r="T104" s="294">
        <f t="shared" si="72"/>
        <v>0</v>
      </c>
      <c r="U104" s="294">
        <f t="shared" si="72"/>
        <v>0</v>
      </c>
      <c r="V104" s="294">
        <f t="shared" si="72"/>
        <v>0</v>
      </c>
      <c r="W104" s="294">
        <f t="shared" si="72"/>
        <v>0</v>
      </c>
      <c r="X104" s="294">
        <f t="shared" si="72"/>
        <v>0</v>
      </c>
      <c r="Y104" s="294">
        <f t="shared" si="72"/>
        <v>0</v>
      </c>
    </row>
    <row r="105" spans="1:25" s="3" customFormat="1" ht="13">
      <c r="B105" s="47" t="s">
        <v>356</v>
      </c>
      <c r="C105" s="45" t="s">
        <v>358</v>
      </c>
      <c r="D105" s="294">
        <v>2E-3</v>
      </c>
      <c r="E105" s="294">
        <v>0</v>
      </c>
      <c r="F105" s="294">
        <f>E105</f>
        <v>0</v>
      </c>
      <c r="G105" s="294">
        <f t="shared" ref="G105:Y105" si="73">F105</f>
        <v>0</v>
      </c>
      <c r="H105" s="294">
        <f t="shared" si="73"/>
        <v>0</v>
      </c>
      <c r="I105" s="294">
        <f t="shared" si="73"/>
        <v>0</v>
      </c>
      <c r="J105" s="294">
        <f t="shared" si="73"/>
        <v>0</v>
      </c>
      <c r="K105" s="294">
        <f t="shared" si="73"/>
        <v>0</v>
      </c>
      <c r="L105" s="294">
        <f t="shared" si="73"/>
        <v>0</v>
      </c>
      <c r="M105" s="294">
        <f t="shared" si="73"/>
        <v>0</v>
      </c>
      <c r="N105" s="294">
        <f t="shared" si="73"/>
        <v>0</v>
      </c>
      <c r="O105" s="294">
        <f t="shared" si="73"/>
        <v>0</v>
      </c>
      <c r="P105" s="294">
        <f t="shared" si="73"/>
        <v>0</v>
      </c>
      <c r="Q105" s="294">
        <f t="shared" si="73"/>
        <v>0</v>
      </c>
      <c r="R105" s="294">
        <f t="shared" si="73"/>
        <v>0</v>
      </c>
      <c r="S105" s="294">
        <f t="shared" si="73"/>
        <v>0</v>
      </c>
      <c r="T105" s="294">
        <f t="shared" si="73"/>
        <v>0</v>
      </c>
      <c r="U105" s="294">
        <f t="shared" si="73"/>
        <v>0</v>
      </c>
      <c r="V105" s="294">
        <f t="shared" si="73"/>
        <v>0</v>
      </c>
      <c r="W105" s="294">
        <f t="shared" si="73"/>
        <v>0</v>
      </c>
      <c r="X105" s="294">
        <f t="shared" si="73"/>
        <v>0</v>
      </c>
      <c r="Y105" s="294">
        <f t="shared" si="73"/>
        <v>0</v>
      </c>
    </row>
    <row r="106" spans="1:25" ht="13">
      <c r="B106" s="274" t="s">
        <v>359</v>
      </c>
      <c r="C106" s="45" t="s">
        <v>360</v>
      </c>
      <c r="D106" s="292">
        <v>-4.5999999999999999E-2</v>
      </c>
      <c r="E106" s="292">
        <v>0</v>
      </c>
      <c r="F106" s="292">
        <f t="shared" ref="F106:Y106" si="74">E106</f>
        <v>0</v>
      </c>
      <c r="G106" s="292">
        <f t="shared" si="74"/>
        <v>0</v>
      </c>
      <c r="H106" s="271">
        <f t="shared" si="74"/>
        <v>0</v>
      </c>
      <c r="I106" s="271">
        <f t="shared" si="74"/>
        <v>0</v>
      </c>
      <c r="J106" s="271">
        <f t="shared" si="74"/>
        <v>0</v>
      </c>
      <c r="K106" s="271">
        <f t="shared" si="74"/>
        <v>0</v>
      </c>
      <c r="L106" s="271">
        <f t="shared" si="74"/>
        <v>0</v>
      </c>
      <c r="M106" s="271">
        <f t="shared" si="74"/>
        <v>0</v>
      </c>
      <c r="N106" s="271">
        <f t="shared" si="74"/>
        <v>0</v>
      </c>
      <c r="O106" s="271">
        <f t="shared" si="74"/>
        <v>0</v>
      </c>
      <c r="P106" s="271">
        <f t="shared" si="74"/>
        <v>0</v>
      </c>
      <c r="Q106" s="271">
        <f t="shared" si="74"/>
        <v>0</v>
      </c>
      <c r="R106" s="271">
        <f t="shared" si="74"/>
        <v>0</v>
      </c>
      <c r="S106" s="271">
        <f t="shared" si="74"/>
        <v>0</v>
      </c>
      <c r="T106" s="271">
        <f t="shared" si="74"/>
        <v>0</v>
      </c>
      <c r="U106" s="271">
        <f t="shared" si="74"/>
        <v>0</v>
      </c>
      <c r="V106" s="271">
        <f t="shared" si="74"/>
        <v>0</v>
      </c>
      <c r="W106" s="271">
        <f t="shared" si="74"/>
        <v>0</v>
      </c>
      <c r="X106" s="271">
        <f t="shared" si="74"/>
        <v>0</v>
      </c>
      <c r="Y106" s="271">
        <f t="shared" si="74"/>
        <v>0</v>
      </c>
    </row>
    <row r="107" spans="1:25" s="3" customFormat="1" ht="12">
      <c r="B107" s="55"/>
      <c r="C107" s="45" t="s">
        <v>361</v>
      </c>
      <c r="D107" s="295">
        <v>0</v>
      </c>
      <c r="E107" s="295">
        <f>D107</f>
        <v>0</v>
      </c>
      <c r="F107" s="295">
        <f t="shared" ref="F107:Y108" si="75">E107</f>
        <v>0</v>
      </c>
      <c r="G107" s="295">
        <f t="shared" si="75"/>
        <v>0</v>
      </c>
      <c r="H107" s="295">
        <f t="shared" si="75"/>
        <v>0</v>
      </c>
      <c r="I107" s="295">
        <f t="shared" si="75"/>
        <v>0</v>
      </c>
      <c r="J107" s="295">
        <f t="shared" si="75"/>
        <v>0</v>
      </c>
      <c r="K107" s="295">
        <f t="shared" si="75"/>
        <v>0</v>
      </c>
      <c r="L107" s="295">
        <f t="shared" si="75"/>
        <v>0</v>
      </c>
      <c r="M107" s="295">
        <f t="shared" si="75"/>
        <v>0</v>
      </c>
      <c r="N107" s="295">
        <f t="shared" si="75"/>
        <v>0</v>
      </c>
      <c r="O107" s="295">
        <f t="shared" si="75"/>
        <v>0</v>
      </c>
      <c r="P107" s="295">
        <f t="shared" si="75"/>
        <v>0</v>
      </c>
      <c r="Q107" s="295">
        <f t="shared" si="75"/>
        <v>0</v>
      </c>
      <c r="R107" s="295">
        <f t="shared" si="75"/>
        <v>0</v>
      </c>
      <c r="S107" s="295">
        <f t="shared" si="75"/>
        <v>0</v>
      </c>
      <c r="T107" s="295">
        <f t="shared" si="75"/>
        <v>0</v>
      </c>
      <c r="U107" s="295">
        <f t="shared" si="75"/>
        <v>0</v>
      </c>
      <c r="V107" s="295">
        <f t="shared" si="75"/>
        <v>0</v>
      </c>
      <c r="W107" s="295">
        <f t="shared" si="75"/>
        <v>0</v>
      </c>
      <c r="X107" s="295">
        <f t="shared" si="75"/>
        <v>0</v>
      </c>
      <c r="Y107" s="295">
        <f t="shared" si="75"/>
        <v>0</v>
      </c>
    </row>
    <row r="108" spans="1:25" s="3" customFormat="1" ht="12">
      <c r="B108" s="55"/>
      <c r="C108" s="45" t="s">
        <v>362</v>
      </c>
      <c r="D108" s="295">
        <v>-2.38</v>
      </c>
      <c r="E108" s="295">
        <v>0</v>
      </c>
      <c r="F108" s="295">
        <f t="shared" si="75"/>
        <v>0</v>
      </c>
      <c r="G108" s="295">
        <f t="shared" si="75"/>
        <v>0</v>
      </c>
      <c r="H108" s="295">
        <f t="shared" si="75"/>
        <v>0</v>
      </c>
      <c r="I108" s="295">
        <f t="shared" si="75"/>
        <v>0</v>
      </c>
      <c r="J108" s="295">
        <f t="shared" si="75"/>
        <v>0</v>
      </c>
      <c r="K108" s="295">
        <f t="shared" si="75"/>
        <v>0</v>
      </c>
      <c r="L108" s="295">
        <f t="shared" si="75"/>
        <v>0</v>
      </c>
      <c r="M108" s="295">
        <f t="shared" si="75"/>
        <v>0</v>
      </c>
      <c r="N108" s="295">
        <f t="shared" si="75"/>
        <v>0</v>
      </c>
      <c r="O108" s="295">
        <f t="shared" si="75"/>
        <v>0</v>
      </c>
      <c r="P108" s="295">
        <f t="shared" si="75"/>
        <v>0</v>
      </c>
      <c r="Q108" s="295">
        <f t="shared" si="75"/>
        <v>0</v>
      </c>
      <c r="R108" s="295">
        <f t="shared" si="75"/>
        <v>0</v>
      </c>
      <c r="S108" s="295">
        <f t="shared" si="75"/>
        <v>0</v>
      </c>
      <c r="T108" s="295">
        <f t="shared" si="75"/>
        <v>0</v>
      </c>
      <c r="U108" s="295">
        <f t="shared" si="75"/>
        <v>0</v>
      </c>
      <c r="V108" s="295">
        <f t="shared" si="75"/>
        <v>0</v>
      </c>
      <c r="W108" s="295">
        <f t="shared" si="75"/>
        <v>0</v>
      </c>
      <c r="X108" s="295">
        <f t="shared" si="75"/>
        <v>0</v>
      </c>
      <c r="Y108" s="295">
        <f t="shared" si="75"/>
        <v>0</v>
      </c>
    </row>
    <row r="109" spans="1:25" ht="12">
      <c r="B109" s="47"/>
      <c r="C109" s="45" t="s">
        <v>363</v>
      </c>
      <c r="D109" s="294">
        <v>-0.311</v>
      </c>
      <c r="E109" s="294">
        <f>D109</f>
        <v>-0.311</v>
      </c>
      <c r="F109" s="294">
        <f t="shared" ref="F109:Y109" si="76">E109</f>
        <v>-0.311</v>
      </c>
      <c r="G109" s="294">
        <f t="shared" si="76"/>
        <v>-0.311</v>
      </c>
      <c r="H109" s="294">
        <f t="shared" si="76"/>
        <v>-0.311</v>
      </c>
      <c r="I109" s="294">
        <f t="shared" si="76"/>
        <v>-0.311</v>
      </c>
      <c r="J109" s="294">
        <f t="shared" si="76"/>
        <v>-0.311</v>
      </c>
      <c r="K109" s="294">
        <f t="shared" si="76"/>
        <v>-0.311</v>
      </c>
      <c r="L109" s="294">
        <f t="shared" si="76"/>
        <v>-0.311</v>
      </c>
      <c r="M109" s="294">
        <f t="shared" si="76"/>
        <v>-0.311</v>
      </c>
      <c r="N109" s="294">
        <f t="shared" si="76"/>
        <v>-0.311</v>
      </c>
      <c r="O109" s="294">
        <f t="shared" si="76"/>
        <v>-0.311</v>
      </c>
      <c r="P109" s="294">
        <f t="shared" si="76"/>
        <v>-0.311</v>
      </c>
      <c r="Q109" s="294">
        <f t="shared" si="76"/>
        <v>-0.311</v>
      </c>
      <c r="R109" s="294">
        <f t="shared" si="76"/>
        <v>-0.311</v>
      </c>
      <c r="S109" s="294">
        <f t="shared" si="76"/>
        <v>-0.311</v>
      </c>
      <c r="T109" s="294">
        <f t="shared" si="76"/>
        <v>-0.311</v>
      </c>
      <c r="U109" s="294">
        <f t="shared" si="76"/>
        <v>-0.311</v>
      </c>
      <c r="V109" s="294">
        <f t="shared" si="76"/>
        <v>-0.311</v>
      </c>
      <c r="W109" s="294">
        <f t="shared" si="76"/>
        <v>-0.311</v>
      </c>
      <c r="X109" s="294">
        <f t="shared" si="76"/>
        <v>-0.311</v>
      </c>
      <c r="Y109" s="294">
        <f t="shared" si="76"/>
        <v>-0.311</v>
      </c>
    </row>
    <row r="110" spans="1:25" s="3" customFormat="1" ht="12">
      <c r="B110" s="55" t="s">
        <v>364</v>
      </c>
      <c r="C110" s="53" t="s">
        <v>95</v>
      </c>
      <c r="D110" s="290">
        <f t="shared" ref="D110:Y110" si="77">SUM(D104:D109)</f>
        <v>9.4649999999999999</v>
      </c>
      <c r="E110" s="290">
        <f t="shared" si="77"/>
        <v>-0.311</v>
      </c>
      <c r="F110" s="290">
        <f t="shared" si="77"/>
        <v>199.68899999999999</v>
      </c>
      <c r="G110" s="290">
        <f t="shared" si="77"/>
        <v>-0.311</v>
      </c>
      <c r="H110" s="290">
        <f t="shared" si="77"/>
        <v>-0.311</v>
      </c>
      <c r="I110" s="290">
        <f t="shared" si="77"/>
        <v>99.688999999999993</v>
      </c>
      <c r="J110" s="290">
        <f t="shared" si="77"/>
        <v>-0.311</v>
      </c>
      <c r="K110" s="290">
        <f t="shared" si="77"/>
        <v>-0.311</v>
      </c>
      <c r="L110" s="290">
        <f t="shared" si="77"/>
        <v>-0.311</v>
      </c>
      <c r="M110" s="290">
        <f t="shared" si="77"/>
        <v>-0.311</v>
      </c>
      <c r="N110" s="290">
        <f t="shared" si="77"/>
        <v>-0.311</v>
      </c>
      <c r="O110" s="290">
        <f t="shared" si="77"/>
        <v>-0.311</v>
      </c>
      <c r="P110" s="290">
        <f t="shared" si="77"/>
        <v>-0.311</v>
      </c>
      <c r="Q110" s="290">
        <f t="shared" si="77"/>
        <v>-0.311</v>
      </c>
      <c r="R110" s="290">
        <f t="shared" si="77"/>
        <v>-0.311</v>
      </c>
      <c r="S110" s="290">
        <f t="shared" si="77"/>
        <v>-0.311</v>
      </c>
      <c r="T110" s="290">
        <f t="shared" si="77"/>
        <v>-0.311</v>
      </c>
      <c r="U110" s="290">
        <f t="shared" si="77"/>
        <v>-0.311</v>
      </c>
      <c r="V110" s="290">
        <f t="shared" si="77"/>
        <v>-0.311</v>
      </c>
      <c r="W110" s="290">
        <f t="shared" si="77"/>
        <v>-0.311</v>
      </c>
      <c r="X110" s="290">
        <f t="shared" si="77"/>
        <v>-0.311</v>
      </c>
      <c r="Y110" s="290">
        <f t="shared" si="77"/>
        <v>-0.311</v>
      </c>
    </row>
    <row r="111" spans="1:25" s="3" customFormat="1">
      <c r="C111" s="45"/>
      <c r="D111" s="294"/>
      <c r="E111" s="294"/>
      <c r="F111" s="294"/>
      <c r="G111" s="294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</row>
    <row r="112" spans="1:25" ht="12">
      <c r="B112" s="47" t="s">
        <v>365</v>
      </c>
      <c r="C112" s="45" t="s">
        <v>96</v>
      </c>
      <c r="D112" s="294">
        <v>-42.293999999999997</v>
      </c>
      <c r="E112" s="294" t="e">
        <f t="shared" ref="E112:Y112" si="78">E110+E103+E92</f>
        <v>#REF!</v>
      </c>
      <c r="F112" s="294" t="e">
        <f t="shared" si="78"/>
        <v>#REF!</v>
      </c>
      <c r="G112" s="294" t="e">
        <f t="shared" si="78"/>
        <v>#REF!</v>
      </c>
      <c r="H112" s="270" t="e">
        <f t="shared" si="78"/>
        <v>#REF!</v>
      </c>
      <c r="I112" s="270" t="e">
        <f t="shared" si="78"/>
        <v>#REF!</v>
      </c>
      <c r="J112" s="270" t="e">
        <f t="shared" si="78"/>
        <v>#REF!</v>
      </c>
      <c r="K112" s="270" t="e">
        <f t="shared" si="78"/>
        <v>#REF!</v>
      </c>
      <c r="L112" s="270" t="e">
        <f t="shared" si="78"/>
        <v>#REF!</v>
      </c>
      <c r="M112" s="270" t="e">
        <f t="shared" si="78"/>
        <v>#REF!</v>
      </c>
      <c r="N112" s="270" t="e">
        <f t="shared" si="78"/>
        <v>#REF!</v>
      </c>
      <c r="O112" s="270" t="e">
        <f t="shared" si="78"/>
        <v>#REF!</v>
      </c>
      <c r="P112" s="270" t="e">
        <f t="shared" si="78"/>
        <v>#REF!</v>
      </c>
      <c r="Q112" s="270" t="e">
        <f t="shared" si="78"/>
        <v>#REF!</v>
      </c>
      <c r="R112" s="270" t="e">
        <f t="shared" si="78"/>
        <v>#REF!</v>
      </c>
      <c r="S112" s="270" t="e">
        <f t="shared" si="78"/>
        <v>#REF!</v>
      </c>
      <c r="T112" s="270" t="e">
        <f t="shared" si="78"/>
        <v>#REF!</v>
      </c>
      <c r="U112" s="270" t="e">
        <f t="shared" si="78"/>
        <v>#REF!</v>
      </c>
      <c r="V112" s="270" t="e">
        <f t="shared" si="78"/>
        <v>#REF!</v>
      </c>
      <c r="W112" s="270" t="e">
        <f t="shared" si="78"/>
        <v>#REF!</v>
      </c>
      <c r="X112" s="270" t="e">
        <f t="shared" si="78"/>
        <v>#REF!</v>
      </c>
      <c r="Y112" s="270" t="e">
        <f t="shared" si="78"/>
        <v>#REF!</v>
      </c>
    </row>
    <row r="113" spans="2:25" ht="12">
      <c r="B113" s="47" t="s">
        <v>366</v>
      </c>
      <c r="C113" s="45" t="s">
        <v>97</v>
      </c>
      <c r="D113" s="294">
        <v>80.781000000000006</v>
      </c>
      <c r="E113" s="294">
        <f t="shared" ref="E113:Y113" si="79">D114</f>
        <v>38.487000000000009</v>
      </c>
      <c r="F113" s="294" t="e">
        <f t="shared" si="79"/>
        <v>#REF!</v>
      </c>
      <c r="G113" s="294" t="e">
        <f t="shared" si="79"/>
        <v>#REF!</v>
      </c>
      <c r="H113" s="270" t="e">
        <f t="shared" si="79"/>
        <v>#REF!</v>
      </c>
      <c r="I113" s="270" t="e">
        <f t="shared" si="79"/>
        <v>#REF!</v>
      </c>
      <c r="J113" s="270" t="e">
        <f t="shared" si="79"/>
        <v>#REF!</v>
      </c>
      <c r="K113" s="270" t="e">
        <f t="shared" si="79"/>
        <v>#REF!</v>
      </c>
      <c r="L113" s="270" t="e">
        <f t="shared" si="79"/>
        <v>#REF!</v>
      </c>
      <c r="M113" s="270" t="e">
        <f t="shared" si="79"/>
        <v>#REF!</v>
      </c>
      <c r="N113" s="270" t="e">
        <f t="shared" si="79"/>
        <v>#REF!</v>
      </c>
      <c r="O113" s="270" t="e">
        <f t="shared" si="79"/>
        <v>#REF!</v>
      </c>
      <c r="P113" s="270" t="e">
        <f t="shared" si="79"/>
        <v>#REF!</v>
      </c>
      <c r="Q113" s="270" t="e">
        <f t="shared" si="79"/>
        <v>#REF!</v>
      </c>
      <c r="R113" s="270" t="e">
        <f t="shared" si="79"/>
        <v>#REF!</v>
      </c>
      <c r="S113" s="270" t="e">
        <f t="shared" si="79"/>
        <v>#REF!</v>
      </c>
      <c r="T113" s="270" t="e">
        <f t="shared" si="79"/>
        <v>#REF!</v>
      </c>
      <c r="U113" s="270" t="e">
        <f t="shared" si="79"/>
        <v>#REF!</v>
      </c>
      <c r="V113" s="270" t="e">
        <f t="shared" si="79"/>
        <v>#REF!</v>
      </c>
      <c r="W113" s="270" t="e">
        <f t="shared" si="79"/>
        <v>#REF!</v>
      </c>
      <c r="X113" s="270" t="e">
        <f t="shared" si="79"/>
        <v>#REF!</v>
      </c>
      <c r="Y113" s="270" t="e">
        <f t="shared" si="79"/>
        <v>#REF!</v>
      </c>
    </row>
    <row r="114" spans="2:25" s="3" customFormat="1" ht="12">
      <c r="B114" s="55" t="s">
        <v>367</v>
      </c>
      <c r="C114" s="53" t="s">
        <v>98</v>
      </c>
      <c r="D114" s="290">
        <f>D113+D112</f>
        <v>38.487000000000009</v>
      </c>
      <c r="E114" s="290" t="e">
        <f t="shared" ref="E114:Y114" si="80">E113+E112</f>
        <v>#REF!</v>
      </c>
      <c r="F114" s="290" t="e">
        <f t="shared" si="80"/>
        <v>#REF!</v>
      </c>
      <c r="G114" s="290" t="e">
        <f t="shared" si="80"/>
        <v>#REF!</v>
      </c>
      <c r="H114" s="290" t="e">
        <f t="shared" si="80"/>
        <v>#REF!</v>
      </c>
      <c r="I114" s="290" t="e">
        <f t="shared" si="80"/>
        <v>#REF!</v>
      </c>
      <c r="J114" s="290" t="e">
        <f t="shared" si="80"/>
        <v>#REF!</v>
      </c>
      <c r="K114" s="290" t="e">
        <f t="shared" si="80"/>
        <v>#REF!</v>
      </c>
      <c r="L114" s="290" t="e">
        <f t="shared" si="80"/>
        <v>#REF!</v>
      </c>
      <c r="M114" s="290" t="e">
        <f t="shared" si="80"/>
        <v>#REF!</v>
      </c>
      <c r="N114" s="290" t="e">
        <f t="shared" si="80"/>
        <v>#REF!</v>
      </c>
      <c r="O114" s="290" t="e">
        <f t="shared" si="80"/>
        <v>#REF!</v>
      </c>
      <c r="P114" s="290" t="e">
        <f t="shared" si="80"/>
        <v>#REF!</v>
      </c>
      <c r="Q114" s="290" t="e">
        <f t="shared" si="80"/>
        <v>#REF!</v>
      </c>
      <c r="R114" s="290" t="e">
        <f t="shared" si="80"/>
        <v>#REF!</v>
      </c>
      <c r="S114" s="290" t="e">
        <f t="shared" si="80"/>
        <v>#REF!</v>
      </c>
      <c r="T114" s="290" t="e">
        <f t="shared" si="80"/>
        <v>#REF!</v>
      </c>
      <c r="U114" s="290" t="e">
        <f t="shared" si="80"/>
        <v>#REF!</v>
      </c>
      <c r="V114" s="290" t="e">
        <f t="shared" si="80"/>
        <v>#REF!</v>
      </c>
      <c r="W114" s="290" t="e">
        <f t="shared" si="80"/>
        <v>#REF!</v>
      </c>
      <c r="X114" s="290" t="e">
        <f t="shared" si="80"/>
        <v>#REF!</v>
      </c>
      <c r="Y114" s="290" t="e">
        <f t="shared" si="80"/>
        <v>#REF!</v>
      </c>
    </row>
    <row r="115" spans="2:25">
      <c r="B115" s="47"/>
      <c r="C115" s="45"/>
      <c r="D115" s="416"/>
      <c r="E115" s="417"/>
      <c r="F115" s="417"/>
      <c r="G115" s="417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</row>
    <row r="116" spans="2:25">
      <c r="B116" s="54"/>
      <c r="C116" s="45"/>
    </row>
    <row r="120" spans="2:25">
      <c r="C120" s="276"/>
    </row>
    <row r="121" spans="2:25">
      <c r="C121" s="107"/>
    </row>
    <row r="124" spans="2:25" ht="16.75" customHeight="1">
      <c r="B124" s="47"/>
      <c r="C124" s="1"/>
      <c r="D124" s="57"/>
    </row>
    <row r="125" spans="2:25">
      <c r="B125" s="67"/>
      <c r="C125" s="62"/>
      <c r="D125" s="57"/>
    </row>
    <row r="126" spans="2:25">
      <c r="B126" s="55"/>
      <c r="C126" s="1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</row>
    <row r="127" spans="2:25">
      <c r="B127" s="47"/>
      <c r="C127" s="1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</row>
    <row r="128" spans="2:25">
      <c r="B128" s="47"/>
      <c r="C128" s="1"/>
      <c r="D128" s="57"/>
    </row>
    <row r="129" spans="2:25">
      <c r="B129" s="47"/>
      <c r="C129" s="1"/>
      <c r="D129" s="57"/>
    </row>
    <row r="130" spans="2:25">
      <c r="B130" s="47"/>
      <c r="C130" s="1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</row>
    <row r="131" spans="2:25">
      <c r="B131" s="47"/>
      <c r="C131" s="1"/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</row>
    <row r="132" spans="2:25">
      <c r="B132" s="47"/>
      <c r="C132" s="1"/>
      <c r="D132" s="263"/>
      <c r="E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</row>
    <row r="133" spans="2:25">
      <c r="D133" s="57"/>
    </row>
    <row r="134" spans="2:25">
      <c r="D134" s="57"/>
    </row>
    <row r="135" spans="2:25">
      <c r="B135" s="68" t="s">
        <v>368</v>
      </c>
      <c r="C135" s="68"/>
      <c r="D135" s="69"/>
      <c r="E135" s="69"/>
      <c r="F135" s="68"/>
      <c r="G135" s="68"/>
      <c r="H135" s="68"/>
      <c r="I135" s="68"/>
      <c r="J135" s="68"/>
      <c r="K135" s="68"/>
      <c r="L135" s="68"/>
      <c r="M135" s="68"/>
      <c r="N135" s="68"/>
      <c r="O135" s="68"/>
    </row>
    <row r="136" spans="2:25">
      <c r="B136" s="68" t="s">
        <v>369</v>
      </c>
      <c r="C136" s="68" t="s">
        <v>370</v>
      </c>
      <c r="D136" s="277"/>
      <c r="E136" s="284"/>
      <c r="F136" s="284">
        <v>20</v>
      </c>
      <c r="G136" s="277"/>
      <c r="H136" s="70"/>
      <c r="I136" s="70"/>
      <c r="J136" s="70"/>
      <c r="K136" s="70"/>
      <c r="L136" s="278"/>
    </row>
    <row r="137" spans="2:25">
      <c r="B137" s="68" t="s">
        <v>371</v>
      </c>
      <c r="C137" s="68" t="s">
        <v>370</v>
      </c>
      <c r="D137" s="277"/>
      <c r="E137" s="284"/>
      <c r="F137" s="284">
        <v>10</v>
      </c>
      <c r="G137" s="277"/>
      <c r="H137" s="70"/>
      <c r="I137" s="70"/>
      <c r="J137" s="70"/>
      <c r="K137" s="70"/>
      <c r="L137" s="278"/>
    </row>
    <row r="138" spans="2:25">
      <c r="B138" s="71" t="s">
        <v>372</v>
      </c>
      <c r="C138" s="68" t="s">
        <v>373</v>
      </c>
      <c r="D138" s="72"/>
      <c r="E138" s="72"/>
      <c r="F138" s="72"/>
      <c r="G138" s="72"/>
      <c r="H138" s="73"/>
      <c r="I138" s="73"/>
      <c r="J138" s="73"/>
      <c r="K138" s="73"/>
      <c r="L138" s="279"/>
    </row>
    <row r="139" spans="2:25">
      <c r="B139" s="68" t="s">
        <v>374</v>
      </c>
      <c r="C139" s="68" t="s">
        <v>375</v>
      </c>
      <c r="D139" s="280"/>
      <c r="E139" s="280"/>
      <c r="F139" s="280">
        <f>F136*F137</f>
        <v>200</v>
      </c>
      <c r="G139" s="281"/>
      <c r="H139" s="70">
        <v>0</v>
      </c>
      <c r="I139" s="70">
        <v>0</v>
      </c>
      <c r="J139" s="70">
        <v>0</v>
      </c>
      <c r="K139" s="70">
        <v>0</v>
      </c>
      <c r="L139" s="278">
        <v>0</v>
      </c>
    </row>
    <row r="140" spans="2:25">
      <c r="B140" s="68" t="s">
        <v>376</v>
      </c>
      <c r="C140" s="68" t="s">
        <v>377</v>
      </c>
      <c r="D140" s="74"/>
      <c r="E140" s="106"/>
      <c r="F140" s="106">
        <f>F136*0.0001</f>
        <v>2E-3</v>
      </c>
      <c r="G140" s="74"/>
      <c r="H140" s="282">
        <v>0</v>
      </c>
      <c r="I140" s="282">
        <v>0</v>
      </c>
      <c r="J140" s="282">
        <v>0</v>
      </c>
      <c r="K140" s="282">
        <v>0</v>
      </c>
      <c r="L140" s="75">
        <v>0</v>
      </c>
    </row>
    <row r="141" spans="2:25">
      <c r="B141" s="68" t="s">
        <v>378</v>
      </c>
      <c r="C141" s="68" t="s">
        <v>379</v>
      </c>
      <c r="D141" s="283"/>
      <c r="E141" s="283"/>
      <c r="F141" s="283">
        <f>F139-F140</f>
        <v>199.99799999999999</v>
      </c>
      <c r="G141" s="277"/>
      <c r="H141" s="70">
        <v>0</v>
      </c>
      <c r="I141" s="70">
        <v>0</v>
      </c>
      <c r="J141" s="70">
        <v>0</v>
      </c>
      <c r="K141" s="70">
        <v>0</v>
      </c>
      <c r="L141" s="278">
        <v>0</v>
      </c>
    </row>
    <row r="143" spans="2:25">
      <c r="B143" s="68" t="s">
        <v>380</v>
      </c>
      <c r="C143" s="68" t="s">
        <v>370</v>
      </c>
      <c r="D143" s="277"/>
      <c r="E143" s="70"/>
      <c r="F143" s="70"/>
      <c r="G143" s="70"/>
      <c r="H143" s="70"/>
      <c r="I143" s="70"/>
      <c r="J143" s="70"/>
      <c r="K143" s="70"/>
      <c r="L143" s="278"/>
    </row>
    <row r="144" spans="2:25">
      <c r="B144" s="68" t="s">
        <v>381</v>
      </c>
      <c r="C144" s="68" t="s">
        <v>370</v>
      </c>
      <c r="D144" s="277"/>
      <c r="E144" s="70"/>
      <c r="F144" s="70"/>
      <c r="G144" s="70"/>
      <c r="H144" s="70"/>
      <c r="I144" s="70"/>
      <c r="J144" s="70"/>
      <c r="K144" s="70"/>
      <c r="L144" s="278"/>
    </row>
    <row r="145" spans="1:25">
      <c r="B145" s="71" t="s">
        <v>372</v>
      </c>
      <c r="C145" s="68" t="s">
        <v>373</v>
      </c>
      <c r="D145" s="72"/>
      <c r="E145" s="72"/>
      <c r="F145" s="72"/>
      <c r="G145" s="72"/>
      <c r="H145" s="72"/>
      <c r="I145" s="72"/>
      <c r="J145" s="72"/>
      <c r="K145" s="72"/>
      <c r="L145" s="76"/>
    </row>
    <row r="146" spans="1:25">
      <c r="B146" s="68" t="s">
        <v>374</v>
      </c>
      <c r="C146" s="68" t="s">
        <v>382</v>
      </c>
      <c r="D146" s="281"/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285">
        <v>0</v>
      </c>
    </row>
    <row r="147" spans="1:25">
      <c r="B147" s="68" t="s">
        <v>376</v>
      </c>
      <c r="C147" s="68" t="s">
        <v>383</v>
      </c>
      <c r="D147" s="74"/>
      <c r="E147" s="282">
        <v>0</v>
      </c>
      <c r="F147" s="282">
        <v>0</v>
      </c>
      <c r="G147" s="282">
        <v>0</v>
      </c>
      <c r="H147" s="282">
        <v>0</v>
      </c>
      <c r="I147" s="282">
        <v>0</v>
      </c>
      <c r="J147" s="282">
        <v>0</v>
      </c>
      <c r="K147" s="282">
        <v>0</v>
      </c>
      <c r="L147" s="75">
        <v>0</v>
      </c>
    </row>
    <row r="148" spans="1:25">
      <c r="B148" s="68" t="s">
        <v>378</v>
      </c>
      <c r="C148" s="68" t="s">
        <v>379</v>
      </c>
      <c r="D148" s="277"/>
      <c r="E148" s="70">
        <v>0</v>
      </c>
      <c r="F148" s="70">
        <v>0</v>
      </c>
      <c r="G148" s="70">
        <v>0</v>
      </c>
      <c r="H148" s="70">
        <v>0</v>
      </c>
      <c r="I148" s="70">
        <v>0</v>
      </c>
      <c r="J148" s="70">
        <v>0</v>
      </c>
      <c r="K148" s="70">
        <v>0</v>
      </c>
      <c r="L148" s="278">
        <v>0</v>
      </c>
    </row>
    <row r="150" spans="1:25" s="78" customFormat="1">
      <c r="A150" s="1"/>
      <c r="B150" s="68" t="s">
        <v>384</v>
      </c>
      <c r="C150" s="68" t="s">
        <v>370</v>
      </c>
      <c r="D150" s="277"/>
      <c r="E150" s="277"/>
      <c r="F150" s="277"/>
      <c r="G150" s="277"/>
      <c r="H150" s="277"/>
      <c r="I150" s="277">
        <v>10</v>
      </c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</row>
    <row r="151" spans="1:25" s="78" customFormat="1">
      <c r="A151" s="1"/>
      <c r="B151" s="68" t="s">
        <v>385</v>
      </c>
      <c r="C151" s="68" t="s">
        <v>370</v>
      </c>
      <c r="D151" s="277"/>
      <c r="E151" s="277"/>
      <c r="F151" s="277"/>
      <c r="G151" s="277"/>
      <c r="H151" s="277"/>
      <c r="I151" s="277">
        <v>10</v>
      </c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</row>
    <row r="152" spans="1:25" s="78" customFormat="1">
      <c r="A152" s="1"/>
      <c r="B152" s="71" t="s">
        <v>372</v>
      </c>
      <c r="C152" s="68" t="s">
        <v>373</v>
      </c>
      <c r="D152" s="72"/>
      <c r="E152" s="72"/>
      <c r="F152" s="72"/>
      <c r="G152" s="72"/>
      <c r="H152" s="72"/>
      <c r="I152" s="72"/>
      <c r="J152" s="72"/>
      <c r="K152" s="72"/>
      <c r="L152" s="76"/>
      <c r="M152" s="72"/>
      <c r="N152" s="72"/>
      <c r="O152" s="72"/>
      <c r="P152" s="72"/>
      <c r="Q152" s="72"/>
      <c r="R152" s="72"/>
      <c r="S152" s="72"/>
      <c r="T152" s="72"/>
      <c r="U152" s="76"/>
      <c r="V152" s="72"/>
      <c r="W152" s="72"/>
      <c r="X152" s="72"/>
      <c r="Y152" s="72"/>
    </row>
    <row r="153" spans="1:25" s="78" customFormat="1">
      <c r="A153" s="1"/>
      <c r="B153" s="68" t="s">
        <v>374</v>
      </c>
      <c r="C153" s="68" t="s">
        <v>386</v>
      </c>
      <c r="D153" s="281">
        <f>D150*D151</f>
        <v>0</v>
      </c>
      <c r="E153" s="280">
        <f>E150*E151</f>
        <v>0</v>
      </c>
      <c r="F153" s="280"/>
      <c r="G153" s="280"/>
      <c r="H153" s="280">
        <f>H150*H151</f>
        <v>0</v>
      </c>
      <c r="I153" s="280">
        <f t="shared" ref="I153:Y153" si="81">I150*I151</f>
        <v>100</v>
      </c>
      <c r="J153" s="280">
        <f t="shared" si="81"/>
        <v>0</v>
      </c>
      <c r="K153" s="280">
        <f t="shared" si="81"/>
        <v>0</v>
      </c>
      <c r="L153" s="280">
        <f t="shared" si="81"/>
        <v>0</v>
      </c>
      <c r="M153" s="280">
        <f t="shared" si="81"/>
        <v>0</v>
      </c>
      <c r="N153" s="280">
        <f t="shared" si="81"/>
        <v>0</v>
      </c>
      <c r="O153" s="280">
        <f t="shared" si="81"/>
        <v>0</v>
      </c>
      <c r="P153" s="280">
        <f t="shared" si="81"/>
        <v>0</v>
      </c>
      <c r="Q153" s="280">
        <f t="shared" si="81"/>
        <v>0</v>
      </c>
      <c r="R153" s="280">
        <f t="shared" si="81"/>
        <v>0</v>
      </c>
      <c r="S153" s="280">
        <f t="shared" si="81"/>
        <v>0</v>
      </c>
      <c r="T153" s="280">
        <f t="shared" si="81"/>
        <v>0</v>
      </c>
      <c r="U153" s="280">
        <f t="shared" si="81"/>
        <v>0</v>
      </c>
      <c r="V153" s="280">
        <f t="shared" si="81"/>
        <v>0</v>
      </c>
      <c r="W153" s="280">
        <f t="shared" si="81"/>
        <v>0</v>
      </c>
      <c r="X153" s="280">
        <f t="shared" si="81"/>
        <v>0</v>
      </c>
      <c r="Y153" s="280">
        <f t="shared" si="81"/>
        <v>0</v>
      </c>
    </row>
    <row r="154" spans="1:25" s="78" customFormat="1">
      <c r="A154" s="1"/>
      <c r="B154" s="68" t="s">
        <v>376</v>
      </c>
      <c r="C154" s="68" t="s">
        <v>387</v>
      </c>
      <c r="D154" s="74">
        <f>D150*1</f>
        <v>0</v>
      </c>
      <c r="E154" s="74">
        <f>E150*0.0001*6.8</f>
        <v>0</v>
      </c>
      <c r="F154" s="74"/>
      <c r="G154" s="74"/>
      <c r="H154" s="74">
        <f>H150*0.0001*6.8</f>
        <v>0</v>
      </c>
      <c r="I154" s="74">
        <f>I150*0.0001</f>
        <v>1E-3</v>
      </c>
      <c r="J154" s="74">
        <f t="shared" ref="J154:Y154" si="82">J150*0.0001*6.8</f>
        <v>0</v>
      </c>
      <c r="K154" s="74">
        <f t="shared" si="82"/>
        <v>0</v>
      </c>
      <c r="L154" s="74">
        <f t="shared" si="82"/>
        <v>0</v>
      </c>
      <c r="M154" s="74">
        <f t="shared" si="82"/>
        <v>0</v>
      </c>
      <c r="N154" s="74">
        <f t="shared" si="82"/>
        <v>0</v>
      </c>
      <c r="O154" s="74">
        <f t="shared" si="82"/>
        <v>0</v>
      </c>
      <c r="P154" s="74">
        <f t="shared" si="82"/>
        <v>0</v>
      </c>
      <c r="Q154" s="74">
        <f t="shared" si="82"/>
        <v>0</v>
      </c>
      <c r="R154" s="74">
        <f t="shared" si="82"/>
        <v>0</v>
      </c>
      <c r="S154" s="74">
        <f t="shared" si="82"/>
        <v>0</v>
      </c>
      <c r="T154" s="74">
        <f t="shared" si="82"/>
        <v>0</v>
      </c>
      <c r="U154" s="74">
        <f t="shared" si="82"/>
        <v>0</v>
      </c>
      <c r="V154" s="74">
        <f t="shared" si="82"/>
        <v>0</v>
      </c>
      <c r="W154" s="74">
        <f t="shared" si="82"/>
        <v>0</v>
      </c>
      <c r="X154" s="74">
        <f t="shared" si="82"/>
        <v>0</v>
      </c>
      <c r="Y154" s="74">
        <f t="shared" si="82"/>
        <v>0</v>
      </c>
    </row>
    <row r="155" spans="1:25" s="78" customFormat="1">
      <c r="A155" s="1"/>
      <c r="B155" s="68" t="s">
        <v>378</v>
      </c>
      <c r="C155" s="68" t="s">
        <v>379</v>
      </c>
      <c r="D155" s="277">
        <f>D153-D154</f>
        <v>0</v>
      </c>
      <c r="E155" s="283">
        <f>E153-E154</f>
        <v>0</v>
      </c>
      <c r="F155" s="283"/>
      <c r="G155" s="283"/>
      <c r="H155" s="283">
        <f>H153-H154</f>
        <v>0</v>
      </c>
      <c r="I155" s="283">
        <f t="shared" ref="I155:Y155" si="83">I153-I154</f>
        <v>99.998999999999995</v>
      </c>
      <c r="J155" s="283">
        <f t="shared" si="83"/>
        <v>0</v>
      </c>
      <c r="K155" s="283">
        <f t="shared" si="83"/>
        <v>0</v>
      </c>
      <c r="L155" s="283">
        <f t="shared" si="83"/>
        <v>0</v>
      </c>
      <c r="M155" s="283">
        <f t="shared" si="83"/>
        <v>0</v>
      </c>
      <c r="N155" s="283">
        <f t="shared" si="83"/>
        <v>0</v>
      </c>
      <c r="O155" s="283">
        <f t="shared" si="83"/>
        <v>0</v>
      </c>
      <c r="P155" s="283">
        <f t="shared" si="83"/>
        <v>0</v>
      </c>
      <c r="Q155" s="283">
        <f t="shared" si="83"/>
        <v>0</v>
      </c>
      <c r="R155" s="283">
        <f t="shared" si="83"/>
        <v>0</v>
      </c>
      <c r="S155" s="283">
        <f t="shared" si="83"/>
        <v>0</v>
      </c>
      <c r="T155" s="283">
        <f t="shared" si="83"/>
        <v>0</v>
      </c>
      <c r="U155" s="283">
        <f t="shared" si="83"/>
        <v>0</v>
      </c>
      <c r="V155" s="283">
        <f t="shared" si="83"/>
        <v>0</v>
      </c>
      <c r="W155" s="283">
        <f t="shared" si="83"/>
        <v>0</v>
      </c>
      <c r="X155" s="283">
        <f t="shared" si="83"/>
        <v>0</v>
      </c>
      <c r="Y155" s="283">
        <f t="shared" si="83"/>
        <v>0</v>
      </c>
    </row>
    <row r="157" spans="1:25">
      <c r="B157" s="68" t="s">
        <v>388</v>
      </c>
      <c r="C157" s="68" t="s">
        <v>370</v>
      </c>
      <c r="D157" s="70"/>
      <c r="E157" s="70"/>
      <c r="F157" s="70"/>
      <c r="G157" s="70"/>
      <c r="H157" s="70"/>
      <c r="I157" s="70"/>
      <c r="J157" s="70"/>
      <c r="K157" s="70"/>
      <c r="L157" s="278"/>
      <c r="M157" s="70"/>
      <c r="N157" s="278"/>
      <c r="O157" s="70"/>
      <c r="P157" s="278"/>
      <c r="Q157" s="70"/>
      <c r="R157" s="278"/>
      <c r="S157" s="70"/>
      <c r="T157" s="278"/>
      <c r="U157" s="70"/>
      <c r="V157" s="278"/>
      <c r="W157" s="70"/>
      <c r="X157" s="278"/>
      <c r="Y157" s="70"/>
    </row>
    <row r="158" spans="1:25">
      <c r="B158" s="68" t="s">
        <v>389</v>
      </c>
      <c r="C158" s="68" t="s">
        <v>370</v>
      </c>
      <c r="D158" s="70"/>
      <c r="E158" s="70"/>
      <c r="F158" s="70"/>
      <c r="G158" s="70"/>
      <c r="H158" s="70"/>
      <c r="I158" s="70"/>
      <c r="J158" s="70"/>
      <c r="K158" s="70"/>
      <c r="L158" s="278"/>
      <c r="M158" s="70"/>
      <c r="N158" s="278"/>
      <c r="O158" s="70"/>
      <c r="P158" s="278"/>
      <c r="Q158" s="70"/>
      <c r="R158" s="278"/>
      <c r="S158" s="70"/>
      <c r="T158" s="278"/>
      <c r="U158" s="70"/>
      <c r="V158" s="278"/>
      <c r="W158" s="70"/>
      <c r="X158" s="278"/>
      <c r="Y158" s="70"/>
    </row>
    <row r="159" spans="1:25">
      <c r="B159" s="68" t="s">
        <v>390</v>
      </c>
      <c r="C159" s="68" t="s">
        <v>391</v>
      </c>
      <c r="D159" s="77">
        <v>0</v>
      </c>
      <c r="E159" s="77">
        <v>0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285">
        <v>0</v>
      </c>
      <c r="M159" s="77">
        <v>0</v>
      </c>
      <c r="N159" s="285">
        <v>0</v>
      </c>
      <c r="O159" s="77">
        <v>0</v>
      </c>
      <c r="P159" s="285">
        <v>0</v>
      </c>
      <c r="Q159" s="77">
        <v>0</v>
      </c>
      <c r="R159" s="285">
        <v>0</v>
      </c>
      <c r="S159" s="77">
        <v>0</v>
      </c>
      <c r="T159" s="285">
        <v>0</v>
      </c>
      <c r="U159" s="77">
        <v>0</v>
      </c>
      <c r="V159" s="285">
        <v>0</v>
      </c>
      <c r="W159" s="77">
        <v>0</v>
      </c>
      <c r="X159" s="285">
        <v>0</v>
      </c>
      <c r="Y159" s="77">
        <v>0</v>
      </c>
    </row>
    <row r="160" spans="1:25">
      <c r="B160" s="68" t="s">
        <v>392</v>
      </c>
      <c r="C160" s="68" t="s">
        <v>393</v>
      </c>
      <c r="D160" s="282">
        <v>0</v>
      </c>
      <c r="E160" s="282">
        <v>0</v>
      </c>
      <c r="F160" s="282">
        <v>0</v>
      </c>
      <c r="G160" s="282">
        <v>0</v>
      </c>
      <c r="H160" s="282">
        <v>0</v>
      </c>
      <c r="I160" s="282">
        <v>0</v>
      </c>
      <c r="J160" s="282">
        <v>0</v>
      </c>
      <c r="K160" s="282">
        <v>0</v>
      </c>
      <c r="L160" s="75">
        <v>0</v>
      </c>
      <c r="M160" s="282">
        <v>0</v>
      </c>
      <c r="N160" s="75">
        <v>0</v>
      </c>
      <c r="O160" s="282">
        <v>0</v>
      </c>
      <c r="P160" s="75">
        <v>0</v>
      </c>
      <c r="Q160" s="282">
        <v>0</v>
      </c>
      <c r="R160" s="75">
        <v>0</v>
      </c>
      <c r="S160" s="282">
        <v>0</v>
      </c>
      <c r="T160" s="75">
        <v>0</v>
      </c>
      <c r="U160" s="282">
        <v>0</v>
      </c>
      <c r="V160" s="75">
        <v>0</v>
      </c>
      <c r="W160" s="282">
        <v>0</v>
      </c>
      <c r="X160" s="75">
        <v>0</v>
      </c>
      <c r="Y160" s="282">
        <v>0</v>
      </c>
    </row>
    <row r="161" spans="2:25">
      <c r="B161" s="68" t="s">
        <v>394</v>
      </c>
      <c r="C161" s="68" t="s">
        <v>395</v>
      </c>
      <c r="D161" s="70">
        <v>0</v>
      </c>
      <c r="E161" s="70">
        <v>0</v>
      </c>
      <c r="F161" s="70">
        <v>0</v>
      </c>
      <c r="G161" s="70">
        <v>0</v>
      </c>
      <c r="H161" s="70">
        <v>0</v>
      </c>
      <c r="I161" s="70">
        <v>0</v>
      </c>
      <c r="J161" s="70">
        <v>0</v>
      </c>
      <c r="K161" s="70">
        <v>0</v>
      </c>
      <c r="L161" s="278">
        <v>0</v>
      </c>
      <c r="M161" s="70">
        <v>0</v>
      </c>
      <c r="N161" s="278">
        <v>0</v>
      </c>
      <c r="O161" s="70">
        <v>0</v>
      </c>
      <c r="P161" s="278">
        <v>0</v>
      </c>
      <c r="Q161" s="70">
        <v>0</v>
      </c>
      <c r="R161" s="278">
        <v>0</v>
      </c>
      <c r="S161" s="70">
        <v>0</v>
      </c>
      <c r="T161" s="278">
        <v>0</v>
      </c>
      <c r="U161" s="70">
        <v>0</v>
      </c>
      <c r="V161" s="278">
        <v>0</v>
      </c>
      <c r="W161" s="70">
        <v>0</v>
      </c>
      <c r="X161" s="278">
        <v>0</v>
      </c>
      <c r="Y161" s="70">
        <v>0</v>
      </c>
    </row>
    <row r="163" spans="2:25">
      <c r="B163" s="68" t="s">
        <v>396</v>
      </c>
      <c r="C163" s="68" t="s">
        <v>370</v>
      </c>
      <c r="D163" s="70"/>
      <c r="E163" s="70"/>
      <c r="F163" s="70"/>
      <c r="G163" s="70"/>
      <c r="H163" s="70"/>
      <c r="I163" s="70"/>
      <c r="J163" s="70"/>
      <c r="K163" s="70"/>
      <c r="L163" s="278"/>
      <c r="M163" s="70"/>
      <c r="N163" s="278"/>
      <c r="O163" s="70"/>
      <c r="P163" s="278"/>
      <c r="Q163" s="70"/>
      <c r="R163" s="278"/>
      <c r="S163" s="70"/>
      <c r="T163" s="278"/>
      <c r="U163" s="70"/>
      <c r="V163" s="278"/>
      <c r="W163" s="70"/>
      <c r="X163" s="278"/>
      <c r="Y163" s="70"/>
    </row>
    <row r="164" spans="2:25">
      <c r="B164" s="68" t="s">
        <v>397</v>
      </c>
      <c r="C164" s="68" t="s">
        <v>370</v>
      </c>
      <c r="D164" s="70"/>
      <c r="E164" s="70"/>
      <c r="F164" s="70"/>
      <c r="G164" s="70"/>
      <c r="H164" s="70"/>
      <c r="I164" s="70"/>
      <c r="J164" s="70"/>
      <c r="K164" s="70"/>
      <c r="L164" s="278"/>
      <c r="M164" s="70"/>
      <c r="N164" s="278"/>
      <c r="O164" s="70"/>
      <c r="P164" s="278"/>
      <c r="Q164" s="70"/>
      <c r="R164" s="278"/>
      <c r="S164" s="70"/>
      <c r="T164" s="278"/>
      <c r="U164" s="70"/>
      <c r="V164" s="278"/>
      <c r="W164" s="70"/>
      <c r="X164" s="278"/>
      <c r="Y164" s="70"/>
    </row>
    <row r="165" spans="2:25">
      <c r="B165" s="71" t="s">
        <v>372</v>
      </c>
      <c r="C165" s="68" t="s">
        <v>373</v>
      </c>
      <c r="D165" s="72"/>
      <c r="E165" s="72"/>
      <c r="F165" s="72"/>
      <c r="G165" s="72"/>
      <c r="H165" s="72"/>
      <c r="I165" s="72"/>
      <c r="J165" s="72"/>
      <c r="K165" s="72"/>
      <c r="L165" s="76"/>
      <c r="M165" s="72"/>
      <c r="N165" s="76"/>
      <c r="O165" s="72"/>
      <c r="P165" s="76"/>
      <c r="Q165" s="72"/>
      <c r="R165" s="76"/>
      <c r="S165" s="72"/>
      <c r="T165" s="76"/>
      <c r="U165" s="72"/>
      <c r="V165" s="76"/>
      <c r="W165" s="72"/>
      <c r="X165" s="76"/>
      <c r="Y165" s="72"/>
    </row>
    <row r="166" spans="2:25">
      <c r="B166" s="68" t="s">
        <v>398</v>
      </c>
      <c r="C166" s="68" t="s">
        <v>399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285">
        <v>0</v>
      </c>
      <c r="M166" s="77">
        <v>0</v>
      </c>
      <c r="N166" s="285">
        <v>0</v>
      </c>
      <c r="O166" s="77">
        <v>0</v>
      </c>
      <c r="P166" s="285">
        <v>0</v>
      </c>
      <c r="Q166" s="77">
        <v>0</v>
      </c>
      <c r="R166" s="285">
        <v>0</v>
      </c>
      <c r="S166" s="77">
        <v>0</v>
      </c>
      <c r="T166" s="285">
        <v>0</v>
      </c>
      <c r="U166" s="77">
        <v>0</v>
      </c>
      <c r="V166" s="285">
        <v>0</v>
      </c>
      <c r="W166" s="77">
        <v>0</v>
      </c>
      <c r="X166" s="285">
        <v>0</v>
      </c>
      <c r="Y166" s="77">
        <v>0</v>
      </c>
    </row>
    <row r="167" spans="2:25">
      <c r="B167" s="68" t="s">
        <v>376</v>
      </c>
      <c r="C167" s="68" t="s">
        <v>400</v>
      </c>
      <c r="D167" s="79">
        <v>0</v>
      </c>
      <c r="E167" s="79">
        <v>0</v>
      </c>
      <c r="F167" s="79">
        <v>0</v>
      </c>
      <c r="G167" s="79">
        <v>0</v>
      </c>
      <c r="H167" s="79">
        <v>0</v>
      </c>
      <c r="I167" s="79">
        <v>0</v>
      </c>
      <c r="J167" s="79">
        <v>0</v>
      </c>
      <c r="K167" s="79">
        <v>0</v>
      </c>
      <c r="L167" s="80">
        <v>0</v>
      </c>
      <c r="M167" s="79">
        <v>0</v>
      </c>
      <c r="N167" s="80">
        <v>0</v>
      </c>
      <c r="O167" s="79">
        <v>0</v>
      </c>
      <c r="P167" s="80">
        <v>0</v>
      </c>
      <c r="Q167" s="79">
        <v>0</v>
      </c>
      <c r="R167" s="80">
        <v>0</v>
      </c>
      <c r="S167" s="79">
        <v>0</v>
      </c>
      <c r="T167" s="80">
        <v>0</v>
      </c>
      <c r="U167" s="79">
        <v>0</v>
      </c>
      <c r="V167" s="80">
        <v>0</v>
      </c>
      <c r="W167" s="79">
        <v>0</v>
      </c>
      <c r="X167" s="80">
        <v>0</v>
      </c>
      <c r="Y167" s="79">
        <v>0</v>
      </c>
    </row>
    <row r="168" spans="2:25">
      <c r="B168" s="68" t="s">
        <v>378</v>
      </c>
      <c r="C168" s="68" t="s">
        <v>401</v>
      </c>
      <c r="D168" s="70">
        <v>0</v>
      </c>
      <c r="E168" s="70">
        <v>0</v>
      </c>
      <c r="F168" s="70">
        <v>0</v>
      </c>
      <c r="G168" s="70">
        <v>0</v>
      </c>
      <c r="H168" s="70">
        <v>0</v>
      </c>
      <c r="I168" s="70">
        <v>0</v>
      </c>
      <c r="J168" s="70">
        <v>0</v>
      </c>
      <c r="K168" s="70">
        <v>0</v>
      </c>
      <c r="L168" s="278">
        <v>0</v>
      </c>
      <c r="M168" s="70">
        <v>0</v>
      </c>
      <c r="N168" s="278">
        <v>0</v>
      </c>
      <c r="O168" s="70">
        <v>0</v>
      </c>
      <c r="P168" s="278">
        <v>0</v>
      </c>
      <c r="Q168" s="70">
        <v>0</v>
      </c>
      <c r="R168" s="278">
        <v>0</v>
      </c>
      <c r="S168" s="70">
        <v>0</v>
      </c>
      <c r="T168" s="278">
        <v>0</v>
      </c>
      <c r="U168" s="70">
        <v>0</v>
      </c>
      <c r="V168" s="278">
        <v>0</v>
      </c>
      <c r="W168" s="70">
        <v>0</v>
      </c>
      <c r="X168" s="278">
        <v>0</v>
      </c>
      <c r="Y168" s="70">
        <v>0</v>
      </c>
    </row>
    <row r="170" spans="2:25">
      <c r="B170" s="68" t="s">
        <v>402</v>
      </c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 spans="2:25">
      <c r="B171" s="68" t="s">
        <v>403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 spans="2:25">
      <c r="B172" s="68" t="s">
        <v>404</v>
      </c>
      <c r="C172" s="68" t="s">
        <v>405</v>
      </c>
      <c r="D172" s="286" t="e">
        <f>#REF!</f>
        <v>#REF!</v>
      </c>
      <c r="E172" s="286">
        <f t="shared" ref="E172:Y172" si="84">D181</f>
        <v>306.03333333333336</v>
      </c>
      <c r="F172" s="286">
        <f t="shared" si="84"/>
        <v>306.03333333333336</v>
      </c>
      <c r="G172" s="286">
        <f t="shared" si="84"/>
        <v>326.03333333333336</v>
      </c>
      <c r="H172" s="286">
        <f t="shared" si="84"/>
        <v>326.03333333333336</v>
      </c>
      <c r="I172" s="286">
        <f t="shared" si="84"/>
        <v>326.03333333333336</v>
      </c>
      <c r="J172" s="286">
        <f t="shared" si="84"/>
        <v>336.03333333333336</v>
      </c>
      <c r="K172" s="286">
        <f t="shared" si="84"/>
        <v>336.03333333333336</v>
      </c>
      <c r="L172" s="286">
        <f t="shared" si="84"/>
        <v>336.03333333333336</v>
      </c>
      <c r="M172" s="286">
        <f t="shared" si="84"/>
        <v>336.03333333333336</v>
      </c>
      <c r="N172" s="286">
        <f t="shared" si="84"/>
        <v>336.03333333333336</v>
      </c>
      <c r="O172" s="286">
        <f t="shared" si="84"/>
        <v>336.03333333333336</v>
      </c>
      <c r="P172" s="286">
        <f t="shared" si="84"/>
        <v>336.03333333333336</v>
      </c>
      <c r="Q172" s="286">
        <f t="shared" si="84"/>
        <v>336.03333333333336</v>
      </c>
      <c r="R172" s="286">
        <f t="shared" si="84"/>
        <v>336.03333333333336</v>
      </c>
      <c r="S172" s="286">
        <f t="shared" si="84"/>
        <v>336.03333333333336</v>
      </c>
      <c r="T172" s="286">
        <f t="shared" si="84"/>
        <v>336.03333333333336</v>
      </c>
      <c r="U172" s="286">
        <f t="shared" si="84"/>
        <v>336.03333333333336</v>
      </c>
      <c r="V172" s="286">
        <f t="shared" si="84"/>
        <v>336.03333333333336</v>
      </c>
      <c r="W172" s="286">
        <f t="shared" si="84"/>
        <v>336.03333333333336</v>
      </c>
      <c r="X172" s="286">
        <f t="shared" si="84"/>
        <v>336.03333333333336</v>
      </c>
      <c r="Y172" s="286">
        <f t="shared" si="84"/>
        <v>336.03333333333336</v>
      </c>
    </row>
    <row r="173" spans="2:25">
      <c r="B173" s="68" t="s">
        <v>406</v>
      </c>
      <c r="C173" s="68" t="s">
        <v>407</v>
      </c>
      <c r="D173" s="282">
        <v>0</v>
      </c>
      <c r="E173" s="282">
        <v>0</v>
      </c>
      <c r="F173" s="282">
        <v>0</v>
      </c>
      <c r="G173" s="282">
        <v>0</v>
      </c>
      <c r="H173" s="282">
        <v>0</v>
      </c>
      <c r="I173" s="282">
        <v>0</v>
      </c>
      <c r="J173" s="282">
        <v>0</v>
      </c>
      <c r="K173" s="282">
        <v>0</v>
      </c>
      <c r="L173" s="75">
        <v>0</v>
      </c>
      <c r="M173" s="282">
        <v>0</v>
      </c>
      <c r="N173" s="75">
        <v>0</v>
      </c>
      <c r="O173" s="282">
        <v>0</v>
      </c>
      <c r="P173" s="75">
        <v>0</v>
      </c>
      <c r="Q173" s="282">
        <v>0</v>
      </c>
      <c r="R173" s="75">
        <v>0</v>
      </c>
      <c r="S173" s="282">
        <v>0</v>
      </c>
      <c r="T173" s="75">
        <v>0</v>
      </c>
      <c r="U173" s="282">
        <v>0</v>
      </c>
      <c r="V173" s="75">
        <v>0</v>
      </c>
      <c r="W173" s="282">
        <v>0</v>
      </c>
      <c r="X173" s="75">
        <v>0</v>
      </c>
      <c r="Y173" s="282">
        <v>0</v>
      </c>
    </row>
    <row r="174" spans="2:25">
      <c r="B174" s="68" t="s">
        <v>408</v>
      </c>
      <c r="C174" s="68" t="s">
        <v>409</v>
      </c>
      <c r="D174" s="282">
        <v>0</v>
      </c>
      <c r="E174" s="282">
        <v>0</v>
      </c>
      <c r="F174" s="282">
        <v>0</v>
      </c>
      <c r="G174" s="282">
        <v>0</v>
      </c>
      <c r="H174" s="282">
        <v>0</v>
      </c>
      <c r="I174" s="282">
        <v>0</v>
      </c>
      <c r="J174" s="282">
        <v>0</v>
      </c>
      <c r="K174" s="282">
        <v>0</v>
      </c>
      <c r="L174" s="75">
        <v>0</v>
      </c>
      <c r="M174" s="282">
        <v>0</v>
      </c>
      <c r="N174" s="75">
        <v>0</v>
      </c>
      <c r="O174" s="282">
        <v>0</v>
      </c>
      <c r="P174" s="75">
        <v>0</v>
      </c>
      <c r="Q174" s="282">
        <v>0</v>
      </c>
      <c r="R174" s="75">
        <v>0</v>
      </c>
      <c r="S174" s="282">
        <v>0</v>
      </c>
      <c r="T174" s="75">
        <v>0</v>
      </c>
      <c r="U174" s="282">
        <v>0</v>
      </c>
      <c r="V174" s="75">
        <v>0</v>
      </c>
      <c r="W174" s="282">
        <v>0</v>
      </c>
      <c r="X174" s="75">
        <v>0</v>
      </c>
      <c r="Y174" s="282">
        <v>0</v>
      </c>
    </row>
    <row r="175" spans="2:25">
      <c r="B175" s="68" t="s">
        <v>410</v>
      </c>
      <c r="C175" s="68" t="s">
        <v>370</v>
      </c>
      <c r="D175" s="81">
        <v>0</v>
      </c>
      <c r="E175" s="81">
        <v>0</v>
      </c>
      <c r="F175" s="81">
        <v>0</v>
      </c>
      <c r="G175" s="81">
        <v>0</v>
      </c>
      <c r="H175" s="81">
        <v>0</v>
      </c>
      <c r="I175" s="81">
        <v>0</v>
      </c>
      <c r="J175" s="81">
        <v>0</v>
      </c>
      <c r="K175" s="81">
        <v>0</v>
      </c>
      <c r="L175" s="287">
        <v>0</v>
      </c>
      <c r="M175" s="81">
        <v>0</v>
      </c>
      <c r="N175" s="287">
        <v>0</v>
      </c>
      <c r="O175" s="81">
        <v>0</v>
      </c>
      <c r="P175" s="287">
        <v>0</v>
      </c>
      <c r="Q175" s="81">
        <v>0</v>
      </c>
      <c r="R175" s="287">
        <v>0</v>
      </c>
      <c r="S175" s="81">
        <v>0</v>
      </c>
      <c r="T175" s="287">
        <v>0</v>
      </c>
      <c r="U175" s="81">
        <v>0</v>
      </c>
      <c r="V175" s="287">
        <v>0</v>
      </c>
      <c r="W175" s="81">
        <v>0</v>
      </c>
      <c r="X175" s="287">
        <v>0</v>
      </c>
      <c r="Y175" s="81">
        <v>0</v>
      </c>
    </row>
    <row r="176" spans="2:25">
      <c r="B176" s="68" t="s">
        <v>411</v>
      </c>
      <c r="C176" s="68" t="s">
        <v>370</v>
      </c>
      <c r="D176" s="82"/>
      <c r="E176" s="82">
        <f>E136</f>
        <v>0</v>
      </c>
      <c r="F176" s="82">
        <f>F136</f>
        <v>20</v>
      </c>
      <c r="G176" s="82">
        <v>0</v>
      </c>
      <c r="H176" s="82">
        <v>0</v>
      </c>
      <c r="I176" s="82">
        <v>0</v>
      </c>
      <c r="J176" s="82">
        <v>0</v>
      </c>
      <c r="K176" s="82">
        <v>0</v>
      </c>
      <c r="L176" s="83">
        <v>0</v>
      </c>
      <c r="M176" s="82">
        <v>0</v>
      </c>
      <c r="N176" s="83">
        <v>0</v>
      </c>
      <c r="O176" s="82">
        <v>0</v>
      </c>
      <c r="P176" s="83">
        <v>0</v>
      </c>
      <c r="Q176" s="82">
        <v>0</v>
      </c>
      <c r="R176" s="83">
        <v>0</v>
      </c>
      <c r="S176" s="82">
        <v>0</v>
      </c>
      <c r="T176" s="83">
        <v>0</v>
      </c>
      <c r="U176" s="82">
        <v>0</v>
      </c>
      <c r="V176" s="83">
        <v>0</v>
      </c>
      <c r="W176" s="82">
        <v>0</v>
      </c>
      <c r="X176" s="83">
        <v>0</v>
      </c>
      <c r="Y176" s="82">
        <v>0</v>
      </c>
    </row>
    <row r="177" spans="2:25">
      <c r="B177" s="68" t="s">
        <v>412</v>
      </c>
      <c r="C177" s="68" t="s">
        <v>370</v>
      </c>
      <c r="D177" s="286">
        <f t="shared" ref="D177:Y177" si="85">D150</f>
        <v>0</v>
      </c>
      <c r="E177" s="286">
        <f t="shared" si="85"/>
        <v>0</v>
      </c>
      <c r="F177" s="286">
        <f t="shared" si="85"/>
        <v>0</v>
      </c>
      <c r="G177" s="286">
        <f t="shared" si="85"/>
        <v>0</v>
      </c>
      <c r="H177" s="286">
        <f t="shared" si="85"/>
        <v>0</v>
      </c>
      <c r="I177" s="286">
        <f t="shared" si="85"/>
        <v>10</v>
      </c>
      <c r="J177" s="286">
        <f t="shared" si="85"/>
        <v>0</v>
      </c>
      <c r="K177" s="286">
        <f t="shared" si="85"/>
        <v>0</v>
      </c>
      <c r="L177" s="286">
        <f t="shared" si="85"/>
        <v>0</v>
      </c>
      <c r="M177" s="286">
        <f t="shared" si="85"/>
        <v>0</v>
      </c>
      <c r="N177" s="286">
        <f t="shared" si="85"/>
        <v>0</v>
      </c>
      <c r="O177" s="286">
        <f t="shared" si="85"/>
        <v>0</v>
      </c>
      <c r="P177" s="286">
        <f t="shared" si="85"/>
        <v>0</v>
      </c>
      <c r="Q177" s="286">
        <f t="shared" si="85"/>
        <v>0</v>
      </c>
      <c r="R177" s="286">
        <f t="shared" si="85"/>
        <v>0</v>
      </c>
      <c r="S177" s="286">
        <f t="shared" si="85"/>
        <v>0</v>
      </c>
      <c r="T177" s="286">
        <f t="shared" si="85"/>
        <v>0</v>
      </c>
      <c r="U177" s="286">
        <f t="shared" si="85"/>
        <v>0</v>
      </c>
      <c r="V177" s="286">
        <f t="shared" si="85"/>
        <v>0</v>
      </c>
      <c r="W177" s="286">
        <f t="shared" si="85"/>
        <v>0</v>
      </c>
      <c r="X177" s="286">
        <f t="shared" si="85"/>
        <v>0</v>
      </c>
      <c r="Y177" s="286">
        <f t="shared" si="85"/>
        <v>0</v>
      </c>
    </row>
    <row r="178" spans="2:25">
      <c r="B178" s="68" t="s">
        <v>413</v>
      </c>
      <c r="C178" s="68" t="s">
        <v>370</v>
      </c>
      <c r="D178" s="288">
        <v>0</v>
      </c>
      <c r="E178" s="288">
        <v>0</v>
      </c>
      <c r="F178" s="288">
        <v>0</v>
      </c>
      <c r="G178" s="288">
        <v>0</v>
      </c>
      <c r="H178" s="288">
        <v>0</v>
      </c>
      <c r="I178" s="288">
        <v>0</v>
      </c>
      <c r="J178" s="288">
        <v>0</v>
      </c>
      <c r="K178" s="288">
        <v>0</v>
      </c>
      <c r="L178" s="84">
        <v>0</v>
      </c>
      <c r="M178" s="288">
        <v>0</v>
      </c>
      <c r="N178" s="84">
        <v>0</v>
      </c>
      <c r="O178" s="288">
        <v>0</v>
      </c>
      <c r="P178" s="84">
        <v>0</v>
      </c>
      <c r="Q178" s="288">
        <v>0</v>
      </c>
      <c r="R178" s="84">
        <v>0</v>
      </c>
      <c r="S178" s="288">
        <v>0</v>
      </c>
      <c r="T178" s="84">
        <v>0</v>
      </c>
      <c r="U178" s="288">
        <v>0</v>
      </c>
      <c r="V178" s="84">
        <v>0</v>
      </c>
      <c r="W178" s="288">
        <v>0</v>
      </c>
      <c r="X178" s="84">
        <v>0</v>
      </c>
      <c r="Y178" s="288">
        <v>0</v>
      </c>
    </row>
    <row r="179" spans="2:25">
      <c r="B179" s="68" t="s">
        <v>414</v>
      </c>
      <c r="C179" s="68" t="s">
        <v>370</v>
      </c>
      <c r="D179" s="81">
        <v>0</v>
      </c>
      <c r="E179" s="81">
        <v>0</v>
      </c>
      <c r="F179" s="81">
        <v>0</v>
      </c>
      <c r="G179" s="81">
        <v>0</v>
      </c>
      <c r="H179" s="81">
        <v>0</v>
      </c>
      <c r="I179" s="81">
        <v>0</v>
      </c>
      <c r="J179" s="81">
        <v>0</v>
      </c>
      <c r="K179" s="81">
        <v>0</v>
      </c>
      <c r="L179" s="287">
        <v>0</v>
      </c>
      <c r="M179" s="81">
        <v>0</v>
      </c>
      <c r="N179" s="287">
        <v>0</v>
      </c>
      <c r="O179" s="81">
        <v>0</v>
      </c>
      <c r="P179" s="287">
        <v>0</v>
      </c>
      <c r="Q179" s="81">
        <v>0</v>
      </c>
      <c r="R179" s="287">
        <v>0</v>
      </c>
      <c r="S179" s="81">
        <v>0</v>
      </c>
      <c r="T179" s="287">
        <v>0</v>
      </c>
      <c r="U179" s="81">
        <v>0</v>
      </c>
      <c r="V179" s="287">
        <v>0</v>
      </c>
      <c r="W179" s="81">
        <v>0</v>
      </c>
      <c r="X179" s="287">
        <v>0</v>
      </c>
      <c r="Y179" s="81">
        <v>0</v>
      </c>
    </row>
    <row r="180" spans="2:25">
      <c r="B180" s="68" t="s">
        <v>415</v>
      </c>
      <c r="C180" s="68" t="s">
        <v>370</v>
      </c>
      <c r="D180" s="81">
        <v>0</v>
      </c>
      <c r="E180" s="81">
        <v>0</v>
      </c>
      <c r="F180" s="81">
        <v>0</v>
      </c>
      <c r="G180" s="81">
        <v>0</v>
      </c>
      <c r="H180" s="81">
        <v>0</v>
      </c>
      <c r="I180" s="81">
        <v>0</v>
      </c>
      <c r="J180" s="81">
        <v>0</v>
      </c>
      <c r="K180" s="81">
        <v>0</v>
      </c>
      <c r="L180" s="287">
        <v>0</v>
      </c>
      <c r="M180" s="81">
        <v>0</v>
      </c>
      <c r="N180" s="287">
        <v>0</v>
      </c>
      <c r="O180" s="81">
        <v>0</v>
      </c>
      <c r="P180" s="287">
        <v>0</v>
      </c>
      <c r="Q180" s="81">
        <v>0</v>
      </c>
      <c r="R180" s="287">
        <v>0</v>
      </c>
      <c r="S180" s="81">
        <v>0</v>
      </c>
      <c r="T180" s="287">
        <v>0</v>
      </c>
      <c r="U180" s="81">
        <v>0</v>
      </c>
      <c r="V180" s="287">
        <v>0</v>
      </c>
      <c r="W180" s="81">
        <v>0</v>
      </c>
      <c r="X180" s="287">
        <v>0</v>
      </c>
      <c r="Y180" s="81">
        <v>0</v>
      </c>
    </row>
    <row r="181" spans="2:25">
      <c r="B181" s="68" t="s">
        <v>416</v>
      </c>
      <c r="C181" s="68" t="s">
        <v>417</v>
      </c>
      <c r="D181" s="85">
        <f>D27</f>
        <v>306.03333333333336</v>
      </c>
      <c r="E181" s="286">
        <f t="shared" ref="E181:Y181" si="86">E172+SUM(E173:E179,-E180)</f>
        <v>306.03333333333336</v>
      </c>
      <c r="F181" s="286">
        <f t="shared" si="86"/>
        <v>326.03333333333336</v>
      </c>
      <c r="G181" s="286">
        <f t="shared" si="86"/>
        <v>326.03333333333336</v>
      </c>
      <c r="H181" s="286">
        <f t="shared" si="86"/>
        <v>326.03333333333336</v>
      </c>
      <c r="I181" s="286">
        <f t="shared" si="86"/>
        <v>336.03333333333336</v>
      </c>
      <c r="J181" s="286">
        <f t="shared" si="86"/>
        <v>336.03333333333336</v>
      </c>
      <c r="K181" s="286">
        <f t="shared" si="86"/>
        <v>336.03333333333336</v>
      </c>
      <c r="L181" s="286">
        <f t="shared" si="86"/>
        <v>336.03333333333336</v>
      </c>
      <c r="M181" s="286">
        <f t="shared" si="86"/>
        <v>336.03333333333336</v>
      </c>
      <c r="N181" s="286">
        <f t="shared" si="86"/>
        <v>336.03333333333336</v>
      </c>
      <c r="O181" s="286">
        <f t="shared" si="86"/>
        <v>336.03333333333336</v>
      </c>
      <c r="P181" s="286">
        <f t="shared" si="86"/>
        <v>336.03333333333336</v>
      </c>
      <c r="Q181" s="286">
        <f t="shared" si="86"/>
        <v>336.03333333333336</v>
      </c>
      <c r="R181" s="286">
        <f t="shared" si="86"/>
        <v>336.03333333333336</v>
      </c>
      <c r="S181" s="286">
        <f t="shared" si="86"/>
        <v>336.03333333333336</v>
      </c>
      <c r="T181" s="286">
        <f t="shared" si="86"/>
        <v>336.03333333333336</v>
      </c>
      <c r="U181" s="286">
        <f t="shared" si="86"/>
        <v>336.03333333333336</v>
      </c>
      <c r="V181" s="286">
        <f t="shared" si="86"/>
        <v>336.03333333333336</v>
      </c>
      <c r="W181" s="286">
        <f t="shared" si="86"/>
        <v>336.03333333333336</v>
      </c>
      <c r="X181" s="286">
        <f t="shared" si="86"/>
        <v>336.03333333333336</v>
      </c>
      <c r="Y181" s="286">
        <f t="shared" si="86"/>
        <v>336.03333333333336</v>
      </c>
    </row>
    <row r="182" spans="2:25"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 spans="2:25">
      <c r="B183" s="68" t="s">
        <v>418</v>
      </c>
      <c r="C183" s="68" t="s">
        <v>370</v>
      </c>
      <c r="D183" s="70"/>
      <c r="E183" s="70"/>
      <c r="F183" s="70"/>
      <c r="G183" s="70"/>
      <c r="H183" s="70"/>
      <c r="I183" s="70"/>
      <c r="J183" s="70"/>
      <c r="K183" s="70"/>
      <c r="L183" s="278"/>
      <c r="M183" s="70"/>
      <c r="N183" s="278"/>
      <c r="O183" s="70"/>
      <c r="P183" s="278"/>
      <c r="Q183" s="70"/>
      <c r="R183" s="278"/>
      <c r="S183" s="70"/>
      <c r="T183" s="278"/>
      <c r="U183" s="70"/>
      <c r="V183" s="278"/>
      <c r="W183" s="70"/>
      <c r="X183" s="278"/>
      <c r="Y183" s="70"/>
    </row>
    <row r="184" spans="2:25">
      <c r="B184" s="68" t="s">
        <v>419</v>
      </c>
      <c r="C184" s="68" t="s">
        <v>370</v>
      </c>
      <c r="D184" s="70"/>
      <c r="E184" s="70"/>
      <c r="F184" s="70"/>
      <c r="G184" s="70"/>
      <c r="H184" s="70"/>
      <c r="I184" s="70"/>
      <c r="J184" s="70"/>
      <c r="K184" s="70"/>
      <c r="L184" s="278"/>
      <c r="M184" s="70"/>
      <c r="N184" s="278"/>
      <c r="O184" s="70"/>
      <c r="P184" s="278"/>
      <c r="Q184" s="70"/>
      <c r="R184" s="278"/>
      <c r="S184" s="70"/>
      <c r="T184" s="278"/>
      <c r="U184" s="70"/>
      <c r="V184" s="278"/>
      <c r="W184" s="70"/>
      <c r="X184" s="278"/>
      <c r="Y184" s="70"/>
    </row>
    <row r="185" spans="2:25"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 spans="2:25">
      <c r="B186" s="68" t="s">
        <v>420</v>
      </c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 spans="2:25">
      <c r="B187" s="68" t="s">
        <v>421</v>
      </c>
      <c r="C187" s="68" t="s">
        <v>422</v>
      </c>
      <c r="D187" s="286" t="e">
        <f>#REF!</f>
        <v>#REF!</v>
      </c>
      <c r="E187" s="286">
        <f t="shared" ref="E187:Y187" si="87">D195</f>
        <v>-60.436</v>
      </c>
      <c r="F187" s="286">
        <f t="shared" si="87"/>
        <v>-60.436</v>
      </c>
      <c r="G187" s="286">
        <f t="shared" si="87"/>
        <v>139.56199999999998</v>
      </c>
      <c r="H187" s="286">
        <f t="shared" si="87"/>
        <v>139.56199999999998</v>
      </c>
      <c r="I187" s="286">
        <f t="shared" si="87"/>
        <v>139.56199999999998</v>
      </c>
      <c r="J187" s="286">
        <f t="shared" si="87"/>
        <v>239.56099999999998</v>
      </c>
      <c r="K187" s="286">
        <f t="shared" si="87"/>
        <v>239.56099999999998</v>
      </c>
      <c r="L187" s="286">
        <f t="shared" si="87"/>
        <v>239.56099999999998</v>
      </c>
      <c r="M187" s="286">
        <f t="shared" si="87"/>
        <v>239.56099999999998</v>
      </c>
      <c r="N187" s="286">
        <f t="shared" si="87"/>
        <v>239.56099999999998</v>
      </c>
      <c r="O187" s="286">
        <f t="shared" si="87"/>
        <v>239.56099999999998</v>
      </c>
      <c r="P187" s="286">
        <f t="shared" si="87"/>
        <v>239.56099999999998</v>
      </c>
      <c r="Q187" s="286">
        <f t="shared" si="87"/>
        <v>239.56099999999998</v>
      </c>
      <c r="R187" s="286">
        <f t="shared" si="87"/>
        <v>239.56099999999998</v>
      </c>
      <c r="S187" s="286">
        <f t="shared" si="87"/>
        <v>239.56099999999998</v>
      </c>
      <c r="T187" s="286">
        <f t="shared" si="87"/>
        <v>239.56099999999998</v>
      </c>
      <c r="U187" s="286">
        <f t="shared" si="87"/>
        <v>239.56099999999998</v>
      </c>
      <c r="V187" s="286">
        <f t="shared" si="87"/>
        <v>239.56099999999998</v>
      </c>
      <c r="W187" s="286">
        <f t="shared" si="87"/>
        <v>239.56099999999998</v>
      </c>
      <c r="X187" s="286">
        <f t="shared" si="87"/>
        <v>239.56099999999998</v>
      </c>
      <c r="Y187" s="286">
        <f t="shared" si="87"/>
        <v>239.56099999999998</v>
      </c>
    </row>
    <row r="188" spans="2:25">
      <c r="B188" s="68" t="s">
        <v>423</v>
      </c>
      <c r="C188" s="68" t="s">
        <v>424</v>
      </c>
      <c r="D188" s="70">
        <v>0</v>
      </c>
      <c r="E188" s="70">
        <v>0</v>
      </c>
      <c r="F188" s="70">
        <v>0</v>
      </c>
      <c r="G188" s="70">
        <v>0</v>
      </c>
      <c r="H188" s="70">
        <v>0</v>
      </c>
      <c r="I188" s="70">
        <v>0</v>
      </c>
      <c r="J188" s="70">
        <v>0</v>
      </c>
      <c r="K188" s="70">
        <v>0</v>
      </c>
      <c r="L188" s="278">
        <v>0</v>
      </c>
      <c r="M188" s="70">
        <v>0</v>
      </c>
      <c r="N188" s="278">
        <v>0</v>
      </c>
      <c r="O188" s="70">
        <v>0</v>
      </c>
      <c r="P188" s="278">
        <v>0</v>
      </c>
      <c r="Q188" s="70">
        <v>0</v>
      </c>
      <c r="R188" s="278">
        <v>0</v>
      </c>
      <c r="S188" s="70">
        <v>0</v>
      </c>
      <c r="T188" s="278">
        <v>0</v>
      </c>
      <c r="U188" s="70">
        <v>0</v>
      </c>
      <c r="V188" s="278">
        <v>0</v>
      </c>
      <c r="W188" s="70">
        <v>0</v>
      </c>
      <c r="X188" s="278">
        <v>0</v>
      </c>
      <c r="Y188" s="70">
        <v>0</v>
      </c>
    </row>
    <row r="189" spans="2:25">
      <c r="B189" s="68" t="s">
        <v>425</v>
      </c>
      <c r="C189" s="68" t="s">
        <v>426</v>
      </c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</row>
    <row r="190" spans="2:25">
      <c r="B190" s="68" t="s">
        <v>411</v>
      </c>
      <c r="C190" s="68" t="s">
        <v>426</v>
      </c>
      <c r="D190" s="82">
        <f>D141</f>
        <v>0</v>
      </c>
      <c r="E190" s="344">
        <f t="shared" ref="E190:Y190" si="88">E141</f>
        <v>0</v>
      </c>
      <c r="F190" s="82">
        <f t="shared" si="88"/>
        <v>199.99799999999999</v>
      </c>
      <c r="G190" s="82">
        <f t="shared" si="88"/>
        <v>0</v>
      </c>
      <c r="H190" s="82">
        <f t="shared" si="88"/>
        <v>0</v>
      </c>
      <c r="I190" s="82">
        <f t="shared" si="88"/>
        <v>0</v>
      </c>
      <c r="J190" s="82">
        <f t="shared" si="88"/>
        <v>0</v>
      </c>
      <c r="K190" s="82">
        <f t="shared" si="88"/>
        <v>0</v>
      </c>
      <c r="L190" s="82">
        <f t="shared" si="88"/>
        <v>0</v>
      </c>
      <c r="M190" s="82">
        <f t="shared" si="88"/>
        <v>0</v>
      </c>
      <c r="N190" s="82">
        <f t="shared" si="88"/>
        <v>0</v>
      </c>
      <c r="O190" s="82">
        <f t="shared" si="88"/>
        <v>0</v>
      </c>
      <c r="P190" s="82">
        <f t="shared" si="88"/>
        <v>0</v>
      </c>
      <c r="Q190" s="82">
        <f t="shared" si="88"/>
        <v>0</v>
      </c>
      <c r="R190" s="82">
        <f t="shared" si="88"/>
        <v>0</v>
      </c>
      <c r="S190" s="82">
        <f t="shared" si="88"/>
        <v>0</v>
      </c>
      <c r="T190" s="82">
        <f t="shared" si="88"/>
        <v>0</v>
      </c>
      <c r="U190" s="82">
        <f t="shared" si="88"/>
        <v>0</v>
      </c>
      <c r="V190" s="82">
        <f t="shared" si="88"/>
        <v>0</v>
      </c>
      <c r="W190" s="82">
        <f t="shared" si="88"/>
        <v>0</v>
      </c>
      <c r="X190" s="82">
        <f t="shared" si="88"/>
        <v>0</v>
      </c>
      <c r="Y190" s="82">
        <f t="shared" si="88"/>
        <v>0</v>
      </c>
    </row>
    <row r="191" spans="2:25">
      <c r="B191" s="68" t="s">
        <v>427</v>
      </c>
      <c r="C191" s="68" t="s">
        <v>426</v>
      </c>
      <c r="D191" s="286">
        <f t="shared" ref="D191:Y191" si="89">D155</f>
        <v>0</v>
      </c>
      <c r="E191" s="286">
        <f t="shared" si="89"/>
        <v>0</v>
      </c>
      <c r="F191" s="286">
        <f t="shared" si="89"/>
        <v>0</v>
      </c>
      <c r="G191" s="286">
        <f t="shared" si="89"/>
        <v>0</v>
      </c>
      <c r="H191" s="286">
        <f t="shared" si="89"/>
        <v>0</v>
      </c>
      <c r="I191" s="286">
        <f t="shared" si="89"/>
        <v>99.998999999999995</v>
      </c>
      <c r="J191" s="286">
        <f t="shared" si="89"/>
        <v>0</v>
      </c>
      <c r="K191" s="286">
        <f t="shared" si="89"/>
        <v>0</v>
      </c>
      <c r="L191" s="286">
        <f t="shared" si="89"/>
        <v>0</v>
      </c>
      <c r="M191" s="286">
        <f t="shared" si="89"/>
        <v>0</v>
      </c>
      <c r="N191" s="286">
        <f t="shared" si="89"/>
        <v>0</v>
      </c>
      <c r="O191" s="286">
        <f t="shared" si="89"/>
        <v>0</v>
      </c>
      <c r="P191" s="286">
        <f t="shared" si="89"/>
        <v>0</v>
      </c>
      <c r="Q191" s="286">
        <f t="shared" si="89"/>
        <v>0</v>
      </c>
      <c r="R191" s="286">
        <f t="shared" si="89"/>
        <v>0</v>
      </c>
      <c r="S191" s="286">
        <f t="shared" si="89"/>
        <v>0</v>
      </c>
      <c r="T191" s="286">
        <f t="shared" si="89"/>
        <v>0</v>
      </c>
      <c r="U191" s="286">
        <f t="shared" si="89"/>
        <v>0</v>
      </c>
      <c r="V191" s="286">
        <f t="shared" si="89"/>
        <v>0</v>
      </c>
      <c r="W191" s="286">
        <f t="shared" si="89"/>
        <v>0</v>
      </c>
      <c r="X191" s="286">
        <f t="shared" si="89"/>
        <v>0</v>
      </c>
      <c r="Y191" s="286">
        <f t="shared" si="89"/>
        <v>0</v>
      </c>
    </row>
    <row r="192" spans="2:25">
      <c r="B192" s="68" t="s">
        <v>428</v>
      </c>
      <c r="C192" s="68" t="s">
        <v>426</v>
      </c>
      <c r="D192" s="86">
        <v>0</v>
      </c>
      <c r="E192" s="86">
        <v>0</v>
      </c>
      <c r="F192" s="86">
        <v>0</v>
      </c>
      <c r="G192" s="86">
        <v>0</v>
      </c>
      <c r="H192" s="86">
        <v>0</v>
      </c>
      <c r="I192" s="86">
        <v>0</v>
      </c>
      <c r="J192" s="86">
        <v>0</v>
      </c>
      <c r="K192" s="86">
        <v>0</v>
      </c>
      <c r="L192" s="87">
        <v>0</v>
      </c>
      <c r="M192" s="86">
        <v>0</v>
      </c>
      <c r="N192" s="87">
        <v>0</v>
      </c>
      <c r="O192" s="86">
        <v>0</v>
      </c>
      <c r="P192" s="87">
        <v>0</v>
      </c>
      <c r="Q192" s="86">
        <v>0</v>
      </c>
      <c r="R192" s="87">
        <v>0</v>
      </c>
      <c r="S192" s="86">
        <v>0</v>
      </c>
      <c r="T192" s="87">
        <v>0</v>
      </c>
      <c r="U192" s="86">
        <v>0</v>
      </c>
      <c r="V192" s="87">
        <v>0</v>
      </c>
      <c r="W192" s="86">
        <v>0</v>
      </c>
      <c r="X192" s="87">
        <v>0</v>
      </c>
      <c r="Y192" s="86">
        <v>0</v>
      </c>
    </row>
    <row r="193" spans="2:25">
      <c r="B193" s="68" t="s">
        <v>414</v>
      </c>
      <c r="C193" s="68" t="s">
        <v>426</v>
      </c>
      <c r="D193" s="81">
        <v>0</v>
      </c>
      <c r="E193" s="81">
        <v>0</v>
      </c>
      <c r="F193" s="81">
        <v>0</v>
      </c>
      <c r="G193" s="81">
        <v>0</v>
      </c>
      <c r="H193" s="81">
        <v>0</v>
      </c>
      <c r="I193" s="81">
        <v>0</v>
      </c>
      <c r="J193" s="81">
        <v>0</v>
      </c>
      <c r="K193" s="81">
        <v>0</v>
      </c>
      <c r="L193" s="287">
        <v>0</v>
      </c>
      <c r="M193" s="81">
        <v>0</v>
      </c>
      <c r="N193" s="287">
        <v>0</v>
      </c>
      <c r="O193" s="81">
        <v>0</v>
      </c>
      <c r="P193" s="287">
        <v>0</v>
      </c>
      <c r="Q193" s="81">
        <v>0</v>
      </c>
      <c r="R193" s="287">
        <v>0</v>
      </c>
      <c r="S193" s="81">
        <v>0</v>
      </c>
      <c r="T193" s="287">
        <v>0</v>
      </c>
      <c r="U193" s="81">
        <v>0</v>
      </c>
      <c r="V193" s="287">
        <v>0</v>
      </c>
      <c r="W193" s="81">
        <v>0</v>
      </c>
      <c r="X193" s="287">
        <v>0</v>
      </c>
      <c r="Y193" s="81">
        <v>0</v>
      </c>
    </row>
    <row r="194" spans="2:25">
      <c r="B194" s="68" t="s">
        <v>415</v>
      </c>
      <c r="C194" s="68" t="s">
        <v>426</v>
      </c>
      <c r="D194" s="288">
        <v>0</v>
      </c>
      <c r="E194" s="288">
        <v>0</v>
      </c>
      <c r="F194" s="288">
        <v>0</v>
      </c>
      <c r="G194" s="288">
        <v>0</v>
      </c>
      <c r="H194" s="288">
        <v>0</v>
      </c>
      <c r="I194" s="288">
        <v>0</v>
      </c>
      <c r="J194" s="288">
        <v>0</v>
      </c>
      <c r="K194" s="288">
        <v>0</v>
      </c>
      <c r="L194" s="84">
        <v>0</v>
      </c>
      <c r="M194" s="288">
        <v>0</v>
      </c>
      <c r="N194" s="84">
        <v>0</v>
      </c>
      <c r="O194" s="288">
        <v>0</v>
      </c>
      <c r="P194" s="84">
        <v>0</v>
      </c>
      <c r="Q194" s="288">
        <v>0</v>
      </c>
      <c r="R194" s="84">
        <v>0</v>
      </c>
      <c r="S194" s="288">
        <v>0</v>
      </c>
      <c r="T194" s="84">
        <v>0</v>
      </c>
      <c r="U194" s="288">
        <v>0</v>
      </c>
      <c r="V194" s="84">
        <v>0</v>
      </c>
      <c r="W194" s="288">
        <v>0</v>
      </c>
      <c r="X194" s="84">
        <v>0</v>
      </c>
      <c r="Y194" s="288">
        <v>0</v>
      </c>
    </row>
    <row r="195" spans="2:25">
      <c r="B195" s="68" t="s">
        <v>429</v>
      </c>
      <c r="C195" s="68" t="s">
        <v>417</v>
      </c>
      <c r="D195" s="85">
        <f>D61</f>
        <v>-60.436</v>
      </c>
      <c r="E195" s="88">
        <f t="shared" ref="E195:Y195" si="90">E187+SUM(E188:E193,-E194)</f>
        <v>-60.436</v>
      </c>
      <c r="F195" s="88">
        <f t="shared" si="90"/>
        <v>139.56199999999998</v>
      </c>
      <c r="G195" s="88">
        <f t="shared" si="90"/>
        <v>139.56199999999998</v>
      </c>
      <c r="H195" s="88">
        <f t="shared" si="90"/>
        <v>139.56199999999998</v>
      </c>
      <c r="I195" s="88">
        <f t="shared" si="90"/>
        <v>239.56099999999998</v>
      </c>
      <c r="J195" s="88">
        <f t="shared" si="90"/>
        <v>239.56099999999998</v>
      </c>
      <c r="K195" s="88">
        <f t="shared" si="90"/>
        <v>239.56099999999998</v>
      </c>
      <c r="L195" s="88">
        <f t="shared" si="90"/>
        <v>239.56099999999998</v>
      </c>
      <c r="M195" s="88">
        <f t="shared" si="90"/>
        <v>239.56099999999998</v>
      </c>
      <c r="N195" s="88">
        <f t="shared" si="90"/>
        <v>239.56099999999998</v>
      </c>
      <c r="O195" s="88">
        <f t="shared" si="90"/>
        <v>239.56099999999998</v>
      </c>
      <c r="P195" s="88">
        <f t="shared" si="90"/>
        <v>239.56099999999998</v>
      </c>
      <c r="Q195" s="88">
        <f t="shared" si="90"/>
        <v>239.56099999999998</v>
      </c>
      <c r="R195" s="88">
        <f t="shared" si="90"/>
        <v>239.56099999999998</v>
      </c>
      <c r="S195" s="88">
        <f t="shared" si="90"/>
        <v>239.56099999999998</v>
      </c>
      <c r="T195" s="88">
        <f t="shared" si="90"/>
        <v>239.56099999999998</v>
      </c>
      <c r="U195" s="88">
        <f t="shared" si="90"/>
        <v>239.56099999999998</v>
      </c>
      <c r="V195" s="88">
        <f t="shared" si="90"/>
        <v>239.56099999999998</v>
      </c>
      <c r="W195" s="88">
        <f t="shared" si="90"/>
        <v>239.56099999999998</v>
      </c>
      <c r="X195" s="88">
        <f t="shared" si="90"/>
        <v>239.56099999999998</v>
      </c>
      <c r="Y195" s="88">
        <f t="shared" si="90"/>
        <v>239.56099999999998</v>
      </c>
    </row>
    <row r="196" spans="2:25">
      <c r="D196" s="57"/>
    </row>
    <row r="197" spans="2:25">
      <c r="D197" s="57"/>
    </row>
    <row r="198" spans="2:25">
      <c r="D198" s="57"/>
    </row>
    <row r="199" spans="2:25">
      <c r="D199" s="57"/>
    </row>
    <row r="211" spans="1:27" s="78" customFormat="1">
      <c r="A211" s="1"/>
      <c r="B211" s="1"/>
      <c r="C211" s="4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s="78" customFormat="1">
      <c r="A212" s="1"/>
      <c r="B212" s="1"/>
      <c r="C212" s="4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R234"/>
  <sheetViews>
    <sheetView topLeftCell="F1" workbookViewId="0"/>
  </sheetViews>
  <sheetFormatPr baseColWidth="10" defaultColWidth="9" defaultRowHeight="11"/>
  <cols>
    <col min="1" max="1" width="8.6640625" style="1" hidden="1" customWidth="1"/>
    <col min="2" max="2" width="38.5" style="1" hidden="1" customWidth="1"/>
    <col min="3" max="3" width="14.33203125" style="1" hidden="1" customWidth="1"/>
    <col min="4" max="4" width="19.5" style="1" hidden="1" customWidth="1"/>
    <col min="5" max="5" width="0" style="95" hidden="1" customWidth="1"/>
    <col min="6" max="6" width="46" style="95" customWidth="1"/>
    <col min="7" max="7" width="10.1640625" style="95" customWidth="1"/>
    <col min="8" max="24" width="10.33203125" style="95" customWidth="1"/>
    <col min="25" max="30" width="11" style="95" customWidth="1"/>
    <col min="31" max="37" width="11.1640625" style="95" customWidth="1"/>
    <col min="38" max="16384" width="9" style="95"/>
  </cols>
  <sheetData>
    <row r="1" spans="1:44">
      <c r="A1" s="308"/>
      <c r="B1" s="176" t="s">
        <v>430</v>
      </c>
      <c r="C1" s="3"/>
      <c r="F1" s="93" t="s">
        <v>431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</row>
    <row r="2" spans="1:44">
      <c r="A2" s="308"/>
      <c r="F2" s="115" t="s">
        <v>432</v>
      </c>
      <c r="G2" s="394">
        <v>2010</v>
      </c>
      <c r="H2" s="394">
        <v>2011</v>
      </c>
      <c r="I2" s="394">
        <v>2012</v>
      </c>
      <c r="J2" s="394">
        <v>2013</v>
      </c>
      <c r="K2" s="394">
        <v>2014</v>
      </c>
      <c r="L2" s="394">
        <v>2015</v>
      </c>
      <c r="M2" s="394">
        <v>2016</v>
      </c>
      <c r="N2" s="394">
        <v>2017</v>
      </c>
      <c r="O2" s="394">
        <v>2018</v>
      </c>
      <c r="P2" s="394">
        <v>2019</v>
      </c>
      <c r="Q2" s="394" t="s">
        <v>0</v>
      </c>
      <c r="R2" s="394" t="s">
        <v>1</v>
      </c>
      <c r="S2" s="394" t="s">
        <v>2</v>
      </c>
      <c r="T2" s="394" t="s">
        <v>99</v>
      </c>
      <c r="U2" s="394" t="s">
        <v>100</v>
      </c>
      <c r="V2" s="394" t="s">
        <v>101</v>
      </c>
      <c r="W2" s="394" t="s">
        <v>102</v>
      </c>
      <c r="X2" s="394" t="s">
        <v>103</v>
      </c>
      <c r="Y2" s="394" t="s">
        <v>104</v>
      </c>
      <c r="Z2" s="394" t="s">
        <v>105</v>
      </c>
      <c r="AA2" s="394" t="s">
        <v>106</v>
      </c>
      <c r="AB2" s="394" t="s">
        <v>107</v>
      </c>
      <c r="AC2" s="394" t="s">
        <v>108</v>
      </c>
      <c r="AD2" s="394" t="s">
        <v>109</v>
      </c>
      <c r="AE2" s="394" t="s">
        <v>110</v>
      </c>
      <c r="AF2" s="394" t="s">
        <v>111</v>
      </c>
      <c r="AG2" s="394" t="s">
        <v>112</v>
      </c>
      <c r="AH2" s="394" t="s">
        <v>113</v>
      </c>
      <c r="AI2" s="394" t="s">
        <v>114</v>
      </c>
      <c r="AJ2" s="394" t="s">
        <v>115</v>
      </c>
      <c r="AK2" s="394" t="s">
        <v>116</v>
      </c>
      <c r="AL2" s="89"/>
      <c r="AM2" s="89"/>
      <c r="AN2" s="89"/>
      <c r="AO2" s="89"/>
      <c r="AP2" s="89"/>
      <c r="AQ2" s="89"/>
      <c r="AR2" s="89"/>
    </row>
    <row r="3" spans="1:44" s="89" customFormat="1">
      <c r="A3" s="311"/>
      <c r="B3" s="176"/>
      <c r="C3" s="1"/>
      <c r="D3" s="177"/>
      <c r="F3" s="117" t="s">
        <v>433</v>
      </c>
      <c r="G3" s="123">
        <v>156.55756</v>
      </c>
      <c r="H3" s="123">
        <v>157.64654300000001</v>
      </c>
      <c r="I3" s="123">
        <v>158.74639999999999</v>
      </c>
      <c r="J3" s="123">
        <v>159.78631799999999</v>
      </c>
      <c r="K3" s="123">
        <v>160.90330299999999</v>
      </c>
      <c r="L3" s="123">
        <v>162.043308</v>
      </c>
      <c r="M3" s="123">
        <v>163.180025</v>
      </c>
      <c r="N3" s="123">
        <v>164.19368600000001</v>
      </c>
      <c r="O3" s="123">
        <v>165.042573</v>
      </c>
      <c r="P3" s="123">
        <v>165.821641</v>
      </c>
      <c r="Q3" s="117">
        <f t="shared" ref="Q3:AK3" si="0">Q7-Q5</f>
        <v>166.64512685040768</v>
      </c>
      <c r="R3" s="117">
        <f t="shared" si="0"/>
        <v>167.43682197884979</v>
      </c>
      <c r="S3" s="117">
        <f t="shared" si="0"/>
        <v>168.23227828044014</v>
      </c>
      <c r="T3" s="117">
        <f t="shared" si="0"/>
        <v>169.03151362370284</v>
      </c>
      <c r="U3" s="117">
        <f t="shared" si="0"/>
        <v>169.83454596205144</v>
      </c>
      <c r="V3" s="117">
        <f t="shared" si="0"/>
        <v>170.64139333419232</v>
      </c>
      <c r="W3" s="117">
        <f t="shared" si="0"/>
        <v>171.45207386452984</v>
      </c>
      <c r="X3" s="117">
        <f t="shared" si="0"/>
        <v>172.26660576357355</v>
      </c>
      <c r="Y3" s="117">
        <f t="shared" si="0"/>
        <v>173.08500732834722</v>
      </c>
      <c r="Z3" s="117">
        <f t="shared" si="0"/>
        <v>173.90729694279975</v>
      </c>
      <c r="AA3" s="117">
        <f t="shared" si="0"/>
        <v>174.73349307821834</v>
      </c>
      <c r="AB3" s="117">
        <f t="shared" si="0"/>
        <v>175.56361429364324</v>
      </c>
      <c r="AC3" s="117">
        <f t="shared" si="0"/>
        <v>176.39767923628472</v>
      </c>
      <c r="AD3" s="117">
        <f t="shared" si="0"/>
        <v>177.2357066419419</v>
      </c>
      <c r="AE3" s="117">
        <f t="shared" si="0"/>
        <v>178.0777153354237</v>
      </c>
      <c r="AF3" s="117">
        <f t="shared" si="0"/>
        <v>178.9237242309716</v>
      </c>
      <c r="AG3" s="117">
        <f t="shared" si="0"/>
        <v>179.77375233268464</v>
      </c>
      <c r="AH3" s="117">
        <f t="shared" si="0"/>
        <v>180.62781873494617</v>
      </c>
      <c r="AI3" s="117">
        <f t="shared" si="0"/>
        <v>181.48594262285289</v>
      </c>
      <c r="AJ3" s="117">
        <f t="shared" si="0"/>
        <v>182.34814327264576</v>
      </c>
      <c r="AK3" s="117">
        <f t="shared" si="0"/>
        <v>183.21444005214298</v>
      </c>
    </row>
    <row r="4" spans="1:44">
      <c r="A4" s="89"/>
      <c r="B4" s="178"/>
      <c r="C4" s="179"/>
      <c r="D4" s="3"/>
      <c r="F4" s="395" t="s">
        <v>434</v>
      </c>
      <c r="G4" s="395"/>
      <c r="H4" s="395">
        <f>H3/G3</f>
        <v>1.0069557995155265</v>
      </c>
      <c r="I4" s="395">
        <f>I3/H3</f>
        <v>1.0069767276787032</v>
      </c>
      <c r="J4" s="395">
        <f>J3/I3</f>
        <v>1.0065508131208014</v>
      </c>
      <c r="K4" s="395">
        <v>5.0000000000000001E-3</v>
      </c>
      <c r="L4" s="395">
        <f t="shared" ref="L4:AK4" si="1">L3/K3-1</f>
        <v>7.0850316851482908E-3</v>
      </c>
      <c r="M4" s="395">
        <f t="shared" si="1"/>
        <v>7.0148962893303857E-3</v>
      </c>
      <c r="N4" s="395">
        <f t="shared" si="1"/>
        <v>6.21191840116464E-3</v>
      </c>
      <c r="O4" s="395">
        <f t="shared" si="1"/>
        <v>5.1700343702618667E-3</v>
      </c>
      <c r="P4" s="395">
        <f t="shared" si="1"/>
        <v>4.7204062917753919E-3</v>
      </c>
      <c r="Q4" s="395">
        <f t="shared" si="1"/>
        <v>4.9660939636200219E-3</v>
      </c>
      <c r="R4" s="395">
        <f t="shared" si="1"/>
        <v>4.7507847568371009E-3</v>
      </c>
      <c r="S4" s="395">
        <f t="shared" si="1"/>
        <v>4.7507847568371009E-3</v>
      </c>
      <c r="T4" s="395">
        <f t="shared" si="1"/>
        <v>4.7507847568371009E-3</v>
      </c>
      <c r="U4" s="395">
        <f t="shared" si="1"/>
        <v>4.7507847568371009E-3</v>
      </c>
      <c r="V4" s="395">
        <f t="shared" si="1"/>
        <v>4.7507847568371009E-3</v>
      </c>
      <c r="W4" s="395">
        <f t="shared" si="1"/>
        <v>4.7507847568371009E-3</v>
      </c>
      <c r="X4" s="395">
        <f t="shared" si="1"/>
        <v>4.7507847568371009E-3</v>
      </c>
      <c r="Y4" s="395">
        <f t="shared" si="1"/>
        <v>4.7507847568371009E-3</v>
      </c>
      <c r="Z4" s="395">
        <f t="shared" si="1"/>
        <v>4.7507847568368788E-3</v>
      </c>
      <c r="AA4" s="395">
        <f t="shared" si="1"/>
        <v>4.7507847568371009E-3</v>
      </c>
      <c r="AB4" s="395">
        <f t="shared" si="1"/>
        <v>4.7507847568371009E-3</v>
      </c>
      <c r="AC4" s="395">
        <f t="shared" si="1"/>
        <v>4.7507847568371009E-3</v>
      </c>
      <c r="AD4" s="395">
        <f t="shared" si="1"/>
        <v>4.7507847568371009E-3</v>
      </c>
      <c r="AE4" s="395">
        <f t="shared" si="1"/>
        <v>4.7507847568371009E-3</v>
      </c>
      <c r="AF4" s="395">
        <f t="shared" si="1"/>
        <v>4.7507847568371009E-3</v>
      </c>
      <c r="AG4" s="395">
        <f t="shared" si="1"/>
        <v>4.7507847568371009E-3</v>
      </c>
      <c r="AH4" s="395">
        <f t="shared" si="1"/>
        <v>4.7507847568371009E-3</v>
      </c>
      <c r="AI4" s="395">
        <f t="shared" si="1"/>
        <v>4.7507847568371009E-3</v>
      </c>
      <c r="AJ4" s="395">
        <f t="shared" si="1"/>
        <v>4.7507847568371009E-3</v>
      </c>
      <c r="AK4" s="395">
        <f t="shared" si="1"/>
        <v>4.7507847568371009E-3</v>
      </c>
      <c r="AL4" s="89"/>
      <c r="AM4" s="89"/>
      <c r="AN4" s="89"/>
      <c r="AO4" s="89"/>
      <c r="AP4" s="89"/>
      <c r="AQ4" s="89"/>
      <c r="AR4" s="89"/>
    </row>
    <row r="5" spans="1:44" s="89" customFormat="1">
      <c r="A5" s="311"/>
      <c r="B5" s="178"/>
      <c r="C5" s="179"/>
      <c r="D5" s="1"/>
      <c r="F5" s="117" t="s">
        <v>435</v>
      </c>
      <c r="G5" s="117">
        <v>152.764106</v>
      </c>
      <c r="H5" s="117">
        <v>153.91033100000001</v>
      </c>
      <c r="I5" s="117">
        <v>155.08458999999999</v>
      </c>
      <c r="J5" s="117">
        <v>156.20739699999999</v>
      </c>
      <c r="K5" s="117">
        <v>157.397705</v>
      </c>
      <c r="L5" s="117">
        <v>158.59185500000001</v>
      </c>
      <c r="M5" s="117">
        <v>159.76128600000001</v>
      </c>
      <c r="N5" s="117">
        <v>160.791853</v>
      </c>
      <c r="O5" s="117">
        <v>161.64492799999999</v>
      </c>
      <c r="P5" s="117">
        <v>162.41788199999999</v>
      </c>
      <c r="Q5" s="117">
        <f t="shared" ref="Q5:AK5" si="2">Q7/(Q9+1)</f>
        <v>163.15379147205221</v>
      </c>
      <c r="R5" s="117">
        <f t="shared" si="2"/>
        <v>163.92890001759778</v>
      </c>
      <c r="S5" s="117">
        <f t="shared" si="2"/>
        <v>164.70769093700648</v>
      </c>
      <c r="T5" s="117">
        <f t="shared" si="2"/>
        <v>165.49018172444386</v>
      </c>
      <c r="U5" s="117">
        <f t="shared" si="2"/>
        <v>166.27638995718655</v>
      </c>
      <c r="V5" s="117">
        <f t="shared" si="2"/>
        <v>167.06633329601706</v>
      </c>
      <c r="W5" s="117">
        <f t="shared" si="2"/>
        <v>167.86002948562043</v>
      </c>
      <c r="X5" s="117">
        <f t="shared" si="2"/>
        <v>168.65749635498295</v>
      </c>
      <c r="Y5" s="117">
        <f t="shared" si="2"/>
        <v>169.45875181779252</v>
      </c>
      <c r="Z5" s="117">
        <f t="shared" si="2"/>
        <v>170.26381387284113</v>
      </c>
      <c r="AA5" s="117">
        <f t="shared" si="2"/>
        <v>171.07270060442917</v>
      </c>
      <c r="AB5" s="117">
        <f t="shared" si="2"/>
        <v>171.88543018277164</v>
      </c>
      <c r="AC5" s="117">
        <f t="shared" si="2"/>
        <v>172.70202086440634</v>
      </c>
      <c r="AD5" s="117">
        <f t="shared" si="2"/>
        <v>173.52249099260391</v>
      </c>
      <c r="AE5" s="117">
        <f t="shared" si="2"/>
        <v>174.34685899777998</v>
      </c>
      <c r="AF5" s="117">
        <f t="shared" si="2"/>
        <v>175.17514339790907</v>
      </c>
      <c r="AG5" s="117">
        <f t="shared" si="2"/>
        <v>176.00736279894062</v>
      </c>
      <c r="AH5" s="117">
        <f t="shared" si="2"/>
        <v>176.84353589521692</v>
      </c>
      <c r="AI5" s="117">
        <f t="shared" si="2"/>
        <v>177.68368146989312</v>
      </c>
      <c r="AJ5" s="117">
        <f t="shared" si="2"/>
        <v>178.52781839535896</v>
      </c>
      <c r="AK5" s="117">
        <f t="shared" si="2"/>
        <v>179.37596563366301</v>
      </c>
    </row>
    <row r="6" spans="1:44">
      <c r="A6" s="89"/>
      <c r="C6" s="2"/>
      <c r="F6" s="395" t="s">
        <v>434</v>
      </c>
      <c r="G6" s="395"/>
      <c r="H6" s="395">
        <f>H5/G5</f>
        <v>1.007503235085865</v>
      </c>
      <c r="I6" s="395">
        <f>I5/H5</f>
        <v>1.0076295008422793</v>
      </c>
      <c r="J6" s="395">
        <v>4.7000000000000002E-3</v>
      </c>
      <c r="K6" s="395">
        <v>4.7000000000000002E-3</v>
      </c>
      <c r="L6" s="395">
        <v>4.7000000000000002E-3</v>
      </c>
      <c r="M6" s="395">
        <f t="shared" ref="M6:AK6" si="3">M5/L5-1</f>
        <v>7.3738402265361991E-3</v>
      </c>
      <c r="N6" s="395">
        <f t="shared" si="3"/>
        <v>6.4506679046136828E-3</v>
      </c>
      <c r="O6" s="395">
        <f t="shared" si="3"/>
        <v>5.3054615895247181E-3</v>
      </c>
      <c r="P6" s="395">
        <f t="shared" si="3"/>
        <v>4.7818017525425027E-3</v>
      </c>
      <c r="Q6" s="395">
        <f t="shared" si="3"/>
        <v>4.5309633581616104E-3</v>
      </c>
      <c r="R6" s="395">
        <f t="shared" si="3"/>
        <v>4.7507847568368788E-3</v>
      </c>
      <c r="S6" s="395">
        <f t="shared" si="3"/>
        <v>4.7507847568371009E-3</v>
      </c>
      <c r="T6" s="395">
        <f t="shared" si="3"/>
        <v>4.7507847568371009E-3</v>
      </c>
      <c r="U6" s="395">
        <f t="shared" si="3"/>
        <v>4.7507847568371009E-3</v>
      </c>
      <c r="V6" s="395">
        <f t="shared" si="3"/>
        <v>4.7507847568371009E-3</v>
      </c>
      <c r="W6" s="395">
        <f t="shared" si="3"/>
        <v>4.7507847568371009E-3</v>
      </c>
      <c r="X6" s="395">
        <f t="shared" si="3"/>
        <v>4.7507847568371009E-3</v>
      </c>
      <c r="Y6" s="395">
        <f t="shared" si="3"/>
        <v>4.7507847568371009E-3</v>
      </c>
      <c r="Z6" s="395">
        <f t="shared" si="3"/>
        <v>4.7507847568371009E-3</v>
      </c>
      <c r="AA6" s="395">
        <f t="shared" si="3"/>
        <v>4.7507847568371009E-3</v>
      </c>
      <c r="AB6" s="395">
        <f t="shared" si="3"/>
        <v>4.7507847568371009E-3</v>
      </c>
      <c r="AC6" s="395">
        <f t="shared" si="3"/>
        <v>4.7507847568371009E-3</v>
      </c>
      <c r="AD6" s="395">
        <f t="shared" si="3"/>
        <v>4.7507847568371009E-3</v>
      </c>
      <c r="AE6" s="395">
        <f t="shared" si="3"/>
        <v>4.7507847568371009E-3</v>
      </c>
      <c r="AF6" s="395">
        <f t="shared" si="3"/>
        <v>4.7507847568371009E-3</v>
      </c>
      <c r="AG6" s="395">
        <f t="shared" si="3"/>
        <v>4.7507847568371009E-3</v>
      </c>
      <c r="AH6" s="395">
        <f t="shared" si="3"/>
        <v>4.7507847568371009E-3</v>
      </c>
      <c r="AI6" s="395">
        <f t="shared" si="3"/>
        <v>4.7507847568373229E-3</v>
      </c>
      <c r="AJ6" s="395">
        <f t="shared" si="3"/>
        <v>4.7507847568368788E-3</v>
      </c>
      <c r="AK6" s="395">
        <f t="shared" si="3"/>
        <v>4.7507847568371009E-3</v>
      </c>
      <c r="AL6" s="89"/>
      <c r="AM6" s="89"/>
      <c r="AN6" s="89"/>
      <c r="AO6" s="89"/>
      <c r="AP6" s="89"/>
      <c r="AQ6" s="89"/>
      <c r="AR6" s="89"/>
    </row>
    <row r="7" spans="1:44" s="89" customFormat="1">
      <c r="A7" s="311"/>
      <c r="B7" s="176" t="s">
        <v>436</v>
      </c>
      <c r="C7" s="2"/>
      <c r="D7" s="1"/>
      <c r="F7" s="396" t="s">
        <v>437</v>
      </c>
      <c r="G7" s="396">
        <v>309.32166599999999</v>
      </c>
      <c r="H7" s="396">
        <v>311.55687399999999</v>
      </c>
      <c r="I7" s="396">
        <v>313.83098999999999</v>
      </c>
      <c r="J7" s="396">
        <v>315.99371500000001</v>
      </c>
      <c r="K7" s="396">
        <v>318.30100800000002</v>
      </c>
      <c r="L7" s="396">
        <v>320.63516299999998</v>
      </c>
      <c r="M7" s="396">
        <v>322.94131099999998</v>
      </c>
      <c r="N7" s="396">
        <v>324.98553900000002</v>
      </c>
      <c r="O7" s="396">
        <v>326.687501</v>
      </c>
      <c r="P7" s="396">
        <v>328.23952300000002</v>
      </c>
      <c r="Q7" s="396">
        <f t="shared" ref="Q7:AK7" si="4">P7*(1+Q8)</f>
        <v>329.79891832245988</v>
      </c>
      <c r="R7" s="396">
        <f t="shared" si="4"/>
        <v>331.36572199644758</v>
      </c>
      <c r="S7" s="396">
        <f t="shared" si="4"/>
        <v>332.93996921744662</v>
      </c>
      <c r="T7" s="396">
        <f t="shared" si="4"/>
        <v>334.52169534814669</v>
      </c>
      <c r="U7" s="396">
        <f t="shared" si="4"/>
        <v>336.11093591923799</v>
      </c>
      <c r="V7" s="396">
        <f t="shared" si="4"/>
        <v>337.70772663020938</v>
      </c>
      <c r="W7" s="396">
        <f t="shared" si="4"/>
        <v>339.31210335015027</v>
      </c>
      <c r="X7" s="396">
        <f t="shared" si="4"/>
        <v>340.9241021185565</v>
      </c>
      <c r="Y7" s="396">
        <f t="shared" si="4"/>
        <v>342.54375914613973</v>
      </c>
      <c r="Z7" s="396">
        <f t="shared" si="4"/>
        <v>344.17111081564087</v>
      </c>
      <c r="AA7" s="396">
        <f t="shared" si="4"/>
        <v>345.80619368264752</v>
      </c>
      <c r="AB7" s="396">
        <f t="shared" si="4"/>
        <v>347.44904447641488</v>
      </c>
      <c r="AC7" s="396">
        <f t="shared" si="4"/>
        <v>349.09970010069105</v>
      </c>
      <c r="AD7" s="396">
        <f t="shared" si="4"/>
        <v>350.75819763454581</v>
      </c>
      <c r="AE7" s="396">
        <f t="shared" si="4"/>
        <v>352.42457433320368</v>
      </c>
      <c r="AF7" s="396">
        <f t="shared" si="4"/>
        <v>354.09886762888067</v>
      </c>
      <c r="AG7" s="396">
        <f t="shared" si="4"/>
        <v>355.78111513162526</v>
      </c>
      <c r="AH7" s="396">
        <f t="shared" si="4"/>
        <v>357.47135463016309</v>
      </c>
      <c r="AI7" s="396">
        <f t="shared" si="4"/>
        <v>359.16962409274601</v>
      </c>
      <c r="AJ7" s="396">
        <f t="shared" si="4"/>
        <v>360.87596166800472</v>
      </c>
      <c r="AK7" s="396">
        <f t="shared" si="4"/>
        <v>362.59040568580599</v>
      </c>
    </row>
    <row r="8" spans="1:44" s="89" customFormat="1">
      <c r="A8" s="311"/>
      <c r="B8" s="176"/>
      <c r="C8" s="2"/>
      <c r="D8" s="1"/>
      <c r="F8" s="395" t="s">
        <v>434</v>
      </c>
      <c r="G8" s="395"/>
      <c r="H8" s="395">
        <f t="shared" ref="H8:P8" si="5">H7/G7-1</f>
        <v>7.2261604849883643E-3</v>
      </c>
      <c r="I8" s="395">
        <f t="shared" si="5"/>
        <v>7.2992002095899622E-3</v>
      </c>
      <c r="J8" s="395">
        <f t="shared" si="5"/>
        <v>6.891368503792572E-3</v>
      </c>
      <c r="K8" s="395">
        <f t="shared" si="5"/>
        <v>7.3017053519561781E-3</v>
      </c>
      <c r="L8" s="395">
        <f t="shared" si="5"/>
        <v>7.3331687344200258E-3</v>
      </c>
      <c r="M8" s="395">
        <f t="shared" si="5"/>
        <v>7.1924363454796136E-3</v>
      </c>
      <c r="N8" s="395">
        <f t="shared" si="5"/>
        <v>6.3300294213521902E-3</v>
      </c>
      <c r="O8" s="395">
        <f t="shared" si="5"/>
        <v>5.2370391779186232E-3</v>
      </c>
      <c r="P8" s="395">
        <f t="shared" si="5"/>
        <v>4.7507847568371009E-3</v>
      </c>
      <c r="Q8" s="395">
        <f t="shared" ref="Q8:AF8" si="6">P8</f>
        <v>4.7507847568371009E-3</v>
      </c>
      <c r="R8" s="395">
        <f t="shared" si="6"/>
        <v>4.7507847568371009E-3</v>
      </c>
      <c r="S8" s="395">
        <f t="shared" si="6"/>
        <v>4.7507847568371009E-3</v>
      </c>
      <c r="T8" s="395">
        <f t="shared" si="6"/>
        <v>4.7507847568371009E-3</v>
      </c>
      <c r="U8" s="395">
        <f t="shared" si="6"/>
        <v>4.7507847568371009E-3</v>
      </c>
      <c r="V8" s="395">
        <f t="shared" si="6"/>
        <v>4.7507847568371009E-3</v>
      </c>
      <c r="W8" s="395">
        <f t="shared" si="6"/>
        <v>4.7507847568371009E-3</v>
      </c>
      <c r="X8" s="395">
        <f t="shared" si="6"/>
        <v>4.7507847568371009E-3</v>
      </c>
      <c r="Y8" s="395">
        <f t="shared" si="6"/>
        <v>4.7507847568371009E-3</v>
      </c>
      <c r="Z8" s="395">
        <f t="shared" si="6"/>
        <v>4.7507847568371009E-3</v>
      </c>
      <c r="AA8" s="395">
        <f t="shared" si="6"/>
        <v>4.7507847568371009E-3</v>
      </c>
      <c r="AB8" s="395">
        <f t="shared" si="6"/>
        <v>4.7507847568371009E-3</v>
      </c>
      <c r="AC8" s="395">
        <f t="shared" si="6"/>
        <v>4.7507847568371009E-3</v>
      </c>
      <c r="AD8" s="395">
        <f t="shared" si="6"/>
        <v>4.7507847568371009E-3</v>
      </c>
      <c r="AE8" s="395">
        <f t="shared" si="6"/>
        <v>4.7507847568371009E-3</v>
      </c>
      <c r="AF8" s="395">
        <f t="shared" si="6"/>
        <v>4.7507847568371009E-3</v>
      </c>
      <c r="AG8" s="395">
        <f t="shared" ref="Y8:AK9" si="7">AF8</f>
        <v>4.7507847568371009E-3</v>
      </c>
      <c r="AH8" s="395">
        <f t="shared" si="7"/>
        <v>4.7507847568371009E-3</v>
      </c>
      <c r="AI8" s="395">
        <f t="shared" si="7"/>
        <v>4.7507847568371009E-3</v>
      </c>
      <c r="AJ8" s="395">
        <f t="shared" si="7"/>
        <v>4.7507847568371009E-3</v>
      </c>
      <c r="AK8" s="395">
        <f t="shared" si="7"/>
        <v>4.7507847568371009E-3</v>
      </c>
    </row>
    <row r="9" spans="1:44" s="89" customFormat="1">
      <c r="A9" s="311"/>
      <c r="B9" s="176"/>
      <c r="C9" s="2"/>
      <c r="D9" s="1"/>
      <c r="F9" s="119" t="s">
        <v>438</v>
      </c>
      <c r="G9" s="119">
        <f t="shared" ref="G9:M9" si="8">G3/G5</f>
        <v>1.0248321029024972</v>
      </c>
      <c r="H9" s="119">
        <f t="shared" si="8"/>
        <v>1.0242752515424061</v>
      </c>
      <c r="I9" s="119">
        <f t="shared" si="8"/>
        <v>1.0236116947531666</v>
      </c>
      <c r="J9" s="119">
        <f t="shared" si="8"/>
        <v>1.0229113413880138</v>
      </c>
      <c r="K9" s="119">
        <f t="shared" si="8"/>
        <v>1.0222722307164516</v>
      </c>
      <c r="L9" s="119">
        <f t="shared" si="8"/>
        <v>1.0217631163971188</v>
      </c>
      <c r="M9" s="119">
        <f t="shared" si="8"/>
        <v>1.0213990453231578</v>
      </c>
      <c r="N9" s="119">
        <f>M9</f>
        <v>1.0213990453231578</v>
      </c>
      <c r="O9" s="119">
        <f t="shared" ref="O9:X9" si="9">N9</f>
        <v>1.0213990453231578</v>
      </c>
      <c r="P9" s="119">
        <f t="shared" si="9"/>
        <v>1.0213990453231578</v>
      </c>
      <c r="Q9" s="119">
        <f t="shared" si="9"/>
        <v>1.0213990453231578</v>
      </c>
      <c r="R9" s="119">
        <f t="shared" si="9"/>
        <v>1.0213990453231578</v>
      </c>
      <c r="S9" s="119">
        <f t="shared" si="9"/>
        <v>1.0213990453231578</v>
      </c>
      <c r="T9" s="119">
        <f t="shared" si="9"/>
        <v>1.0213990453231578</v>
      </c>
      <c r="U9" s="119">
        <f t="shared" si="9"/>
        <v>1.0213990453231578</v>
      </c>
      <c r="V9" s="119">
        <f t="shared" si="9"/>
        <v>1.0213990453231578</v>
      </c>
      <c r="W9" s="119">
        <f t="shared" si="9"/>
        <v>1.0213990453231578</v>
      </c>
      <c r="X9" s="119">
        <f t="shared" si="9"/>
        <v>1.0213990453231578</v>
      </c>
      <c r="Y9" s="119">
        <f t="shared" si="7"/>
        <v>1.0213990453231578</v>
      </c>
      <c r="Z9" s="119">
        <f t="shared" si="7"/>
        <v>1.0213990453231578</v>
      </c>
      <c r="AA9" s="119">
        <f t="shared" si="7"/>
        <v>1.0213990453231578</v>
      </c>
      <c r="AB9" s="119">
        <f t="shared" si="7"/>
        <v>1.0213990453231578</v>
      </c>
      <c r="AC9" s="119">
        <f t="shared" si="7"/>
        <v>1.0213990453231578</v>
      </c>
      <c r="AD9" s="119">
        <f t="shared" si="7"/>
        <v>1.0213990453231578</v>
      </c>
      <c r="AE9" s="119">
        <f t="shared" si="7"/>
        <v>1.0213990453231578</v>
      </c>
      <c r="AF9" s="119">
        <f t="shared" si="7"/>
        <v>1.0213990453231578</v>
      </c>
      <c r="AG9" s="119">
        <f t="shared" si="7"/>
        <v>1.0213990453231578</v>
      </c>
      <c r="AH9" s="119">
        <f t="shared" si="7"/>
        <v>1.0213990453231578</v>
      </c>
      <c r="AI9" s="119">
        <f t="shared" si="7"/>
        <v>1.0213990453231578</v>
      </c>
      <c r="AJ9" s="119">
        <f t="shared" si="7"/>
        <v>1.0213990453231578</v>
      </c>
      <c r="AK9" s="119">
        <f t="shared" si="7"/>
        <v>1.0213990453231578</v>
      </c>
    </row>
    <row r="10" spans="1:44" s="89" customFormat="1">
      <c r="A10" s="311"/>
      <c r="B10" s="176"/>
      <c r="C10" s="2"/>
      <c r="D10" s="1"/>
    </row>
    <row r="11" spans="1:44" s="89" customFormat="1">
      <c r="A11" s="311"/>
      <c r="B11" s="176"/>
      <c r="C11" s="2"/>
      <c r="D11" s="1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</row>
    <row r="12" spans="1:44" s="89" customFormat="1">
      <c r="A12" s="311"/>
      <c r="B12" s="176"/>
      <c r="C12" s="2"/>
      <c r="D12" s="1"/>
      <c r="F12" s="312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</row>
    <row r="13" spans="1:44" s="89" customFormat="1">
      <c r="A13" s="311"/>
      <c r="B13" s="176"/>
      <c r="C13" s="2"/>
      <c r="D13" s="1"/>
      <c r="F13" s="335" t="s">
        <v>439</v>
      </c>
      <c r="G13" s="313">
        <v>2010</v>
      </c>
      <c r="H13" s="313">
        <v>2011</v>
      </c>
      <c r="I13" s="313">
        <v>2012</v>
      </c>
      <c r="J13" s="313">
        <v>2013</v>
      </c>
      <c r="K13" s="313">
        <v>2014</v>
      </c>
      <c r="L13" s="313">
        <v>2015</v>
      </c>
      <c r="M13" s="313">
        <v>2016</v>
      </c>
      <c r="N13" s="313">
        <v>2017</v>
      </c>
      <c r="O13" s="313">
        <v>2018</v>
      </c>
      <c r="P13" s="313">
        <v>2019</v>
      </c>
      <c r="Q13" s="335" t="s">
        <v>0</v>
      </c>
      <c r="R13" s="335" t="s">
        <v>1</v>
      </c>
      <c r="S13" s="335" t="s">
        <v>2</v>
      </c>
      <c r="T13" s="335" t="s">
        <v>99</v>
      </c>
      <c r="U13" s="335" t="s">
        <v>100</v>
      </c>
      <c r="V13" s="335" t="s">
        <v>101</v>
      </c>
      <c r="W13" s="335" t="s">
        <v>102</v>
      </c>
      <c r="X13" s="335" t="s">
        <v>103</v>
      </c>
      <c r="Y13" s="335" t="s">
        <v>104</v>
      </c>
      <c r="Z13" s="335" t="s">
        <v>105</v>
      </c>
      <c r="AA13" s="335" t="s">
        <v>106</v>
      </c>
      <c r="AB13" s="335" t="s">
        <v>107</v>
      </c>
      <c r="AC13" s="335" t="s">
        <v>108</v>
      </c>
      <c r="AD13" s="335" t="s">
        <v>109</v>
      </c>
      <c r="AE13" s="335" t="s">
        <v>110</v>
      </c>
      <c r="AF13" s="335" t="s">
        <v>111</v>
      </c>
      <c r="AG13" s="335" t="s">
        <v>112</v>
      </c>
      <c r="AH13" s="335" t="s">
        <v>113</v>
      </c>
      <c r="AI13" s="335" t="s">
        <v>114</v>
      </c>
      <c r="AJ13" s="335" t="s">
        <v>115</v>
      </c>
      <c r="AK13" s="335" t="s">
        <v>116</v>
      </c>
      <c r="AL13" s="308" t="s">
        <v>440</v>
      </c>
      <c r="AM13" s="308"/>
      <c r="AN13" s="308"/>
      <c r="AO13" s="308"/>
      <c r="AP13" s="308"/>
      <c r="AQ13" s="308"/>
      <c r="AR13" s="308"/>
    </row>
    <row r="14" spans="1:44" s="89" customFormat="1">
      <c r="A14" s="311"/>
      <c r="B14" s="176"/>
      <c r="C14" s="2"/>
      <c r="D14" s="1"/>
      <c r="F14" s="336" t="s">
        <v>431</v>
      </c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7"/>
      <c r="AC14" s="337"/>
      <c r="AD14" s="337"/>
      <c r="AE14" s="337"/>
      <c r="AF14" s="337"/>
      <c r="AG14" s="337"/>
      <c r="AH14" s="337"/>
      <c r="AI14" s="337"/>
      <c r="AJ14" s="337"/>
      <c r="AK14" s="337"/>
      <c r="AL14" s="308"/>
      <c r="AM14" s="308"/>
      <c r="AN14" s="308"/>
      <c r="AO14" s="308"/>
      <c r="AP14" s="308"/>
      <c r="AQ14" s="308"/>
      <c r="AR14" s="308"/>
    </row>
    <row r="15" spans="1:44" s="89" customFormat="1">
      <c r="A15" s="311"/>
      <c r="B15" s="176"/>
      <c r="C15" s="2"/>
      <c r="D15" s="1"/>
      <c r="F15" s="311" t="s">
        <v>441</v>
      </c>
      <c r="G15" s="310">
        <f>H15/1.05</f>
        <v>29.617289092507747</v>
      </c>
      <c r="H15" s="310">
        <f>I15/1.05</f>
        <v>31.098153547133137</v>
      </c>
      <c r="I15" s="310">
        <f>J15/1.05</f>
        <v>32.653061224489797</v>
      </c>
      <c r="J15" s="310">
        <f>K15/1.05</f>
        <v>34.285714285714285</v>
      </c>
      <c r="K15" s="310">
        <v>36</v>
      </c>
      <c r="L15" s="310">
        <f>K15*1.05</f>
        <v>37.800000000000004</v>
      </c>
      <c r="M15" s="310">
        <f>L15*1.05</f>
        <v>39.690000000000005</v>
      </c>
      <c r="N15" s="310">
        <f>M15*1.05</f>
        <v>41.674500000000009</v>
      </c>
      <c r="O15" s="310">
        <f t="shared" ref="O15:AK15" si="10">N15*1.05</f>
        <v>43.75822500000001</v>
      </c>
      <c r="P15" s="310">
        <f t="shared" si="10"/>
        <v>45.946136250000009</v>
      </c>
      <c r="Q15" s="310">
        <f t="shared" si="10"/>
        <v>48.243443062500013</v>
      </c>
      <c r="R15" s="310">
        <f t="shared" si="10"/>
        <v>50.655615215625019</v>
      </c>
      <c r="S15" s="310">
        <f t="shared" si="10"/>
        <v>53.188395976406269</v>
      </c>
      <c r="T15" s="310">
        <f t="shared" si="10"/>
        <v>55.847815775226586</v>
      </c>
      <c r="U15" s="310">
        <f t="shared" si="10"/>
        <v>58.640206563987917</v>
      </c>
      <c r="V15" s="310">
        <f t="shared" si="10"/>
        <v>61.572216892187313</v>
      </c>
      <c r="W15" s="310">
        <f t="shared" si="10"/>
        <v>64.650827736796685</v>
      </c>
      <c r="X15" s="310">
        <f t="shared" si="10"/>
        <v>67.883369123636527</v>
      </c>
      <c r="Y15" s="310">
        <f t="shared" si="10"/>
        <v>71.277537579818357</v>
      </c>
      <c r="Z15" s="310">
        <f t="shared" si="10"/>
        <v>74.841414458809282</v>
      </c>
      <c r="AA15" s="310">
        <f t="shared" si="10"/>
        <v>78.583485181749751</v>
      </c>
      <c r="AB15" s="310">
        <f t="shared" si="10"/>
        <v>82.51265944083724</v>
      </c>
      <c r="AC15" s="310">
        <f t="shared" si="10"/>
        <v>86.63829241287911</v>
      </c>
      <c r="AD15" s="310">
        <f t="shared" si="10"/>
        <v>90.970207033523067</v>
      </c>
      <c r="AE15" s="310">
        <f t="shared" si="10"/>
        <v>95.518717385199224</v>
      </c>
      <c r="AF15" s="310">
        <f t="shared" si="10"/>
        <v>100.29465325445919</v>
      </c>
      <c r="AG15" s="310">
        <f t="shared" si="10"/>
        <v>105.30938591718215</v>
      </c>
      <c r="AH15" s="310">
        <f t="shared" si="10"/>
        <v>110.57485521304126</v>
      </c>
      <c r="AI15" s="310">
        <f t="shared" si="10"/>
        <v>116.10359797369333</v>
      </c>
      <c r="AJ15" s="310">
        <f t="shared" si="10"/>
        <v>121.908777872378</v>
      </c>
      <c r="AK15" s="310">
        <f t="shared" si="10"/>
        <v>128.00421676599692</v>
      </c>
      <c r="AL15" s="311"/>
      <c r="AM15" s="311"/>
      <c r="AN15" s="311"/>
      <c r="AO15" s="311"/>
      <c r="AP15" s="311"/>
      <c r="AQ15" s="311"/>
      <c r="AR15" s="311"/>
    </row>
    <row r="16" spans="1:44" s="89" customFormat="1">
      <c r="A16" s="311"/>
      <c r="B16" s="176"/>
      <c r="C16" s="2"/>
      <c r="D16" s="1"/>
      <c r="F16" s="311" t="s">
        <v>442</v>
      </c>
      <c r="G16" s="310">
        <f t="shared" ref="G16:AK16" si="11">G15*G7/100</f>
        <v>91.612692044981245</v>
      </c>
      <c r="H16" s="310">
        <f t="shared" si="11"/>
        <v>96.888435063168103</v>
      </c>
      <c r="I16" s="310">
        <f t="shared" si="11"/>
        <v>102.47542530612245</v>
      </c>
      <c r="J16" s="310">
        <f t="shared" si="11"/>
        <v>108.34070228571429</v>
      </c>
      <c r="K16" s="310">
        <f t="shared" si="11"/>
        <v>114.58836288000001</v>
      </c>
      <c r="L16" s="310">
        <f t="shared" si="11"/>
        <v>121.20009161400002</v>
      </c>
      <c r="M16" s="310">
        <f t="shared" si="11"/>
        <v>128.17540633589999</v>
      </c>
      <c r="N16" s="310">
        <f t="shared" si="11"/>
        <v>135.43609845055505</v>
      </c>
      <c r="O16" s="310">
        <f t="shared" si="11"/>
        <v>142.95265173445728</v>
      </c>
      <c r="P16" s="310">
        <f t="shared" si="11"/>
        <v>150.81337846393012</v>
      </c>
      <c r="Q16" s="310">
        <f t="shared" si="11"/>
        <v>159.10635338163686</v>
      </c>
      <c r="R16" s="310">
        <f t="shared" si="11"/>
        <v>167.85534509099818</v>
      </c>
      <c r="S16" s="310">
        <f t="shared" si="11"/>
        <v>177.08542919110067</v>
      </c>
      <c r="T16" s="310">
        <f t="shared" si="11"/>
        <v>186.82306014619769</v>
      </c>
      <c r="U16" s="310">
        <f t="shared" si="11"/>
        <v>197.09614710719424</v>
      </c>
      <c r="V16" s="310">
        <f t="shared" si="11"/>
        <v>207.93413390242753</v>
      </c>
      <c r="W16" s="310">
        <f t="shared" si="11"/>
        <v>219.36808342700718</v>
      </c>
      <c r="X16" s="310">
        <f t="shared" si="11"/>
        <v>231.43076667258322</v>
      </c>
      <c r="Y16" s="310">
        <f t="shared" si="11"/>
        <v>244.15675665271226</v>
      </c>
      <c r="Z16" s="310">
        <f t="shared" si="11"/>
        <v>257.58252749302153</v>
      </c>
      <c r="AA16" s="310">
        <f t="shared" si="11"/>
        <v>271.74655897017618</v>
      </c>
      <c r="AB16" s="310">
        <f t="shared" si="11"/>
        <v>286.68944679926733</v>
      </c>
      <c r="AC16" s="310">
        <f t="shared" si="11"/>
        <v>302.45401898572078</v>
      </c>
      <c r="AD16" s="310">
        <f t="shared" si="11"/>
        <v>319.08545857520033</v>
      </c>
      <c r="AE16" s="310">
        <f t="shared" si="11"/>
        <v>336.63143315332417</v>
      </c>
      <c r="AF16" s="310">
        <f t="shared" si="11"/>
        <v>355.14223146635231</v>
      </c>
      <c r="AG16" s="310">
        <f t="shared" si="11"/>
        <v>374.67090755441745</v>
      </c>
      <c r="AH16" s="310">
        <f t="shared" si="11"/>
        <v>395.2734328104001</v>
      </c>
      <c r="AI16" s="310">
        <f t="shared" si="11"/>
        <v>417.0088564002674</v>
      </c>
      <c r="AJ16" s="310">
        <f t="shared" si="11"/>
        <v>439.93947450465583</v>
      </c>
      <c r="AK16" s="310">
        <f t="shared" si="11"/>
        <v>464.13100886676671</v>
      </c>
      <c r="AL16" s="311"/>
      <c r="AM16" s="311"/>
      <c r="AN16" s="311"/>
      <c r="AO16" s="311"/>
      <c r="AP16" s="311"/>
      <c r="AQ16" s="311"/>
      <c r="AR16" s="311"/>
    </row>
    <row r="17" spans="1:44" s="89" customFormat="1">
      <c r="A17" s="311"/>
      <c r="B17" s="176"/>
      <c r="C17" s="2"/>
      <c r="D17" s="1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  <c r="Z17" s="308"/>
      <c r="AA17" s="308"/>
      <c r="AB17" s="308"/>
      <c r="AC17" s="308"/>
      <c r="AD17" s="308"/>
      <c r="AE17" s="308"/>
      <c r="AF17" s="308"/>
      <c r="AG17" s="308"/>
      <c r="AH17" s="308"/>
      <c r="AI17" s="308"/>
      <c r="AJ17" s="308"/>
      <c r="AK17" s="308"/>
      <c r="AL17" s="308"/>
      <c r="AM17" s="308"/>
      <c r="AN17" s="308"/>
      <c r="AO17" s="308"/>
      <c r="AP17" s="308"/>
      <c r="AQ17" s="308"/>
      <c r="AR17" s="308"/>
    </row>
    <row r="18" spans="1:44" s="89" customFormat="1">
      <c r="A18" s="311"/>
      <c r="B18" s="176"/>
      <c r="C18" s="2"/>
      <c r="D18" s="1"/>
      <c r="F18" s="308" t="s">
        <v>443</v>
      </c>
      <c r="G18" s="90">
        <v>0.8</v>
      </c>
      <c r="H18" s="90">
        <v>0.8</v>
      </c>
      <c r="I18" s="90">
        <v>0.8</v>
      </c>
      <c r="J18" s="90">
        <v>0.8</v>
      </c>
      <c r="K18" s="90">
        <v>0.8</v>
      </c>
      <c r="L18" s="90">
        <v>0.8</v>
      </c>
      <c r="M18" s="90">
        <v>0.8</v>
      </c>
      <c r="N18" s="90">
        <v>0.8</v>
      </c>
      <c r="O18" s="90">
        <v>0.8</v>
      </c>
      <c r="P18" s="90">
        <v>0.8</v>
      </c>
      <c r="Q18" s="90">
        <v>0.8</v>
      </c>
      <c r="R18" s="90">
        <v>0.8</v>
      </c>
      <c r="S18" s="90">
        <v>0.8</v>
      </c>
      <c r="T18" s="90">
        <v>0.8</v>
      </c>
      <c r="U18" s="90">
        <v>0.8</v>
      </c>
      <c r="V18" s="90">
        <v>0.8</v>
      </c>
      <c r="W18" s="90">
        <v>0.8</v>
      </c>
      <c r="X18" s="90">
        <v>0.8</v>
      </c>
      <c r="Y18" s="90">
        <v>0.8</v>
      </c>
      <c r="Z18" s="90">
        <v>0.8</v>
      </c>
      <c r="AA18" s="90">
        <v>0.8</v>
      </c>
      <c r="AB18" s="90">
        <v>0.8</v>
      </c>
      <c r="AC18" s="90">
        <v>0.8</v>
      </c>
      <c r="AD18" s="90">
        <v>0.8</v>
      </c>
      <c r="AE18" s="90">
        <v>0.8</v>
      </c>
      <c r="AF18" s="90">
        <v>0.8</v>
      </c>
      <c r="AG18" s="90">
        <v>0.8</v>
      </c>
      <c r="AH18" s="90">
        <v>0.8</v>
      </c>
      <c r="AI18" s="90">
        <v>0.8</v>
      </c>
      <c r="AJ18" s="90">
        <v>0.8</v>
      </c>
      <c r="AK18" s="90">
        <v>0.8</v>
      </c>
      <c r="AL18" s="308"/>
      <c r="AM18" s="308"/>
      <c r="AN18" s="308"/>
      <c r="AO18" s="308"/>
      <c r="AP18" s="308"/>
      <c r="AQ18" s="308"/>
      <c r="AR18" s="308"/>
    </row>
    <row r="19" spans="1:44">
      <c r="A19" s="89"/>
      <c r="B19" s="178" t="s">
        <v>444</v>
      </c>
      <c r="C19" s="180">
        <v>4</v>
      </c>
      <c r="D19" s="178" t="str">
        <f>VLOOKUP(C19,B23:D29,3)</f>
        <v>Phase 2</v>
      </c>
      <c r="F19" s="311" t="s">
        <v>445</v>
      </c>
      <c r="G19" s="311">
        <f>G16*G18</f>
        <v>73.290153635984993</v>
      </c>
      <c r="H19" s="311">
        <f t="shared" ref="H19:AK19" si="12">H16*H18</f>
        <v>77.510748050534488</v>
      </c>
      <c r="I19" s="311">
        <f t="shared" si="12"/>
        <v>81.98034024489796</v>
      </c>
      <c r="J19" s="311">
        <f t="shared" si="12"/>
        <v>86.672561828571432</v>
      </c>
      <c r="K19" s="311">
        <f t="shared" si="12"/>
        <v>91.670690304000004</v>
      </c>
      <c r="L19" s="311">
        <f t="shared" si="12"/>
        <v>96.960073291200018</v>
      </c>
      <c r="M19" s="311">
        <f t="shared" si="12"/>
        <v>102.54032506871999</v>
      </c>
      <c r="N19" s="311">
        <f t="shared" si="12"/>
        <v>108.34887876044405</v>
      </c>
      <c r="O19" s="311">
        <f t="shared" si="12"/>
        <v>114.36212138756582</v>
      </c>
      <c r="P19" s="311">
        <f t="shared" si="12"/>
        <v>120.6507027711441</v>
      </c>
      <c r="Q19" s="311">
        <f t="shared" si="12"/>
        <v>127.28508270530949</v>
      </c>
      <c r="R19" s="311">
        <f t="shared" si="12"/>
        <v>134.28427607279855</v>
      </c>
      <c r="S19" s="311">
        <f t="shared" si="12"/>
        <v>141.66834335288056</v>
      </c>
      <c r="T19" s="311">
        <f t="shared" si="12"/>
        <v>149.45844811695815</v>
      </c>
      <c r="U19" s="311">
        <f t="shared" si="12"/>
        <v>157.6769176857554</v>
      </c>
      <c r="V19" s="311">
        <f t="shared" si="12"/>
        <v>166.34730712194204</v>
      </c>
      <c r="W19" s="311">
        <f t="shared" si="12"/>
        <v>175.49446674160575</v>
      </c>
      <c r="X19" s="311">
        <f t="shared" si="12"/>
        <v>185.14461333806659</v>
      </c>
      <c r="Y19" s="311">
        <f t="shared" si="12"/>
        <v>195.32540532216981</v>
      </c>
      <c r="Z19" s="311">
        <f t="shared" si="12"/>
        <v>206.06602199441724</v>
      </c>
      <c r="AA19" s="311">
        <f t="shared" si="12"/>
        <v>217.39724717614095</v>
      </c>
      <c r="AB19" s="311">
        <f t="shared" si="12"/>
        <v>229.35155743941388</v>
      </c>
      <c r="AC19" s="311">
        <f t="shared" si="12"/>
        <v>241.96321518857664</v>
      </c>
      <c r="AD19" s="311">
        <f t="shared" si="12"/>
        <v>255.26836686016028</v>
      </c>
      <c r="AE19" s="311">
        <f t="shared" si="12"/>
        <v>269.30514652265936</v>
      </c>
      <c r="AF19" s="311">
        <f t="shared" si="12"/>
        <v>284.11378517308185</v>
      </c>
      <c r="AG19" s="311">
        <f t="shared" si="12"/>
        <v>299.73672604353396</v>
      </c>
      <c r="AH19" s="311">
        <f t="shared" si="12"/>
        <v>316.21874624832009</v>
      </c>
      <c r="AI19" s="311">
        <f t="shared" si="12"/>
        <v>333.60708512021392</v>
      </c>
      <c r="AJ19" s="311">
        <f t="shared" si="12"/>
        <v>351.95157960372467</v>
      </c>
      <c r="AK19" s="311">
        <f t="shared" si="12"/>
        <v>371.30480709341339</v>
      </c>
      <c r="AL19" s="311"/>
      <c r="AM19" s="311"/>
      <c r="AN19" s="311"/>
      <c r="AO19" s="311"/>
      <c r="AP19" s="311"/>
      <c r="AQ19" s="311"/>
      <c r="AR19" s="311"/>
    </row>
    <row r="20" spans="1:44">
      <c r="A20" s="89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  <c r="AA20" s="308"/>
      <c r="AB20" s="308"/>
      <c r="AC20" s="308"/>
      <c r="AD20" s="308"/>
      <c r="AE20" s="308"/>
      <c r="AF20" s="308"/>
      <c r="AG20" s="308"/>
      <c r="AH20" s="308"/>
      <c r="AI20" s="308"/>
      <c r="AJ20" s="308"/>
      <c r="AK20" s="308"/>
      <c r="AL20" s="308"/>
      <c r="AM20" s="308"/>
      <c r="AN20" s="308"/>
      <c r="AO20" s="308"/>
      <c r="AP20" s="308"/>
      <c r="AQ20" s="308"/>
      <c r="AR20" s="308"/>
    </row>
    <row r="21" spans="1:44" s="308" customFormat="1">
      <c r="A21" s="89"/>
      <c r="B21" s="3" t="s">
        <v>446</v>
      </c>
      <c r="C21" s="1"/>
      <c r="D21" s="1"/>
      <c r="F21" s="98" t="s">
        <v>447</v>
      </c>
      <c r="G21" s="99">
        <v>0.75</v>
      </c>
      <c r="H21" s="99">
        <f t="shared" ref="H21:AK21" si="13">G21-0.01</f>
        <v>0.74</v>
      </c>
      <c r="I21" s="99">
        <f t="shared" si="13"/>
        <v>0.73</v>
      </c>
      <c r="J21" s="99">
        <f t="shared" si="13"/>
        <v>0.72</v>
      </c>
      <c r="K21" s="99">
        <f t="shared" si="13"/>
        <v>0.71</v>
      </c>
      <c r="L21" s="99">
        <f t="shared" si="13"/>
        <v>0.7</v>
      </c>
      <c r="M21" s="99">
        <f t="shared" si="13"/>
        <v>0.69</v>
      </c>
      <c r="N21" s="99">
        <f t="shared" si="13"/>
        <v>0.67999999999999994</v>
      </c>
      <c r="O21" s="99">
        <f t="shared" si="13"/>
        <v>0.66999999999999993</v>
      </c>
      <c r="P21" s="99">
        <f t="shared" si="13"/>
        <v>0.65999999999999992</v>
      </c>
      <c r="Q21" s="99">
        <f t="shared" si="13"/>
        <v>0.64999999999999991</v>
      </c>
      <c r="R21" s="99">
        <f t="shared" si="13"/>
        <v>0.6399999999999999</v>
      </c>
      <c r="S21" s="99">
        <f t="shared" si="13"/>
        <v>0.62999999999999989</v>
      </c>
      <c r="T21" s="99">
        <f t="shared" si="13"/>
        <v>0.61999999999999988</v>
      </c>
      <c r="U21" s="99">
        <f t="shared" si="13"/>
        <v>0.60999999999999988</v>
      </c>
      <c r="V21" s="99">
        <f t="shared" si="13"/>
        <v>0.59999999999999987</v>
      </c>
      <c r="W21" s="99">
        <f t="shared" si="13"/>
        <v>0.58999999999999986</v>
      </c>
      <c r="X21" s="99">
        <f t="shared" si="13"/>
        <v>0.57999999999999985</v>
      </c>
      <c r="Y21" s="99">
        <f t="shared" si="13"/>
        <v>0.56999999999999984</v>
      </c>
      <c r="Z21" s="99">
        <f t="shared" si="13"/>
        <v>0.55999999999999983</v>
      </c>
      <c r="AA21" s="99">
        <f t="shared" si="13"/>
        <v>0.54999999999999982</v>
      </c>
      <c r="AB21" s="99">
        <f t="shared" si="13"/>
        <v>0.53999999999999981</v>
      </c>
      <c r="AC21" s="99">
        <f t="shared" si="13"/>
        <v>0.5299999999999998</v>
      </c>
      <c r="AD21" s="99">
        <f t="shared" si="13"/>
        <v>0.5199999999999998</v>
      </c>
      <c r="AE21" s="99">
        <f t="shared" si="13"/>
        <v>0.50999999999999979</v>
      </c>
      <c r="AF21" s="99">
        <f t="shared" si="13"/>
        <v>0.49999999999999978</v>
      </c>
      <c r="AG21" s="99">
        <f t="shared" si="13"/>
        <v>0.48999999999999977</v>
      </c>
      <c r="AH21" s="99">
        <f t="shared" si="13"/>
        <v>0.47999999999999976</v>
      </c>
      <c r="AI21" s="99">
        <f t="shared" si="13"/>
        <v>0.46999999999999975</v>
      </c>
      <c r="AJ21" s="99">
        <f t="shared" si="13"/>
        <v>0.45999999999999974</v>
      </c>
      <c r="AK21" s="99">
        <f t="shared" si="13"/>
        <v>0.44999999999999973</v>
      </c>
      <c r="AL21" s="98"/>
      <c r="AM21" s="98"/>
      <c r="AN21" s="98"/>
      <c r="AO21" s="98"/>
      <c r="AP21" s="98"/>
      <c r="AQ21" s="98"/>
      <c r="AR21" s="98"/>
    </row>
    <row r="22" spans="1:44" s="308" customFormat="1">
      <c r="A22" s="116"/>
      <c r="B22" s="4" t="s">
        <v>448</v>
      </c>
      <c r="C22" s="1"/>
      <c r="D22" s="1"/>
      <c r="F22" s="311" t="s">
        <v>449</v>
      </c>
      <c r="G22" s="311">
        <f>G21*G19</f>
        <v>54.967615226988741</v>
      </c>
      <c r="H22" s="311">
        <f t="shared" ref="H22:AK22" si="14">H21*H19</f>
        <v>57.357953557395518</v>
      </c>
      <c r="I22" s="311">
        <f t="shared" si="14"/>
        <v>59.845648378775508</v>
      </c>
      <c r="J22" s="311">
        <f t="shared" si="14"/>
        <v>62.404244516571431</v>
      </c>
      <c r="K22" s="311">
        <f t="shared" si="14"/>
        <v>65.086190115839997</v>
      </c>
      <c r="L22" s="311">
        <f t="shared" si="14"/>
        <v>67.87205130384001</v>
      </c>
      <c r="M22" s="311">
        <f t="shared" si="14"/>
        <v>70.752824297416794</v>
      </c>
      <c r="N22" s="311">
        <f t="shared" si="14"/>
        <v>73.677237557101947</v>
      </c>
      <c r="O22" s="311">
        <f t="shared" si="14"/>
        <v>76.622621329669087</v>
      </c>
      <c r="P22" s="311">
        <f t="shared" si="14"/>
        <v>79.629463828955096</v>
      </c>
      <c r="Q22" s="311">
        <f t="shared" si="14"/>
        <v>82.735303758451153</v>
      </c>
      <c r="R22" s="311">
        <f t="shared" si="14"/>
        <v>85.941936686591063</v>
      </c>
      <c r="S22" s="311">
        <f t="shared" si="14"/>
        <v>89.251056312314731</v>
      </c>
      <c r="T22" s="311">
        <f t="shared" si="14"/>
        <v>92.664237832514033</v>
      </c>
      <c r="U22" s="311">
        <f t="shared" si="14"/>
        <v>96.18291978831077</v>
      </c>
      <c r="V22" s="311">
        <f t="shared" si="14"/>
        <v>99.808384273165203</v>
      </c>
      <c r="W22" s="311">
        <f t="shared" si="14"/>
        <v>103.54173537754737</v>
      </c>
      <c r="X22" s="311">
        <f t="shared" si="14"/>
        <v>107.38387573607859</v>
      </c>
      <c r="Y22" s="311">
        <f t="shared" si="14"/>
        <v>111.33548103363677</v>
      </c>
      <c r="Z22" s="311">
        <f t="shared" si="14"/>
        <v>115.39697231687362</v>
      </c>
      <c r="AA22" s="311">
        <f t="shared" si="14"/>
        <v>119.56848594687749</v>
      </c>
      <c r="AB22" s="311">
        <f t="shared" si="14"/>
        <v>123.84984101728345</v>
      </c>
      <c r="AC22" s="311">
        <f t="shared" si="14"/>
        <v>128.24050404994557</v>
      </c>
      <c r="AD22" s="311">
        <f t="shared" si="14"/>
        <v>132.7395507672833</v>
      </c>
      <c r="AE22" s="311">
        <f t="shared" si="14"/>
        <v>137.34562472655622</v>
      </c>
      <c r="AF22" s="311">
        <f t="shared" si="14"/>
        <v>142.05689258654087</v>
      </c>
      <c r="AG22" s="311">
        <f t="shared" si="14"/>
        <v>146.87099576133159</v>
      </c>
      <c r="AH22" s="311">
        <f t="shared" si="14"/>
        <v>151.78499819919355</v>
      </c>
      <c r="AI22" s="311">
        <f t="shared" si="14"/>
        <v>156.79533000650045</v>
      </c>
      <c r="AJ22" s="311">
        <f t="shared" si="14"/>
        <v>161.89772661771326</v>
      </c>
      <c r="AK22" s="311">
        <f t="shared" si="14"/>
        <v>167.08716319203592</v>
      </c>
      <c r="AL22" s="311"/>
      <c r="AM22" s="311"/>
      <c r="AN22" s="311"/>
      <c r="AO22" s="311"/>
      <c r="AP22" s="311"/>
      <c r="AQ22" s="311"/>
      <c r="AR22" s="311"/>
    </row>
    <row r="23" spans="1:44" s="311" customFormat="1">
      <c r="A23" s="117"/>
      <c r="B23" s="181">
        <v>1</v>
      </c>
      <c r="C23" s="181"/>
      <c r="D23" s="181" t="s">
        <v>450</v>
      </c>
      <c r="F23" s="98" t="s">
        <v>451</v>
      </c>
      <c r="G23" s="99">
        <v>0.65</v>
      </c>
      <c r="H23" s="99">
        <f t="shared" ref="H23:AK23" si="15">G23+0.01</f>
        <v>0.66</v>
      </c>
      <c r="I23" s="99">
        <f t="shared" si="15"/>
        <v>0.67</v>
      </c>
      <c r="J23" s="99">
        <f t="shared" si="15"/>
        <v>0.68</v>
      </c>
      <c r="K23" s="99">
        <f t="shared" si="15"/>
        <v>0.69000000000000006</v>
      </c>
      <c r="L23" s="99">
        <f t="shared" si="15"/>
        <v>0.70000000000000007</v>
      </c>
      <c r="M23" s="99">
        <f t="shared" si="15"/>
        <v>0.71000000000000008</v>
      </c>
      <c r="N23" s="99">
        <f t="shared" si="15"/>
        <v>0.72000000000000008</v>
      </c>
      <c r="O23" s="99">
        <f t="shared" si="15"/>
        <v>0.73000000000000009</v>
      </c>
      <c r="P23" s="99">
        <f t="shared" si="15"/>
        <v>0.7400000000000001</v>
      </c>
      <c r="Q23" s="99">
        <f t="shared" si="15"/>
        <v>0.75000000000000011</v>
      </c>
      <c r="R23" s="99">
        <f t="shared" si="15"/>
        <v>0.76000000000000012</v>
      </c>
      <c r="S23" s="99">
        <f t="shared" si="15"/>
        <v>0.77000000000000013</v>
      </c>
      <c r="T23" s="99">
        <f t="shared" si="15"/>
        <v>0.78000000000000014</v>
      </c>
      <c r="U23" s="99">
        <f t="shared" si="15"/>
        <v>0.79000000000000015</v>
      </c>
      <c r="V23" s="99">
        <f t="shared" si="15"/>
        <v>0.80000000000000016</v>
      </c>
      <c r="W23" s="99">
        <f t="shared" si="15"/>
        <v>0.81000000000000016</v>
      </c>
      <c r="X23" s="99">
        <f t="shared" si="15"/>
        <v>0.82000000000000017</v>
      </c>
      <c r="Y23" s="99">
        <f t="shared" si="15"/>
        <v>0.83000000000000018</v>
      </c>
      <c r="Z23" s="99">
        <f t="shared" si="15"/>
        <v>0.84000000000000019</v>
      </c>
      <c r="AA23" s="99">
        <f t="shared" si="15"/>
        <v>0.8500000000000002</v>
      </c>
      <c r="AB23" s="99">
        <f t="shared" si="15"/>
        <v>0.86000000000000021</v>
      </c>
      <c r="AC23" s="99">
        <f t="shared" si="15"/>
        <v>0.87000000000000022</v>
      </c>
      <c r="AD23" s="99">
        <f t="shared" si="15"/>
        <v>0.88000000000000023</v>
      </c>
      <c r="AE23" s="99">
        <f t="shared" si="15"/>
        <v>0.89000000000000024</v>
      </c>
      <c r="AF23" s="99">
        <f t="shared" si="15"/>
        <v>0.90000000000000024</v>
      </c>
      <c r="AG23" s="99">
        <f t="shared" si="15"/>
        <v>0.91000000000000025</v>
      </c>
      <c r="AH23" s="99">
        <f t="shared" si="15"/>
        <v>0.92000000000000026</v>
      </c>
      <c r="AI23" s="99">
        <f t="shared" si="15"/>
        <v>0.93000000000000027</v>
      </c>
      <c r="AJ23" s="99">
        <f t="shared" si="15"/>
        <v>0.94000000000000028</v>
      </c>
      <c r="AK23" s="99">
        <f t="shared" si="15"/>
        <v>0.95000000000000029</v>
      </c>
      <c r="AL23" s="98"/>
      <c r="AM23" s="98"/>
      <c r="AN23" s="98"/>
      <c r="AO23" s="98"/>
      <c r="AP23" s="98"/>
      <c r="AQ23" s="98"/>
      <c r="AR23" s="98"/>
    </row>
    <row r="24" spans="1:44" s="311" customFormat="1">
      <c r="A24" s="118"/>
      <c r="B24" s="181">
        <v>2</v>
      </c>
      <c r="C24" s="181"/>
      <c r="D24" s="181" t="s">
        <v>452</v>
      </c>
      <c r="F24" s="315" t="s">
        <v>453</v>
      </c>
      <c r="G24" s="315">
        <f>G23*G22</f>
        <v>35.728949897542684</v>
      </c>
      <c r="H24" s="315">
        <f t="shared" ref="H24:AK24" si="16">H23*H22</f>
        <v>37.856249347881047</v>
      </c>
      <c r="I24" s="315">
        <f t="shared" si="16"/>
        <v>40.096584413779595</v>
      </c>
      <c r="J24" s="315">
        <f t="shared" si="16"/>
        <v>42.434886271268574</v>
      </c>
      <c r="K24" s="315">
        <f t="shared" si="16"/>
        <v>44.909471179929604</v>
      </c>
      <c r="L24" s="315">
        <f t="shared" si="16"/>
        <v>47.51043591268801</v>
      </c>
      <c r="M24" s="315">
        <f t="shared" si="16"/>
        <v>50.234505251165928</v>
      </c>
      <c r="N24" s="315">
        <f t="shared" si="16"/>
        <v>53.047611041113406</v>
      </c>
      <c r="O24" s="315">
        <f t="shared" si="16"/>
        <v>55.934513570658439</v>
      </c>
      <c r="P24" s="315">
        <f t="shared" si="16"/>
        <v>58.925803233426777</v>
      </c>
      <c r="Q24" s="315">
        <f t="shared" si="16"/>
        <v>62.051477818838372</v>
      </c>
      <c r="R24" s="315">
        <f t="shared" si="16"/>
        <v>65.315871881809215</v>
      </c>
      <c r="S24" s="315">
        <f t="shared" si="16"/>
        <v>68.723313360482351</v>
      </c>
      <c r="T24" s="315">
        <f t="shared" si="16"/>
        <v>72.278105509360955</v>
      </c>
      <c r="U24" s="315">
        <f t="shared" si="16"/>
        <v>75.984506632765516</v>
      </c>
      <c r="V24" s="315">
        <f t="shared" si="16"/>
        <v>79.846707418532176</v>
      </c>
      <c r="W24" s="315">
        <f t="shared" si="16"/>
        <v>83.868805655813389</v>
      </c>
      <c r="X24" s="315">
        <f t="shared" si="16"/>
        <v>88.054778103584468</v>
      </c>
      <c r="Y24" s="315">
        <f t="shared" si="16"/>
        <v>92.408449257918534</v>
      </c>
      <c r="Z24" s="315">
        <f t="shared" si="16"/>
        <v>96.93345674617386</v>
      </c>
      <c r="AA24" s="315">
        <f t="shared" si="16"/>
        <v>101.63321305484588</v>
      </c>
      <c r="AB24" s="315">
        <f t="shared" si="16"/>
        <v>106.51086327486379</v>
      </c>
      <c r="AC24" s="315">
        <f t="shared" si="16"/>
        <v>111.56923852345267</v>
      </c>
      <c r="AD24" s="315">
        <f t="shared" si="16"/>
        <v>116.81080467520934</v>
      </c>
      <c r="AE24" s="315">
        <f t="shared" si="16"/>
        <v>122.23760600663508</v>
      </c>
      <c r="AF24" s="315">
        <f t="shared" si="16"/>
        <v>127.85120332788682</v>
      </c>
      <c r="AG24" s="315">
        <f t="shared" si="16"/>
        <v>133.65260614281178</v>
      </c>
      <c r="AH24" s="315">
        <f t="shared" si="16"/>
        <v>139.64219834325812</v>
      </c>
      <c r="AI24" s="315">
        <f t="shared" si="16"/>
        <v>145.81965690604545</v>
      </c>
      <c r="AJ24" s="315">
        <f t="shared" si="16"/>
        <v>152.18386302065051</v>
      </c>
      <c r="AK24" s="315">
        <f t="shared" si="16"/>
        <v>158.73280503243416</v>
      </c>
      <c r="AL24" s="315"/>
      <c r="AM24" s="315"/>
      <c r="AN24" s="315"/>
      <c r="AO24" s="315"/>
      <c r="AP24" s="315"/>
      <c r="AQ24" s="315"/>
      <c r="AR24" s="315"/>
    </row>
    <row r="25" spans="1:44" s="308" customFormat="1">
      <c r="A25" s="117"/>
      <c r="B25" s="181">
        <v>3</v>
      </c>
      <c r="C25" s="181"/>
      <c r="D25" s="181" t="s">
        <v>454</v>
      </c>
    </row>
    <row r="26" spans="1:44" s="308" customFormat="1">
      <c r="A26" s="118"/>
      <c r="B26" s="181">
        <v>4</v>
      </c>
      <c r="C26" s="181">
        <v>2021</v>
      </c>
      <c r="D26" s="181" t="s">
        <v>455</v>
      </c>
      <c r="F26" s="98" t="s">
        <v>456</v>
      </c>
      <c r="G26" s="99">
        <v>0.25</v>
      </c>
      <c r="H26" s="99">
        <f t="shared" ref="H26:AK26" si="17">G26+0.01</f>
        <v>0.26</v>
      </c>
      <c r="I26" s="99">
        <f t="shared" si="17"/>
        <v>0.27</v>
      </c>
      <c r="J26" s="99">
        <f t="shared" si="17"/>
        <v>0.28000000000000003</v>
      </c>
      <c r="K26" s="99">
        <f t="shared" si="17"/>
        <v>0.29000000000000004</v>
      </c>
      <c r="L26" s="99">
        <f t="shared" si="17"/>
        <v>0.30000000000000004</v>
      </c>
      <c r="M26" s="99">
        <f t="shared" si="17"/>
        <v>0.31000000000000005</v>
      </c>
      <c r="N26" s="99">
        <f t="shared" si="17"/>
        <v>0.32000000000000006</v>
      </c>
      <c r="O26" s="99">
        <f t="shared" si="17"/>
        <v>0.33000000000000007</v>
      </c>
      <c r="P26" s="99">
        <f t="shared" si="17"/>
        <v>0.34000000000000008</v>
      </c>
      <c r="Q26" s="99">
        <f t="shared" si="17"/>
        <v>0.35000000000000009</v>
      </c>
      <c r="R26" s="99">
        <f t="shared" si="17"/>
        <v>0.3600000000000001</v>
      </c>
      <c r="S26" s="99">
        <f t="shared" si="17"/>
        <v>0.37000000000000011</v>
      </c>
      <c r="T26" s="99">
        <f t="shared" si="17"/>
        <v>0.38000000000000012</v>
      </c>
      <c r="U26" s="99">
        <f t="shared" si="17"/>
        <v>0.39000000000000012</v>
      </c>
      <c r="V26" s="99">
        <f t="shared" si="17"/>
        <v>0.40000000000000013</v>
      </c>
      <c r="W26" s="99">
        <f t="shared" si="17"/>
        <v>0.41000000000000014</v>
      </c>
      <c r="X26" s="99">
        <f t="shared" si="17"/>
        <v>0.42000000000000015</v>
      </c>
      <c r="Y26" s="99">
        <f t="shared" si="17"/>
        <v>0.43000000000000016</v>
      </c>
      <c r="Z26" s="99">
        <f t="shared" si="17"/>
        <v>0.44000000000000017</v>
      </c>
      <c r="AA26" s="99">
        <f t="shared" si="17"/>
        <v>0.45000000000000018</v>
      </c>
      <c r="AB26" s="99">
        <f t="shared" si="17"/>
        <v>0.46000000000000019</v>
      </c>
      <c r="AC26" s="99">
        <f t="shared" si="17"/>
        <v>0.4700000000000002</v>
      </c>
      <c r="AD26" s="99">
        <f t="shared" si="17"/>
        <v>0.4800000000000002</v>
      </c>
      <c r="AE26" s="99">
        <f t="shared" si="17"/>
        <v>0.49000000000000021</v>
      </c>
      <c r="AF26" s="99">
        <f t="shared" si="17"/>
        <v>0.50000000000000022</v>
      </c>
      <c r="AG26" s="99">
        <f t="shared" si="17"/>
        <v>0.51000000000000023</v>
      </c>
      <c r="AH26" s="99">
        <f t="shared" si="17"/>
        <v>0.52000000000000024</v>
      </c>
      <c r="AI26" s="99">
        <f t="shared" si="17"/>
        <v>0.53000000000000025</v>
      </c>
      <c r="AJ26" s="99">
        <f t="shared" si="17"/>
        <v>0.54000000000000026</v>
      </c>
      <c r="AK26" s="99">
        <f t="shared" si="17"/>
        <v>0.55000000000000027</v>
      </c>
      <c r="AL26" s="98"/>
      <c r="AM26" s="98"/>
      <c r="AN26" s="98"/>
      <c r="AO26" s="98"/>
      <c r="AP26" s="98"/>
      <c r="AQ26" s="98"/>
      <c r="AR26" s="98"/>
    </row>
    <row r="27" spans="1:44" s="311" customFormat="1">
      <c r="A27" s="117"/>
      <c r="B27" s="181">
        <v>5</v>
      </c>
      <c r="C27" s="181">
        <v>2022</v>
      </c>
      <c r="D27" s="181" t="s">
        <v>457</v>
      </c>
      <c r="F27" s="311" t="s">
        <v>458</v>
      </c>
      <c r="G27" s="311">
        <f>G26*G19</f>
        <v>18.322538408996248</v>
      </c>
      <c r="H27" s="311">
        <f t="shared" ref="H27:AK27" si="18">H26*H19</f>
        <v>20.152794493138966</v>
      </c>
      <c r="I27" s="311">
        <f t="shared" si="18"/>
        <v>22.134691866122452</v>
      </c>
      <c r="J27" s="311">
        <f t="shared" si="18"/>
        <v>24.268317312000004</v>
      </c>
      <c r="K27" s="311">
        <f t="shared" si="18"/>
        <v>26.584500188160003</v>
      </c>
      <c r="L27" s="311">
        <f t="shared" si="18"/>
        <v>29.088021987360008</v>
      </c>
      <c r="M27" s="311">
        <f t="shared" si="18"/>
        <v>31.787500771303204</v>
      </c>
      <c r="N27" s="311">
        <f t="shared" si="18"/>
        <v>34.671641203342105</v>
      </c>
      <c r="O27" s="311">
        <f t="shared" si="18"/>
        <v>37.739500057896727</v>
      </c>
      <c r="P27" s="311">
        <f t="shared" si="18"/>
        <v>41.021238942189001</v>
      </c>
      <c r="Q27" s="311">
        <f t="shared" si="18"/>
        <v>44.549778946858332</v>
      </c>
      <c r="R27" s="311">
        <f t="shared" si="18"/>
        <v>48.342339386207492</v>
      </c>
      <c r="S27" s="311">
        <f t="shared" si="18"/>
        <v>52.417287040565817</v>
      </c>
      <c r="T27" s="311">
        <f t="shared" si="18"/>
        <v>56.794210284444112</v>
      </c>
      <c r="U27" s="311">
        <f t="shared" si="18"/>
        <v>61.493997897444622</v>
      </c>
      <c r="V27" s="311">
        <f t="shared" si="18"/>
        <v>66.538922848776835</v>
      </c>
      <c r="W27" s="311">
        <f t="shared" si="18"/>
        <v>71.95273136405838</v>
      </c>
      <c r="X27" s="311">
        <f t="shared" si="18"/>
        <v>77.760737601987998</v>
      </c>
      <c r="Y27" s="311">
        <f t="shared" si="18"/>
        <v>83.989924288533047</v>
      </c>
      <c r="Z27" s="311">
        <f t="shared" si="18"/>
        <v>90.669049677543626</v>
      </c>
      <c r="AA27" s="311">
        <f t="shared" si="18"/>
        <v>97.828761229263463</v>
      </c>
      <c r="AB27" s="311">
        <f t="shared" si="18"/>
        <v>105.50171642213043</v>
      </c>
      <c r="AC27" s="311">
        <f t="shared" si="18"/>
        <v>113.72271113863107</v>
      </c>
      <c r="AD27" s="311">
        <f t="shared" si="18"/>
        <v>122.52881609287699</v>
      </c>
      <c r="AE27" s="311">
        <f t="shared" si="18"/>
        <v>131.95952179610313</v>
      </c>
      <c r="AF27" s="311">
        <f t="shared" si="18"/>
        <v>142.05689258654098</v>
      </c>
      <c r="AG27" s="311">
        <f t="shared" si="18"/>
        <v>152.86573028220238</v>
      </c>
      <c r="AH27" s="311">
        <f t="shared" si="18"/>
        <v>164.43374804912654</v>
      </c>
      <c r="AI27" s="311">
        <f t="shared" si="18"/>
        <v>176.81175511371347</v>
      </c>
      <c r="AJ27" s="311">
        <f t="shared" si="18"/>
        <v>190.05385298601141</v>
      </c>
      <c r="AK27" s="311">
        <f t="shared" si="18"/>
        <v>204.21764390137747</v>
      </c>
    </row>
    <row r="28" spans="1:44" s="308" customFormat="1">
      <c r="A28" s="118"/>
      <c r="B28" s="181">
        <v>6</v>
      </c>
      <c r="C28" s="181">
        <v>2023</v>
      </c>
      <c r="D28" s="181" t="s">
        <v>459</v>
      </c>
      <c r="F28" s="98" t="s">
        <v>460</v>
      </c>
      <c r="G28" s="99">
        <v>0.8</v>
      </c>
      <c r="H28" s="99">
        <f t="shared" ref="H28:AK28" si="19">G28+0.005</f>
        <v>0.80500000000000005</v>
      </c>
      <c r="I28" s="99">
        <f t="shared" si="19"/>
        <v>0.81</v>
      </c>
      <c r="J28" s="99">
        <f t="shared" si="19"/>
        <v>0.81500000000000006</v>
      </c>
      <c r="K28" s="99">
        <f t="shared" si="19"/>
        <v>0.82000000000000006</v>
      </c>
      <c r="L28" s="99">
        <f t="shared" si="19"/>
        <v>0.82500000000000007</v>
      </c>
      <c r="M28" s="99">
        <f t="shared" si="19"/>
        <v>0.83000000000000007</v>
      </c>
      <c r="N28" s="99">
        <f t="shared" si="19"/>
        <v>0.83500000000000008</v>
      </c>
      <c r="O28" s="99">
        <f t="shared" si="19"/>
        <v>0.84000000000000008</v>
      </c>
      <c r="P28" s="99">
        <f t="shared" si="19"/>
        <v>0.84500000000000008</v>
      </c>
      <c r="Q28" s="99">
        <f t="shared" si="19"/>
        <v>0.85000000000000009</v>
      </c>
      <c r="R28" s="99">
        <f t="shared" si="19"/>
        <v>0.85500000000000009</v>
      </c>
      <c r="S28" s="99">
        <f t="shared" si="19"/>
        <v>0.8600000000000001</v>
      </c>
      <c r="T28" s="99">
        <f t="shared" si="19"/>
        <v>0.8650000000000001</v>
      </c>
      <c r="U28" s="99">
        <f t="shared" si="19"/>
        <v>0.87000000000000011</v>
      </c>
      <c r="V28" s="99">
        <f t="shared" si="19"/>
        <v>0.87500000000000011</v>
      </c>
      <c r="W28" s="99">
        <f t="shared" si="19"/>
        <v>0.88000000000000012</v>
      </c>
      <c r="X28" s="99">
        <f t="shared" si="19"/>
        <v>0.88500000000000012</v>
      </c>
      <c r="Y28" s="99">
        <f t="shared" si="19"/>
        <v>0.89000000000000012</v>
      </c>
      <c r="Z28" s="99">
        <f t="shared" si="19"/>
        <v>0.89500000000000013</v>
      </c>
      <c r="AA28" s="99">
        <f t="shared" si="19"/>
        <v>0.90000000000000013</v>
      </c>
      <c r="AB28" s="99">
        <f t="shared" si="19"/>
        <v>0.90500000000000014</v>
      </c>
      <c r="AC28" s="99">
        <f t="shared" si="19"/>
        <v>0.91000000000000014</v>
      </c>
      <c r="AD28" s="99">
        <f t="shared" si="19"/>
        <v>0.91500000000000015</v>
      </c>
      <c r="AE28" s="99">
        <f t="shared" si="19"/>
        <v>0.92000000000000015</v>
      </c>
      <c r="AF28" s="99">
        <f t="shared" si="19"/>
        <v>0.92500000000000016</v>
      </c>
      <c r="AG28" s="99">
        <f t="shared" si="19"/>
        <v>0.93000000000000016</v>
      </c>
      <c r="AH28" s="99">
        <f t="shared" si="19"/>
        <v>0.93500000000000016</v>
      </c>
      <c r="AI28" s="99">
        <f t="shared" si="19"/>
        <v>0.94000000000000017</v>
      </c>
      <c r="AJ28" s="99">
        <f t="shared" si="19"/>
        <v>0.94500000000000017</v>
      </c>
      <c r="AK28" s="99">
        <f t="shared" si="19"/>
        <v>0.95000000000000018</v>
      </c>
      <c r="AL28" s="98"/>
      <c r="AM28" s="98"/>
      <c r="AN28" s="98"/>
      <c r="AO28" s="98"/>
      <c r="AP28" s="98"/>
      <c r="AQ28" s="98"/>
      <c r="AR28" s="98"/>
    </row>
    <row r="29" spans="1:44" s="98" customFormat="1">
      <c r="A29" s="119"/>
      <c r="B29" s="181">
        <v>7</v>
      </c>
      <c r="C29" s="181">
        <v>2024</v>
      </c>
      <c r="D29" s="181" t="s">
        <v>461</v>
      </c>
      <c r="F29" s="315" t="s">
        <v>462</v>
      </c>
      <c r="G29" s="315">
        <f>G28*G27</f>
        <v>14.658030727197</v>
      </c>
      <c r="H29" s="315">
        <f t="shared" ref="H29:AK29" si="20">H28*H27</f>
        <v>16.222999566976871</v>
      </c>
      <c r="I29" s="315">
        <f t="shared" si="20"/>
        <v>17.929100411559187</v>
      </c>
      <c r="J29" s="315">
        <f t="shared" si="20"/>
        <v>19.778678609280004</v>
      </c>
      <c r="K29" s="315">
        <f t="shared" si="20"/>
        <v>21.799290154291203</v>
      </c>
      <c r="L29" s="315">
        <f t="shared" si="20"/>
        <v>23.997618139572008</v>
      </c>
      <c r="M29" s="315">
        <f t="shared" si="20"/>
        <v>26.383625640181663</v>
      </c>
      <c r="N29" s="315">
        <f t="shared" si="20"/>
        <v>28.950820404790662</v>
      </c>
      <c r="O29" s="315">
        <f t="shared" si="20"/>
        <v>31.701180048633255</v>
      </c>
      <c r="P29" s="315">
        <f t="shared" si="20"/>
        <v>34.662946906149706</v>
      </c>
      <c r="Q29" s="315">
        <f t="shared" si="20"/>
        <v>37.867312104829587</v>
      </c>
      <c r="R29" s="315">
        <f t="shared" si="20"/>
        <v>41.332700175207407</v>
      </c>
      <c r="S29" s="315">
        <f t="shared" si="20"/>
        <v>45.078866854886606</v>
      </c>
      <c r="T29" s="315">
        <f t="shared" si="20"/>
        <v>49.12699189604416</v>
      </c>
      <c r="U29" s="315">
        <f t="shared" si="20"/>
        <v>53.499778170776828</v>
      </c>
      <c r="V29" s="315">
        <f t="shared" si="20"/>
        <v>58.221557492679736</v>
      </c>
      <c r="W29" s="315">
        <f t="shared" si="20"/>
        <v>63.318403600371383</v>
      </c>
      <c r="X29" s="315">
        <f t="shared" si="20"/>
        <v>68.818252777759383</v>
      </c>
      <c r="Y29" s="315">
        <f t="shared" si="20"/>
        <v>74.751032616794419</v>
      </c>
      <c r="Z29" s="315">
        <f t="shared" si="20"/>
        <v>81.148799461401552</v>
      </c>
      <c r="AA29" s="315">
        <f t="shared" si="20"/>
        <v>88.045885106337124</v>
      </c>
      <c r="AB29" s="315">
        <f t="shared" si="20"/>
        <v>95.479053362028054</v>
      </c>
      <c r="AC29" s="315">
        <f t="shared" si="20"/>
        <v>103.48766713615429</v>
      </c>
      <c r="AD29" s="315">
        <f t="shared" si="20"/>
        <v>112.11386672498247</v>
      </c>
      <c r="AE29" s="315">
        <f t="shared" si="20"/>
        <v>121.40276005241491</v>
      </c>
      <c r="AF29" s="315">
        <f t="shared" si="20"/>
        <v>131.40262564255042</v>
      </c>
      <c r="AG29" s="315">
        <f t="shared" si="20"/>
        <v>142.16512916244824</v>
      </c>
      <c r="AH29" s="315">
        <f t="shared" si="20"/>
        <v>153.74555442593334</v>
      </c>
      <c r="AI29" s="315">
        <f t="shared" si="20"/>
        <v>166.2030498068907</v>
      </c>
      <c r="AJ29" s="315">
        <f t="shared" si="20"/>
        <v>179.60089107178081</v>
      </c>
      <c r="AK29" s="315">
        <f t="shared" si="20"/>
        <v>194.00676170630862</v>
      </c>
      <c r="AL29" s="311"/>
      <c r="AM29" s="311"/>
      <c r="AN29" s="311"/>
      <c r="AO29" s="311"/>
      <c r="AP29" s="311"/>
      <c r="AQ29" s="311"/>
      <c r="AR29" s="311"/>
    </row>
    <row r="30" spans="1:44" s="311" customFormat="1">
      <c r="A30" s="1"/>
      <c r="B30" s="181"/>
      <c r="C30" s="181"/>
      <c r="D30" s="181"/>
      <c r="F30" s="308"/>
      <c r="G30" s="30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  <c r="AA30" s="308"/>
      <c r="AB30" s="308"/>
      <c r="AC30" s="308"/>
      <c r="AD30" s="308"/>
      <c r="AE30" s="308"/>
      <c r="AF30" s="308"/>
      <c r="AG30" s="308"/>
      <c r="AH30" s="308"/>
      <c r="AI30" s="308"/>
      <c r="AJ30" s="308"/>
      <c r="AK30" s="308"/>
      <c r="AL30" s="308"/>
      <c r="AM30" s="308"/>
      <c r="AN30" s="308"/>
      <c r="AO30" s="308"/>
      <c r="AP30" s="308"/>
      <c r="AQ30" s="308"/>
      <c r="AR30" s="308"/>
    </row>
    <row r="31" spans="1:44" s="98" customFormat="1">
      <c r="A31" s="1"/>
      <c r="B31" s="314"/>
      <c r="C31" s="314"/>
      <c r="D31" s="314"/>
      <c r="F31" s="315" t="s">
        <v>463</v>
      </c>
      <c r="G31" s="315">
        <f>G24+G29</f>
        <v>50.386980624739685</v>
      </c>
      <c r="H31" s="315">
        <f t="shared" ref="H31:AK31" si="21">H24+H29</f>
        <v>54.079248914857914</v>
      </c>
      <c r="I31" s="315">
        <f t="shared" si="21"/>
        <v>58.025684825338786</v>
      </c>
      <c r="J31" s="315">
        <f t="shared" si="21"/>
        <v>62.213564880548574</v>
      </c>
      <c r="K31" s="315">
        <f t="shared" si="21"/>
        <v>66.70876133422081</v>
      </c>
      <c r="L31" s="315">
        <f t="shared" si="21"/>
        <v>71.508054052260022</v>
      </c>
      <c r="M31" s="315">
        <f t="shared" si="21"/>
        <v>76.61813089134759</v>
      </c>
      <c r="N31" s="315">
        <f t="shared" si="21"/>
        <v>81.99843144590406</v>
      </c>
      <c r="O31" s="315">
        <f t="shared" si="21"/>
        <v>87.635693619291686</v>
      </c>
      <c r="P31" s="315">
        <f t="shared" si="21"/>
        <v>93.58875013957649</v>
      </c>
      <c r="Q31" s="315">
        <f t="shared" si="21"/>
        <v>99.918789923667958</v>
      </c>
      <c r="R31" s="315">
        <f t="shared" si="21"/>
        <v>106.64857205701662</v>
      </c>
      <c r="S31" s="315">
        <f t="shared" si="21"/>
        <v>113.80218021536896</v>
      </c>
      <c r="T31" s="315">
        <f t="shared" si="21"/>
        <v>121.40509740540512</v>
      </c>
      <c r="U31" s="315">
        <f t="shared" si="21"/>
        <v>129.48428480354235</v>
      </c>
      <c r="V31" s="315">
        <f t="shared" si="21"/>
        <v>138.06826491121191</v>
      </c>
      <c r="W31" s="315">
        <f t="shared" si="21"/>
        <v>147.18720925618476</v>
      </c>
      <c r="X31" s="315">
        <f t="shared" si="21"/>
        <v>156.87303088134385</v>
      </c>
      <c r="Y31" s="315">
        <f t="shared" si="21"/>
        <v>167.15948187471295</v>
      </c>
      <c r="Z31" s="315">
        <f t="shared" si="21"/>
        <v>178.08225620757543</v>
      </c>
      <c r="AA31" s="315">
        <f t="shared" si="21"/>
        <v>189.67909816118299</v>
      </c>
      <c r="AB31" s="315">
        <f t="shared" si="21"/>
        <v>201.98991663689185</v>
      </c>
      <c r="AC31" s="315">
        <f t="shared" si="21"/>
        <v>215.05690565960697</v>
      </c>
      <c r="AD31" s="315">
        <f t="shared" si="21"/>
        <v>228.92467140019181</v>
      </c>
      <c r="AE31" s="315">
        <f t="shared" si="21"/>
        <v>243.64036605905</v>
      </c>
      <c r="AF31" s="315">
        <f t="shared" si="21"/>
        <v>259.25382897043721</v>
      </c>
      <c r="AG31" s="315">
        <f t="shared" si="21"/>
        <v>275.81773530526004</v>
      </c>
      <c r="AH31" s="315">
        <f t="shared" si="21"/>
        <v>293.38775276919148</v>
      </c>
      <c r="AI31" s="315">
        <f t="shared" si="21"/>
        <v>312.02270671293616</v>
      </c>
      <c r="AJ31" s="315">
        <f t="shared" si="21"/>
        <v>331.78475409243129</v>
      </c>
      <c r="AK31" s="315">
        <f t="shared" si="21"/>
        <v>352.73956673874278</v>
      </c>
      <c r="AL31" s="315"/>
      <c r="AM31" s="315"/>
      <c r="AN31" s="315"/>
      <c r="AO31" s="315"/>
      <c r="AP31" s="315"/>
      <c r="AQ31" s="315"/>
      <c r="AR31" s="315"/>
    </row>
    <row r="32" spans="1:44" s="315" customFormat="1">
      <c r="B32" s="1"/>
      <c r="C32" s="1"/>
      <c r="D32" s="1"/>
      <c r="F32" s="308" t="s">
        <v>464</v>
      </c>
      <c r="G32" s="90">
        <v>0.6</v>
      </c>
      <c r="H32" s="90">
        <v>0.6</v>
      </c>
      <c r="I32" s="90">
        <v>0.6</v>
      </c>
      <c r="J32" s="90">
        <v>0.6</v>
      </c>
      <c r="K32" s="90">
        <v>0.6</v>
      </c>
      <c r="L32" s="90">
        <v>0.6</v>
      </c>
      <c r="M32" s="90">
        <v>0.6</v>
      </c>
      <c r="N32" s="90">
        <v>0.6</v>
      </c>
      <c r="O32" s="90">
        <v>0.6</v>
      </c>
      <c r="P32" s="90">
        <v>0.6</v>
      </c>
      <c r="Q32" s="90">
        <v>0.6</v>
      </c>
      <c r="R32" s="90">
        <v>0.6</v>
      </c>
      <c r="S32" s="90">
        <v>0.6</v>
      </c>
      <c r="T32" s="90">
        <v>0.6</v>
      </c>
      <c r="U32" s="90">
        <v>0.6</v>
      </c>
      <c r="V32" s="90">
        <v>0.6</v>
      </c>
      <c r="W32" s="90">
        <v>0.6</v>
      </c>
      <c r="X32" s="90">
        <v>0.6</v>
      </c>
      <c r="Y32" s="90">
        <v>0.6</v>
      </c>
      <c r="Z32" s="90">
        <v>0.6</v>
      </c>
      <c r="AA32" s="90">
        <v>0.6</v>
      </c>
      <c r="AB32" s="90">
        <v>0.6</v>
      </c>
      <c r="AC32" s="90">
        <v>0.6</v>
      </c>
      <c r="AD32" s="90">
        <v>0.6</v>
      </c>
      <c r="AE32" s="90">
        <v>0.6</v>
      </c>
      <c r="AF32" s="90">
        <v>0.6</v>
      </c>
      <c r="AG32" s="90">
        <v>0.6</v>
      </c>
      <c r="AH32" s="90">
        <v>0.6</v>
      </c>
      <c r="AI32" s="90">
        <v>0.6</v>
      </c>
      <c r="AJ32" s="90">
        <v>0.6</v>
      </c>
      <c r="AK32" s="90">
        <v>0.6</v>
      </c>
      <c r="AL32" s="308"/>
      <c r="AM32" s="308"/>
      <c r="AN32" s="308"/>
      <c r="AO32" s="308"/>
      <c r="AP32" s="308"/>
      <c r="AQ32" s="308"/>
      <c r="AR32" s="308"/>
    </row>
    <row r="33" spans="1:44" s="308" customFormat="1">
      <c r="A33" s="316"/>
      <c r="B33" s="3" t="s">
        <v>465</v>
      </c>
      <c r="C33" s="1"/>
      <c r="D33" s="2"/>
      <c r="F33" s="308" t="s">
        <v>466</v>
      </c>
      <c r="G33" s="90">
        <v>0.8</v>
      </c>
      <c r="H33" s="90">
        <f t="shared" ref="H33:Z33" si="22">G33+0.01</f>
        <v>0.81</v>
      </c>
      <c r="I33" s="90">
        <f t="shared" si="22"/>
        <v>0.82000000000000006</v>
      </c>
      <c r="J33" s="90">
        <f t="shared" si="22"/>
        <v>0.83000000000000007</v>
      </c>
      <c r="K33" s="90">
        <f t="shared" si="22"/>
        <v>0.84000000000000008</v>
      </c>
      <c r="L33" s="90">
        <f t="shared" si="22"/>
        <v>0.85000000000000009</v>
      </c>
      <c r="M33" s="90">
        <f t="shared" si="22"/>
        <v>0.8600000000000001</v>
      </c>
      <c r="N33" s="90">
        <f t="shared" si="22"/>
        <v>0.87000000000000011</v>
      </c>
      <c r="O33" s="90">
        <f t="shared" si="22"/>
        <v>0.88000000000000012</v>
      </c>
      <c r="P33" s="90">
        <f t="shared" si="22"/>
        <v>0.89000000000000012</v>
      </c>
      <c r="Q33" s="90">
        <f t="shared" si="22"/>
        <v>0.90000000000000013</v>
      </c>
      <c r="R33" s="90">
        <f t="shared" si="22"/>
        <v>0.91000000000000014</v>
      </c>
      <c r="S33" s="90">
        <f t="shared" si="22"/>
        <v>0.92000000000000015</v>
      </c>
      <c r="T33" s="90">
        <f t="shared" si="22"/>
        <v>0.93000000000000016</v>
      </c>
      <c r="U33" s="90">
        <f t="shared" si="22"/>
        <v>0.94000000000000017</v>
      </c>
      <c r="V33" s="90">
        <f t="shared" si="22"/>
        <v>0.95000000000000018</v>
      </c>
      <c r="W33" s="90">
        <f t="shared" si="22"/>
        <v>0.96000000000000019</v>
      </c>
      <c r="X33" s="90">
        <f t="shared" si="22"/>
        <v>0.9700000000000002</v>
      </c>
      <c r="Y33" s="90">
        <f t="shared" si="22"/>
        <v>0.9800000000000002</v>
      </c>
      <c r="Z33" s="90">
        <f t="shared" si="22"/>
        <v>0.99000000000000021</v>
      </c>
      <c r="AA33" s="90">
        <f t="shared" ref="AA33:AK33" si="23">Z33</f>
        <v>0.99000000000000021</v>
      </c>
      <c r="AB33" s="90">
        <f t="shared" si="23"/>
        <v>0.99000000000000021</v>
      </c>
      <c r="AC33" s="90">
        <f t="shared" si="23"/>
        <v>0.99000000000000021</v>
      </c>
      <c r="AD33" s="90">
        <f t="shared" si="23"/>
        <v>0.99000000000000021</v>
      </c>
      <c r="AE33" s="90">
        <f t="shared" si="23"/>
        <v>0.99000000000000021</v>
      </c>
      <c r="AF33" s="90">
        <f t="shared" si="23"/>
        <v>0.99000000000000021</v>
      </c>
      <c r="AG33" s="90">
        <f t="shared" si="23"/>
        <v>0.99000000000000021</v>
      </c>
      <c r="AH33" s="90">
        <f t="shared" si="23"/>
        <v>0.99000000000000021</v>
      </c>
      <c r="AI33" s="90">
        <f t="shared" si="23"/>
        <v>0.99000000000000021</v>
      </c>
      <c r="AJ33" s="90">
        <f t="shared" si="23"/>
        <v>0.99000000000000021</v>
      </c>
      <c r="AK33" s="90">
        <f t="shared" si="23"/>
        <v>0.99000000000000021</v>
      </c>
    </row>
    <row r="34" spans="1:44" s="98" customFormat="1">
      <c r="A34" s="315"/>
      <c r="B34" s="182" t="str">
        <f t="shared" ref="B34:B41" si="24">B22</f>
        <v>Stage No.</v>
      </c>
      <c r="C34" s="1"/>
      <c r="D34" s="1"/>
      <c r="F34" s="315" t="s">
        <v>467</v>
      </c>
      <c r="G34" s="315">
        <f>G31*G32*G33</f>
        <v>24.185750699875047</v>
      </c>
      <c r="H34" s="315">
        <f t="shared" ref="H34:AK34" si="25">H31*H32*H33</f>
        <v>26.282514972620948</v>
      </c>
      <c r="I34" s="315">
        <f t="shared" si="25"/>
        <v>28.548636934066685</v>
      </c>
      <c r="J34" s="315">
        <f t="shared" si="25"/>
        <v>30.982355310513192</v>
      </c>
      <c r="K34" s="315">
        <f t="shared" si="25"/>
        <v>33.621215712447288</v>
      </c>
      <c r="L34" s="315">
        <f t="shared" si="25"/>
        <v>36.469107566652617</v>
      </c>
      <c r="M34" s="315">
        <f t="shared" si="25"/>
        <v>39.53495553993536</v>
      </c>
      <c r="N34" s="315">
        <f t="shared" si="25"/>
        <v>42.803181214761921</v>
      </c>
      <c r="O34" s="315">
        <f t="shared" si="25"/>
        <v>46.271646230986015</v>
      </c>
      <c r="P34" s="315">
        <f t="shared" si="25"/>
        <v>49.976392574533854</v>
      </c>
      <c r="Q34" s="315">
        <f t="shared" si="25"/>
        <v>53.956146558780702</v>
      </c>
      <c r="R34" s="315">
        <f t="shared" si="25"/>
        <v>58.230120343131084</v>
      </c>
      <c r="S34" s="315">
        <f t="shared" si="25"/>
        <v>62.818803478883673</v>
      </c>
      <c r="T34" s="315">
        <f t="shared" si="25"/>
        <v>67.744044352216065</v>
      </c>
      <c r="U34" s="315">
        <f t="shared" si="25"/>
        <v>73.029136629197907</v>
      </c>
      <c r="V34" s="315">
        <f t="shared" si="25"/>
        <v>78.698910999390804</v>
      </c>
      <c r="W34" s="315">
        <f t="shared" si="25"/>
        <v>84.779832531562434</v>
      </c>
      <c r="X34" s="315">
        <f t="shared" si="25"/>
        <v>91.300103972942139</v>
      </c>
      <c r="Y34" s="315">
        <f t="shared" si="25"/>
        <v>98.289775342331239</v>
      </c>
      <c r="Z34" s="315">
        <f t="shared" si="25"/>
        <v>105.78086018729982</v>
      </c>
      <c r="AA34" s="315">
        <f t="shared" si="25"/>
        <v>112.66938430774272</v>
      </c>
      <c r="AB34" s="315">
        <f t="shared" si="25"/>
        <v>119.98201048231378</v>
      </c>
      <c r="AC34" s="315">
        <f t="shared" si="25"/>
        <v>127.74380196180657</v>
      </c>
      <c r="AD34" s="315">
        <f t="shared" si="25"/>
        <v>135.98125481171394</v>
      </c>
      <c r="AE34" s="315">
        <f t="shared" si="25"/>
        <v>144.72237743907573</v>
      </c>
      <c r="AF34" s="315">
        <f t="shared" si="25"/>
        <v>153.99677440843973</v>
      </c>
      <c r="AG34" s="315">
        <f t="shared" si="25"/>
        <v>163.8357347713245</v>
      </c>
      <c r="AH34" s="315">
        <f t="shared" si="25"/>
        <v>174.27232514489975</v>
      </c>
      <c r="AI34" s="315">
        <f t="shared" si="25"/>
        <v>185.34148778748411</v>
      </c>
      <c r="AJ34" s="315">
        <f t="shared" si="25"/>
        <v>197.08014393090423</v>
      </c>
      <c r="AK34" s="315">
        <f t="shared" si="25"/>
        <v>209.52730264281325</v>
      </c>
      <c r="AL34" s="315"/>
      <c r="AM34" s="315"/>
      <c r="AN34" s="315"/>
      <c r="AO34" s="315"/>
      <c r="AP34" s="315"/>
      <c r="AQ34" s="315"/>
      <c r="AR34" s="315"/>
    </row>
    <row r="35" spans="1:44" s="311" customFormat="1">
      <c r="A35" s="315"/>
      <c r="B35" s="183">
        <f t="shared" si="24"/>
        <v>1</v>
      </c>
      <c r="C35" s="184">
        <v>0.9</v>
      </c>
      <c r="D35" s="183" t="str">
        <f>D23</f>
        <v>Pre-clinical</v>
      </c>
      <c r="F35" s="308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  <c r="AA35" s="308"/>
      <c r="AB35" s="308"/>
      <c r="AC35" s="308"/>
      <c r="AD35" s="308"/>
      <c r="AE35" s="308"/>
      <c r="AF35" s="308"/>
      <c r="AG35" s="308"/>
      <c r="AH35" s="308"/>
      <c r="AI35" s="308"/>
      <c r="AJ35" s="308"/>
      <c r="AK35" s="308"/>
      <c r="AL35" s="308"/>
      <c r="AM35" s="308"/>
      <c r="AN35" s="308"/>
      <c r="AO35" s="308"/>
      <c r="AP35" s="308"/>
      <c r="AQ35" s="308"/>
      <c r="AR35" s="308"/>
    </row>
    <row r="36" spans="1:44" s="98" customFormat="1">
      <c r="A36" s="315"/>
      <c r="B36" s="183">
        <f t="shared" si="24"/>
        <v>2</v>
      </c>
      <c r="C36" s="184">
        <v>1</v>
      </c>
      <c r="D36" s="183" t="str">
        <f t="shared" ref="D36:D41" si="26">D24</f>
        <v>IND Filing</v>
      </c>
      <c r="F36" s="198" t="s">
        <v>468</v>
      </c>
      <c r="G36" s="198">
        <v>0.6</v>
      </c>
      <c r="H36" s="198">
        <v>0.6</v>
      </c>
      <c r="I36" s="198">
        <v>0.6</v>
      </c>
      <c r="J36" s="198">
        <v>0.6</v>
      </c>
      <c r="K36" s="198">
        <v>0.6</v>
      </c>
      <c r="L36" s="198">
        <v>0.6</v>
      </c>
      <c r="M36" s="198">
        <v>0.6</v>
      </c>
      <c r="N36" s="198">
        <v>0.6</v>
      </c>
      <c r="O36" s="198">
        <v>0.6</v>
      </c>
      <c r="P36" s="198">
        <v>0.6</v>
      </c>
      <c r="Q36" s="198">
        <v>0.6</v>
      </c>
      <c r="R36" s="198">
        <v>0.6</v>
      </c>
      <c r="S36" s="198">
        <v>0.6</v>
      </c>
      <c r="T36" s="198">
        <v>0.6</v>
      </c>
      <c r="U36" s="198">
        <v>0.6</v>
      </c>
      <c r="V36" s="198">
        <v>0.6</v>
      </c>
      <c r="W36" s="198">
        <v>0.6</v>
      </c>
      <c r="X36" s="198">
        <v>0.6</v>
      </c>
      <c r="Y36" s="198">
        <v>0.6</v>
      </c>
      <c r="Z36" s="198">
        <v>0.6</v>
      </c>
      <c r="AA36" s="198">
        <v>0.6</v>
      </c>
      <c r="AB36" s="198">
        <v>0.6</v>
      </c>
      <c r="AC36" s="198">
        <v>0.6</v>
      </c>
      <c r="AD36" s="198">
        <v>0.6</v>
      </c>
      <c r="AE36" s="198">
        <v>0.6</v>
      </c>
      <c r="AF36" s="198">
        <v>0.6</v>
      </c>
      <c r="AG36" s="198">
        <v>0.6</v>
      </c>
      <c r="AH36" s="198">
        <v>0.6</v>
      </c>
      <c r="AI36" s="198">
        <v>0.6</v>
      </c>
      <c r="AJ36" s="198">
        <v>0.6</v>
      </c>
      <c r="AK36" s="198">
        <v>0.6</v>
      </c>
      <c r="AL36" s="308"/>
      <c r="AM36" s="308"/>
      <c r="AN36" s="308"/>
      <c r="AO36" s="308"/>
      <c r="AP36" s="308"/>
      <c r="AQ36" s="308"/>
      <c r="AR36" s="308"/>
    </row>
    <row r="37" spans="1:44" s="311" customFormat="1">
      <c r="A37" s="116"/>
      <c r="B37" s="183">
        <f t="shared" si="24"/>
        <v>3</v>
      </c>
      <c r="C37" s="184">
        <v>0.69499999999999995</v>
      </c>
      <c r="D37" s="183" t="str">
        <f t="shared" si="26"/>
        <v>Phase 1</v>
      </c>
      <c r="F37" s="311" t="s">
        <v>469</v>
      </c>
      <c r="G37" s="311">
        <f>G36*G34</f>
        <v>14.511450419925028</v>
      </c>
      <c r="H37" s="311">
        <f t="shared" ref="H37:AK37" si="27">H36*H34</f>
        <v>15.769508983572567</v>
      </c>
      <c r="I37" s="311">
        <f t="shared" si="27"/>
        <v>17.12918216044001</v>
      </c>
      <c r="J37" s="311">
        <f t="shared" si="27"/>
        <v>18.589413186307915</v>
      </c>
      <c r="K37" s="311">
        <f t="shared" si="27"/>
        <v>20.172729427468372</v>
      </c>
      <c r="L37" s="311">
        <f t="shared" si="27"/>
        <v>21.881464539991569</v>
      </c>
      <c r="M37" s="311">
        <f t="shared" si="27"/>
        <v>23.720973323961214</v>
      </c>
      <c r="N37" s="311">
        <f t="shared" si="27"/>
        <v>25.681908728857152</v>
      </c>
      <c r="O37" s="311">
        <f t="shared" si="27"/>
        <v>27.762987738591608</v>
      </c>
      <c r="P37" s="311">
        <f t="shared" si="27"/>
        <v>29.98583554472031</v>
      </c>
      <c r="Q37" s="311">
        <f t="shared" si="27"/>
        <v>32.373687935268421</v>
      </c>
      <c r="R37" s="311">
        <f t="shared" si="27"/>
        <v>34.938072205878647</v>
      </c>
      <c r="S37" s="311">
        <f t="shared" si="27"/>
        <v>37.691282087330201</v>
      </c>
      <c r="T37" s="311">
        <f t="shared" si="27"/>
        <v>40.646426611329638</v>
      </c>
      <c r="U37" s="311">
        <f t="shared" si="27"/>
        <v>43.817481977518746</v>
      </c>
      <c r="V37" s="311">
        <f t="shared" si="27"/>
        <v>47.219346599634484</v>
      </c>
      <c r="W37" s="311">
        <f t="shared" si="27"/>
        <v>50.867899518937456</v>
      </c>
      <c r="X37" s="311">
        <f t="shared" si="27"/>
        <v>54.780062383765284</v>
      </c>
      <c r="Y37" s="311">
        <f t="shared" si="27"/>
        <v>58.973865205398738</v>
      </c>
      <c r="Z37" s="311">
        <f t="shared" si="27"/>
        <v>63.468516112379888</v>
      </c>
      <c r="AA37" s="311">
        <f t="shared" si="27"/>
        <v>67.601630584645633</v>
      </c>
      <c r="AB37" s="311">
        <f t="shared" si="27"/>
        <v>71.989206289388264</v>
      </c>
      <c r="AC37" s="311">
        <f t="shared" si="27"/>
        <v>76.646281177083935</v>
      </c>
      <c r="AD37" s="311">
        <f t="shared" si="27"/>
        <v>81.588752887028363</v>
      </c>
      <c r="AE37" s="311">
        <f t="shared" si="27"/>
        <v>86.833426463445434</v>
      </c>
      <c r="AF37" s="311">
        <f t="shared" si="27"/>
        <v>92.39806464506384</v>
      </c>
      <c r="AG37" s="311">
        <f t="shared" si="27"/>
        <v>98.301440862794692</v>
      </c>
      <c r="AH37" s="311">
        <f t="shared" si="27"/>
        <v>104.56339508693985</v>
      </c>
      <c r="AI37" s="311">
        <f t="shared" si="27"/>
        <v>111.20489267249046</v>
      </c>
      <c r="AJ37" s="311">
        <f t="shared" si="27"/>
        <v>118.24808635854254</v>
      </c>
      <c r="AK37" s="311">
        <f t="shared" si="27"/>
        <v>125.71638158568794</v>
      </c>
      <c r="AL37" s="98"/>
      <c r="AM37" s="98"/>
      <c r="AN37" s="98"/>
      <c r="AO37" s="98"/>
      <c r="AP37" s="98"/>
      <c r="AQ37" s="98"/>
      <c r="AR37" s="98"/>
    </row>
    <row r="38" spans="1:44" s="308" customFormat="1">
      <c r="A38" s="117"/>
      <c r="B38" s="183">
        <f t="shared" si="24"/>
        <v>4</v>
      </c>
      <c r="C38" s="184">
        <v>0.42699999999999999</v>
      </c>
      <c r="D38" s="183" t="str">
        <f t="shared" si="26"/>
        <v>Phase 2</v>
      </c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1"/>
      <c r="AC38" s="311"/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  <c r="AN38" s="311"/>
      <c r="AO38" s="311"/>
      <c r="AP38" s="311"/>
      <c r="AQ38" s="311"/>
      <c r="AR38" s="311"/>
    </row>
    <row r="39" spans="1:44" s="315" customFormat="1">
      <c r="B39" s="183">
        <f t="shared" si="24"/>
        <v>5</v>
      </c>
      <c r="C39" s="184">
        <v>0.72699999999999998</v>
      </c>
      <c r="D39" s="183" t="str">
        <f t="shared" si="26"/>
        <v>Phase 3</v>
      </c>
      <c r="F39" s="311" t="s">
        <v>470</v>
      </c>
      <c r="G39" s="103">
        <v>0.2</v>
      </c>
      <c r="H39" s="103">
        <v>0.2</v>
      </c>
      <c r="I39" s="103">
        <v>0.2</v>
      </c>
      <c r="J39" s="103">
        <v>0.2</v>
      </c>
      <c r="K39" s="103">
        <v>0.2</v>
      </c>
      <c r="L39" s="103">
        <v>0.2</v>
      </c>
      <c r="M39" s="103">
        <v>0.2</v>
      </c>
      <c r="N39" s="103">
        <v>0.2</v>
      </c>
      <c r="O39" s="103">
        <v>0.2</v>
      </c>
      <c r="P39" s="103">
        <v>0.2</v>
      </c>
      <c r="Q39" s="103">
        <v>0.2</v>
      </c>
      <c r="R39" s="103">
        <v>0.2</v>
      </c>
      <c r="S39" s="103">
        <v>0.2</v>
      </c>
      <c r="T39" s="103">
        <v>0.2</v>
      </c>
      <c r="U39" s="103">
        <v>0.2</v>
      </c>
      <c r="V39" s="103">
        <v>0.2</v>
      </c>
      <c r="W39" s="103">
        <v>0.2</v>
      </c>
      <c r="X39" s="103">
        <v>0.2</v>
      </c>
      <c r="Y39" s="103">
        <v>0.2</v>
      </c>
      <c r="Z39" s="103">
        <v>0.2</v>
      </c>
      <c r="AA39" s="103">
        <v>0.2</v>
      </c>
      <c r="AB39" s="103">
        <v>0.2</v>
      </c>
      <c r="AC39" s="103">
        <v>0.2</v>
      </c>
      <c r="AD39" s="103">
        <v>0.2</v>
      </c>
      <c r="AE39" s="103">
        <v>0.2</v>
      </c>
      <c r="AF39" s="103">
        <v>0.2</v>
      </c>
      <c r="AG39" s="103">
        <v>0.2</v>
      </c>
      <c r="AH39" s="103">
        <v>0.2</v>
      </c>
      <c r="AI39" s="103">
        <v>0.2</v>
      </c>
      <c r="AJ39" s="103">
        <v>0.2</v>
      </c>
      <c r="AK39" s="103">
        <v>0.2</v>
      </c>
      <c r="AL39" s="311"/>
      <c r="AM39" s="311"/>
      <c r="AN39" s="311"/>
      <c r="AO39" s="311"/>
      <c r="AP39" s="311"/>
      <c r="AQ39" s="311"/>
      <c r="AR39" s="311"/>
    </row>
    <row r="40" spans="1:44" s="308" customFormat="1">
      <c r="A40" s="315"/>
      <c r="B40" s="183">
        <f t="shared" si="24"/>
        <v>6</v>
      </c>
      <c r="C40" s="184">
        <v>0.88700000000000001</v>
      </c>
      <c r="D40" s="183" t="str">
        <f t="shared" si="26"/>
        <v>Regulatory Approval</v>
      </c>
      <c r="F40" s="311" t="s">
        <v>471</v>
      </c>
      <c r="G40" s="311">
        <f>G39*G37</f>
        <v>2.9022900839850059</v>
      </c>
      <c r="H40" s="311">
        <f t="shared" ref="H40:AK40" si="28">H39*H37</f>
        <v>3.1539017967145138</v>
      </c>
      <c r="I40" s="311">
        <f t="shared" si="28"/>
        <v>3.4258364320880021</v>
      </c>
      <c r="J40" s="311">
        <f t="shared" si="28"/>
        <v>3.7178826372615834</v>
      </c>
      <c r="K40" s="311">
        <f t="shared" si="28"/>
        <v>4.0345458854936744</v>
      </c>
      <c r="L40" s="311">
        <f t="shared" si="28"/>
        <v>4.3762929079983142</v>
      </c>
      <c r="M40" s="311">
        <f t="shared" si="28"/>
        <v>4.7441946647922428</v>
      </c>
      <c r="N40" s="311">
        <f t="shared" si="28"/>
        <v>5.1363817457714305</v>
      </c>
      <c r="O40" s="311">
        <f t="shared" si="28"/>
        <v>5.5525975477183218</v>
      </c>
      <c r="P40" s="311">
        <f t="shared" si="28"/>
        <v>5.9971671089440619</v>
      </c>
      <c r="Q40" s="311">
        <f t="shared" si="28"/>
        <v>6.474737587053685</v>
      </c>
      <c r="R40" s="311">
        <f t="shared" si="28"/>
        <v>6.9876144411757295</v>
      </c>
      <c r="S40" s="311">
        <f t="shared" si="28"/>
        <v>7.5382564174660409</v>
      </c>
      <c r="T40" s="311">
        <f t="shared" si="28"/>
        <v>8.1292853222659271</v>
      </c>
      <c r="U40" s="311">
        <f t="shared" si="28"/>
        <v>8.7634963955037488</v>
      </c>
      <c r="V40" s="311">
        <f t="shared" si="28"/>
        <v>9.4438693199268968</v>
      </c>
      <c r="W40" s="311">
        <f t="shared" si="28"/>
        <v>10.173579903787491</v>
      </c>
      <c r="X40" s="311">
        <f t="shared" si="28"/>
        <v>10.956012476753058</v>
      </c>
      <c r="Y40" s="311">
        <f t="shared" si="28"/>
        <v>11.794773041079749</v>
      </c>
      <c r="Z40" s="311">
        <f t="shared" si="28"/>
        <v>12.693703222475978</v>
      </c>
      <c r="AA40" s="311">
        <f t="shared" si="28"/>
        <v>13.520326116929127</v>
      </c>
      <c r="AB40" s="311">
        <f t="shared" si="28"/>
        <v>14.397841257877653</v>
      </c>
      <c r="AC40" s="311">
        <f t="shared" si="28"/>
        <v>15.329256235416787</v>
      </c>
      <c r="AD40" s="311">
        <f t="shared" si="28"/>
        <v>16.317750577405672</v>
      </c>
      <c r="AE40" s="311">
        <f t="shared" si="28"/>
        <v>17.366685292689088</v>
      </c>
      <c r="AF40" s="311">
        <f t="shared" si="28"/>
        <v>18.47961292901277</v>
      </c>
      <c r="AG40" s="311">
        <f t="shared" si="28"/>
        <v>19.660288172558939</v>
      </c>
      <c r="AH40" s="311">
        <f t="shared" si="28"/>
        <v>20.912679017387973</v>
      </c>
      <c r="AI40" s="311">
        <f t="shared" si="28"/>
        <v>22.240978534498094</v>
      </c>
      <c r="AJ40" s="311">
        <f t="shared" si="28"/>
        <v>23.649617271708507</v>
      </c>
      <c r="AK40" s="311">
        <f t="shared" si="28"/>
        <v>25.143276317137591</v>
      </c>
      <c r="AL40" s="311"/>
      <c r="AM40" s="311"/>
      <c r="AN40" s="311"/>
      <c r="AO40" s="311"/>
      <c r="AP40" s="311"/>
      <c r="AQ40" s="311"/>
      <c r="AR40" s="311"/>
    </row>
    <row r="41" spans="1:44" s="308" customFormat="1">
      <c r="A41" s="315"/>
      <c r="B41" s="183">
        <f t="shared" si="24"/>
        <v>7</v>
      </c>
      <c r="C41" s="184">
        <v>1</v>
      </c>
      <c r="D41" s="183" t="str">
        <f t="shared" si="26"/>
        <v>Commercialization</v>
      </c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1"/>
      <c r="AC41" s="311"/>
      <c r="AD41" s="311"/>
      <c r="AE41" s="311"/>
      <c r="AF41" s="311"/>
      <c r="AG41" s="311"/>
      <c r="AH41" s="311"/>
      <c r="AI41" s="311"/>
      <c r="AJ41" s="311"/>
      <c r="AK41" s="311"/>
      <c r="AL41" s="311"/>
      <c r="AM41" s="311"/>
      <c r="AN41" s="311"/>
      <c r="AO41" s="311"/>
      <c r="AP41" s="311"/>
      <c r="AQ41" s="311"/>
      <c r="AR41" s="311"/>
    </row>
    <row r="42" spans="1:44" s="315" customFormat="1">
      <c r="B42" s="1"/>
      <c r="C42" s="1"/>
      <c r="D42" s="1"/>
      <c r="F42" s="308" t="s">
        <v>472</v>
      </c>
      <c r="G42" s="91">
        <v>0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0</v>
      </c>
      <c r="U42" s="91">
        <v>0.05</v>
      </c>
      <c r="V42" s="90">
        <v>0.15</v>
      </c>
      <c r="W42" s="90">
        <v>0.25</v>
      </c>
      <c r="X42" s="90">
        <v>0.35</v>
      </c>
      <c r="Y42" s="90">
        <v>0.45</v>
      </c>
      <c r="Z42" s="90">
        <v>0.5</v>
      </c>
      <c r="AA42" s="90">
        <f t="shared" ref="AA42:AK42" si="29">Z42</f>
        <v>0.5</v>
      </c>
      <c r="AB42" s="90">
        <f t="shared" si="29"/>
        <v>0.5</v>
      </c>
      <c r="AC42" s="90">
        <f t="shared" si="29"/>
        <v>0.5</v>
      </c>
      <c r="AD42" s="90">
        <f t="shared" si="29"/>
        <v>0.5</v>
      </c>
      <c r="AE42" s="90">
        <f t="shared" si="29"/>
        <v>0.5</v>
      </c>
      <c r="AF42" s="90">
        <f t="shared" si="29"/>
        <v>0.5</v>
      </c>
      <c r="AG42" s="90">
        <f t="shared" si="29"/>
        <v>0.5</v>
      </c>
      <c r="AH42" s="90">
        <f t="shared" si="29"/>
        <v>0.5</v>
      </c>
      <c r="AI42" s="90">
        <f t="shared" si="29"/>
        <v>0.5</v>
      </c>
      <c r="AJ42" s="90">
        <f t="shared" si="29"/>
        <v>0.5</v>
      </c>
      <c r="AK42" s="90">
        <f t="shared" si="29"/>
        <v>0.5</v>
      </c>
      <c r="AL42" s="311"/>
      <c r="AM42" s="311"/>
      <c r="AN42" s="311"/>
      <c r="AO42" s="311"/>
      <c r="AP42" s="311"/>
      <c r="AQ42" s="311"/>
      <c r="AR42" s="311"/>
    </row>
    <row r="43" spans="1:44" s="308" customFormat="1">
      <c r="A43" s="315"/>
      <c r="B43" s="3" t="s">
        <v>473</v>
      </c>
      <c r="C43" s="1"/>
      <c r="D43" s="1"/>
      <c r="F43" s="338" t="s">
        <v>474</v>
      </c>
      <c r="G43" s="338">
        <f>G42*G40</f>
        <v>0</v>
      </c>
      <c r="H43" s="338">
        <f t="shared" ref="H43:AK43" si="30">H42*H40</f>
        <v>0</v>
      </c>
      <c r="I43" s="338">
        <f t="shared" si="30"/>
        <v>0</v>
      </c>
      <c r="J43" s="338">
        <f t="shared" si="30"/>
        <v>0</v>
      </c>
      <c r="K43" s="338">
        <f t="shared" si="30"/>
        <v>0</v>
      </c>
      <c r="L43" s="338">
        <f t="shared" si="30"/>
        <v>0</v>
      </c>
      <c r="M43" s="338">
        <f t="shared" si="30"/>
        <v>0</v>
      </c>
      <c r="N43" s="338">
        <f t="shared" si="30"/>
        <v>0</v>
      </c>
      <c r="O43" s="338">
        <f t="shared" si="30"/>
        <v>0</v>
      </c>
      <c r="P43" s="338">
        <f t="shared" si="30"/>
        <v>0</v>
      </c>
      <c r="Q43" s="338">
        <f t="shared" si="30"/>
        <v>0</v>
      </c>
      <c r="R43" s="338">
        <f t="shared" si="30"/>
        <v>0</v>
      </c>
      <c r="S43" s="338">
        <f t="shared" si="30"/>
        <v>0</v>
      </c>
      <c r="T43" s="338">
        <f t="shared" si="30"/>
        <v>0</v>
      </c>
      <c r="U43" s="338">
        <f t="shared" si="30"/>
        <v>0.43817481977518746</v>
      </c>
      <c r="V43" s="338">
        <f t="shared" si="30"/>
        <v>1.4165803979890346</v>
      </c>
      <c r="W43" s="338">
        <f t="shared" si="30"/>
        <v>2.5433949759468728</v>
      </c>
      <c r="X43" s="338">
        <f t="shared" si="30"/>
        <v>3.8346043668635699</v>
      </c>
      <c r="Y43" s="338">
        <f t="shared" si="30"/>
        <v>5.307647868485887</v>
      </c>
      <c r="Z43" s="338">
        <f t="shared" si="30"/>
        <v>6.3468516112379891</v>
      </c>
      <c r="AA43" s="338">
        <f t="shared" si="30"/>
        <v>6.7601630584645633</v>
      </c>
      <c r="AB43" s="338">
        <f t="shared" si="30"/>
        <v>7.1989206289388266</v>
      </c>
      <c r="AC43" s="338">
        <f t="shared" si="30"/>
        <v>7.6646281177083937</v>
      </c>
      <c r="AD43" s="338">
        <f t="shared" si="30"/>
        <v>8.158875288702836</v>
      </c>
      <c r="AE43" s="338">
        <f t="shared" si="30"/>
        <v>8.6833426463445438</v>
      </c>
      <c r="AF43" s="338">
        <f t="shared" si="30"/>
        <v>9.2398064645063851</v>
      </c>
      <c r="AG43" s="338">
        <f t="shared" si="30"/>
        <v>9.8301440862794696</v>
      </c>
      <c r="AH43" s="338">
        <f t="shared" si="30"/>
        <v>10.456339508693986</v>
      </c>
      <c r="AI43" s="338">
        <f t="shared" si="30"/>
        <v>11.120489267249047</v>
      </c>
      <c r="AJ43" s="338">
        <f t="shared" si="30"/>
        <v>11.824808635854254</v>
      </c>
      <c r="AK43" s="338">
        <f t="shared" si="30"/>
        <v>12.571638158568796</v>
      </c>
      <c r="AL43" s="315"/>
      <c r="AM43" s="315"/>
      <c r="AN43" s="315"/>
      <c r="AO43" s="315"/>
      <c r="AP43" s="315"/>
      <c r="AQ43" s="315"/>
      <c r="AR43" s="315"/>
    </row>
    <row r="44" spans="1:44" s="308" customFormat="1">
      <c r="A44" s="315"/>
      <c r="B44" s="182" t="str">
        <f t="shared" ref="B44:B50" si="31">B22</f>
        <v>Stage No.</v>
      </c>
      <c r="C44" s="1"/>
      <c r="D44" s="1"/>
      <c r="F44" s="315"/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  <c r="AA44" s="315"/>
      <c r="AB44" s="315"/>
      <c r="AC44" s="315"/>
      <c r="AD44" s="315"/>
      <c r="AE44" s="315"/>
      <c r="AF44" s="315"/>
      <c r="AG44" s="315"/>
      <c r="AH44" s="315"/>
      <c r="AI44" s="315"/>
      <c r="AJ44" s="315"/>
      <c r="AK44" s="315"/>
      <c r="AL44" s="315"/>
      <c r="AM44" s="315"/>
      <c r="AN44" s="315"/>
      <c r="AO44" s="315"/>
      <c r="AP44" s="315"/>
      <c r="AQ44" s="315"/>
      <c r="AR44" s="315"/>
    </row>
    <row r="45" spans="1:44" s="98" customFormat="1">
      <c r="A45" s="315"/>
      <c r="B45" s="185">
        <f t="shared" si="31"/>
        <v>1</v>
      </c>
      <c r="C45" s="186">
        <v>1</v>
      </c>
      <c r="D45" s="187" t="str">
        <f t="shared" ref="D45:D50" si="32">D23</f>
        <v>Pre-clinical</v>
      </c>
      <c r="F45" s="124" t="s">
        <v>475</v>
      </c>
      <c r="G45" s="323">
        <v>0.4</v>
      </c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119"/>
      <c r="AM45" s="95"/>
      <c r="AN45" s="95"/>
      <c r="AO45" s="95"/>
      <c r="AP45" s="95"/>
      <c r="AQ45" s="95"/>
      <c r="AR45" s="95"/>
    </row>
    <row r="46" spans="1:44" s="311" customFormat="1">
      <c r="A46" s="315"/>
      <c r="B46" s="185">
        <f t="shared" si="31"/>
        <v>2</v>
      </c>
      <c r="C46" s="188">
        <f>IF(D19=D35,C35,1)</f>
        <v>1</v>
      </c>
      <c r="D46" s="187" t="str">
        <f t="shared" si="32"/>
        <v>IND Filing</v>
      </c>
      <c r="F46" s="321" t="s">
        <v>476</v>
      </c>
      <c r="G46" s="333">
        <f>G43</f>
        <v>0</v>
      </c>
      <c r="H46" s="333">
        <f t="shared" ref="H46:AK46" si="33">H43</f>
        <v>0</v>
      </c>
      <c r="I46" s="333">
        <f t="shared" si="33"/>
        <v>0</v>
      </c>
      <c r="J46" s="333">
        <f t="shared" si="33"/>
        <v>0</v>
      </c>
      <c r="K46" s="333">
        <f t="shared" si="33"/>
        <v>0</v>
      </c>
      <c r="L46" s="333">
        <f t="shared" si="33"/>
        <v>0</v>
      </c>
      <c r="M46" s="333">
        <f t="shared" si="33"/>
        <v>0</v>
      </c>
      <c r="N46" s="333">
        <f t="shared" si="33"/>
        <v>0</v>
      </c>
      <c r="O46" s="333">
        <f t="shared" si="33"/>
        <v>0</v>
      </c>
      <c r="P46" s="333">
        <f t="shared" si="33"/>
        <v>0</v>
      </c>
      <c r="Q46" s="333">
        <f t="shared" si="33"/>
        <v>0</v>
      </c>
      <c r="R46" s="333">
        <f t="shared" si="33"/>
        <v>0</v>
      </c>
      <c r="S46" s="333">
        <f t="shared" si="33"/>
        <v>0</v>
      </c>
      <c r="T46" s="333">
        <f t="shared" si="33"/>
        <v>0</v>
      </c>
      <c r="U46" s="333">
        <f t="shared" si="33"/>
        <v>0.43817481977518746</v>
      </c>
      <c r="V46" s="333">
        <f t="shared" si="33"/>
        <v>1.4165803979890346</v>
      </c>
      <c r="W46" s="333">
        <f t="shared" si="33"/>
        <v>2.5433949759468728</v>
      </c>
      <c r="X46" s="333">
        <f t="shared" si="33"/>
        <v>3.8346043668635699</v>
      </c>
      <c r="Y46" s="333">
        <f t="shared" si="33"/>
        <v>5.307647868485887</v>
      </c>
      <c r="Z46" s="333">
        <f t="shared" si="33"/>
        <v>6.3468516112379891</v>
      </c>
      <c r="AA46" s="333">
        <f t="shared" si="33"/>
        <v>6.7601630584645633</v>
      </c>
      <c r="AB46" s="333">
        <f t="shared" si="33"/>
        <v>7.1989206289388266</v>
      </c>
      <c r="AC46" s="333">
        <f t="shared" si="33"/>
        <v>7.6646281177083937</v>
      </c>
      <c r="AD46" s="333">
        <f t="shared" si="33"/>
        <v>8.158875288702836</v>
      </c>
      <c r="AE46" s="333">
        <f t="shared" si="33"/>
        <v>8.6833426463445438</v>
      </c>
      <c r="AF46" s="333">
        <f t="shared" si="33"/>
        <v>9.2398064645063851</v>
      </c>
      <c r="AG46" s="333">
        <f t="shared" si="33"/>
        <v>9.8301440862794696</v>
      </c>
      <c r="AH46" s="333">
        <f t="shared" si="33"/>
        <v>10.456339508693986</v>
      </c>
      <c r="AI46" s="333">
        <f t="shared" si="33"/>
        <v>11.120489267249047</v>
      </c>
      <c r="AJ46" s="333">
        <f t="shared" si="33"/>
        <v>11.824808635854254</v>
      </c>
      <c r="AK46" s="333">
        <f t="shared" si="33"/>
        <v>12.571638158568796</v>
      </c>
      <c r="AL46" s="321"/>
      <c r="AM46" s="321"/>
      <c r="AN46" s="321"/>
      <c r="AO46" s="321"/>
      <c r="AP46" s="321"/>
      <c r="AQ46" s="321"/>
      <c r="AR46" s="321"/>
    </row>
    <row r="47" spans="1:44" s="311" customFormat="1" ht="12">
      <c r="A47" s="315"/>
      <c r="B47" s="185">
        <f t="shared" si="31"/>
        <v>3</v>
      </c>
      <c r="C47" s="186">
        <f>IF(D19=D35,C35*C36,IF(D19=D36,C36,1))</f>
        <v>1</v>
      </c>
      <c r="D47" s="187" t="str">
        <f t="shared" si="32"/>
        <v>Phase 1</v>
      </c>
      <c r="F47" s="339" t="s">
        <v>477</v>
      </c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</row>
    <row r="48" spans="1:44" s="311" customFormat="1">
      <c r="A48" s="117"/>
      <c r="B48" s="185">
        <f t="shared" si="31"/>
        <v>4</v>
      </c>
      <c r="C48" s="186">
        <f>IF(D19=D35,C35*C36*C37,IF(D19=D36,C36*C37,IF(D19=D37,C37,1)))</f>
        <v>1</v>
      </c>
      <c r="D48" s="187" t="str">
        <f t="shared" si="32"/>
        <v>Phase 2</v>
      </c>
      <c r="F48" s="95" t="s">
        <v>19</v>
      </c>
      <c r="G48" s="95"/>
      <c r="H48" s="95"/>
      <c r="I48" s="95"/>
      <c r="J48" s="95"/>
      <c r="K48" s="95"/>
      <c r="L48" s="95"/>
      <c r="M48" s="95"/>
      <c r="N48" s="95"/>
      <c r="O48" s="95"/>
      <c r="P48" s="310"/>
      <c r="Q48" s="310">
        <v>170</v>
      </c>
      <c r="R48" s="310">
        <f t="shared" ref="R48:AK48" si="34">Q48*(1+R49)</f>
        <v>164.9</v>
      </c>
      <c r="S48" s="310">
        <f t="shared" si="34"/>
        <v>159.953</v>
      </c>
      <c r="T48" s="310">
        <f t="shared" si="34"/>
        <v>155.15441000000001</v>
      </c>
      <c r="U48" s="310">
        <f t="shared" si="34"/>
        <v>150.49977770000001</v>
      </c>
      <c r="V48" s="310">
        <f t="shared" si="34"/>
        <v>145.98478436900001</v>
      </c>
      <c r="W48" s="310">
        <f t="shared" si="34"/>
        <v>141.60524083793001</v>
      </c>
      <c r="X48" s="310">
        <f t="shared" si="34"/>
        <v>137.35708361279211</v>
      </c>
      <c r="Y48" s="310">
        <f t="shared" si="34"/>
        <v>133.23637110440833</v>
      </c>
      <c r="Z48" s="310">
        <f t="shared" si="34"/>
        <v>119.91273399396751</v>
      </c>
      <c r="AA48" s="310">
        <f t="shared" si="34"/>
        <v>107.92146059457076</v>
      </c>
      <c r="AB48" s="310">
        <f t="shared" si="34"/>
        <v>97.129314535113693</v>
      </c>
      <c r="AC48" s="310">
        <f t="shared" si="34"/>
        <v>87.416383081602319</v>
      </c>
      <c r="AD48" s="310">
        <f t="shared" si="34"/>
        <v>78.674744773442086</v>
      </c>
      <c r="AE48" s="310">
        <f t="shared" si="34"/>
        <v>70.807270296097883</v>
      </c>
      <c r="AF48" s="310">
        <f t="shared" si="34"/>
        <v>63.726543266488093</v>
      </c>
      <c r="AG48" s="310">
        <f t="shared" si="34"/>
        <v>57.353888939839287</v>
      </c>
      <c r="AH48" s="310">
        <f t="shared" si="34"/>
        <v>51.618500045855356</v>
      </c>
      <c r="AI48" s="310">
        <f t="shared" si="34"/>
        <v>46.456650041269825</v>
      </c>
      <c r="AJ48" s="310">
        <f t="shared" si="34"/>
        <v>41.810985037142842</v>
      </c>
      <c r="AK48" s="310">
        <f t="shared" si="34"/>
        <v>37.629886533428561</v>
      </c>
      <c r="AL48" s="95"/>
      <c r="AM48" s="95"/>
      <c r="AN48" s="95"/>
      <c r="AO48" s="95"/>
      <c r="AP48" s="95"/>
      <c r="AQ48" s="95"/>
      <c r="AR48" s="95"/>
    </row>
    <row r="49" spans="1:44" s="311" customFormat="1">
      <c r="A49" s="320"/>
      <c r="B49" s="185">
        <f t="shared" si="31"/>
        <v>5</v>
      </c>
      <c r="C49" s="186">
        <f>IF(D19=D35,C35*C36*C37*C38,IF(D19=D36,C36*C37*C38,IF(D19=D37,C37*C38,IF(D19=D38,C38,1))))</f>
        <v>0.42699999999999999</v>
      </c>
      <c r="D49" s="187" t="str">
        <f t="shared" si="32"/>
        <v>Phase 3</v>
      </c>
      <c r="F49" s="102" t="s">
        <v>434</v>
      </c>
      <c r="G49" s="95"/>
      <c r="H49" s="95"/>
      <c r="I49" s="95"/>
      <c r="J49" s="95"/>
      <c r="K49" s="95"/>
      <c r="L49" s="95"/>
      <c r="M49" s="95"/>
      <c r="N49" s="95"/>
      <c r="O49" s="103"/>
      <c r="P49" s="103"/>
      <c r="Q49" s="103">
        <v>-0.03</v>
      </c>
      <c r="R49" s="103">
        <v>-0.03</v>
      </c>
      <c r="S49" s="103">
        <v>-0.03</v>
      </c>
      <c r="T49" s="103">
        <v>-0.03</v>
      </c>
      <c r="U49" s="103">
        <v>-0.03</v>
      </c>
      <c r="V49" s="103">
        <v>-0.03</v>
      </c>
      <c r="W49" s="103">
        <v>-0.03</v>
      </c>
      <c r="X49" s="103">
        <v>-0.03</v>
      </c>
      <c r="Y49" s="103">
        <v>-0.03</v>
      </c>
      <c r="Z49" s="103">
        <v>-0.1</v>
      </c>
      <c r="AA49" s="103">
        <v>-0.1</v>
      </c>
      <c r="AB49" s="103">
        <v>-0.1</v>
      </c>
      <c r="AC49" s="103">
        <v>-0.1</v>
      </c>
      <c r="AD49" s="103">
        <v>-0.1</v>
      </c>
      <c r="AE49" s="103">
        <v>-0.1</v>
      </c>
      <c r="AF49" s="103">
        <v>-0.1</v>
      </c>
      <c r="AG49" s="103">
        <v>-0.1</v>
      </c>
      <c r="AH49" s="103">
        <v>-0.1</v>
      </c>
      <c r="AI49" s="103">
        <v>-0.1</v>
      </c>
      <c r="AJ49" s="103">
        <v>-0.1</v>
      </c>
      <c r="AK49" s="103">
        <v>-0.1</v>
      </c>
      <c r="AL49" s="95"/>
      <c r="AM49" s="95"/>
      <c r="AN49" s="95"/>
      <c r="AO49" s="95"/>
      <c r="AP49" s="95"/>
      <c r="AQ49" s="95"/>
      <c r="AR49" s="95"/>
    </row>
    <row r="50" spans="1:44" s="311" customFormat="1">
      <c r="A50" s="117"/>
      <c r="B50" s="185">
        <f t="shared" si="31"/>
        <v>6</v>
      </c>
      <c r="C50" s="186">
        <f>IF(D19=D35,C35*C36*C37*C38*C39,IF(D19=D36,C36*C37*C38*C39,IF(D19=D37,C37*C38*C39,IF(D19=D38,C38*C39,IF(D19=D39,C39,1)))))</f>
        <v>0.31042900000000001</v>
      </c>
      <c r="D50" s="187" t="str">
        <f t="shared" si="32"/>
        <v>Regulatory Approval</v>
      </c>
      <c r="F50" s="100" t="s">
        <v>478</v>
      </c>
      <c r="G50" s="95"/>
      <c r="H50" s="95"/>
      <c r="I50" s="95"/>
      <c r="J50" s="95"/>
      <c r="K50" s="95"/>
      <c r="L50" s="95"/>
      <c r="M50" s="95"/>
      <c r="N50" s="95"/>
      <c r="O50" s="104"/>
      <c r="P50" s="310"/>
      <c r="Q50" s="310">
        <v>2</v>
      </c>
      <c r="R50" s="310">
        <v>2</v>
      </c>
      <c r="S50" s="310">
        <v>2</v>
      </c>
      <c r="T50" s="310">
        <v>2</v>
      </c>
      <c r="U50" s="310">
        <v>2</v>
      </c>
      <c r="V50" s="310">
        <v>2</v>
      </c>
      <c r="W50" s="310">
        <v>2</v>
      </c>
      <c r="X50" s="310">
        <v>2</v>
      </c>
      <c r="Y50" s="310">
        <v>2</v>
      </c>
      <c r="Z50" s="310">
        <v>2</v>
      </c>
      <c r="AA50" s="310">
        <v>2</v>
      </c>
      <c r="AB50" s="310">
        <v>2</v>
      </c>
      <c r="AC50" s="310">
        <v>2</v>
      </c>
      <c r="AD50" s="310">
        <v>2</v>
      </c>
      <c r="AE50" s="310">
        <v>2</v>
      </c>
      <c r="AF50" s="310">
        <v>2</v>
      </c>
      <c r="AG50" s="310">
        <v>2</v>
      </c>
      <c r="AH50" s="310">
        <v>2</v>
      </c>
      <c r="AI50" s="310">
        <v>2</v>
      </c>
      <c r="AJ50" s="310">
        <v>2</v>
      </c>
      <c r="AK50" s="310">
        <v>2</v>
      </c>
      <c r="AL50" s="95"/>
      <c r="AM50" s="95"/>
      <c r="AN50" s="95"/>
      <c r="AO50" s="95"/>
      <c r="AP50" s="95"/>
      <c r="AQ50" s="95"/>
      <c r="AR50" s="95"/>
    </row>
    <row r="51" spans="1:44" s="315" customFormat="1">
      <c r="B51" s="1"/>
      <c r="C51" s="1"/>
      <c r="D51" s="1"/>
      <c r="F51" s="100" t="s">
        <v>479</v>
      </c>
      <c r="G51" s="95"/>
      <c r="H51" s="95"/>
      <c r="I51" s="95"/>
      <c r="J51" s="95"/>
      <c r="K51" s="95"/>
      <c r="L51" s="95"/>
      <c r="M51" s="95"/>
      <c r="N51" s="95"/>
      <c r="O51" s="101"/>
      <c r="P51" s="101"/>
      <c r="Q51" s="101">
        <f>13*4*7</f>
        <v>364</v>
      </c>
      <c r="R51" s="101">
        <f t="shared" ref="R51:AK51" si="35">13*4*7</f>
        <v>364</v>
      </c>
      <c r="S51" s="101">
        <f t="shared" si="35"/>
        <v>364</v>
      </c>
      <c r="T51" s="101">
        <f t="shared" si="35"/>
        <v>364</v>
      </c>
      <c r="U51" s="101">
        <f t="shared" si="35"/>
        <v>364</v>
      </c>
      <c r="V51" s="101">
        <f t="shared" si="35"/>
        <v>364</v>
      </c>
      <c r="W51" s="101">
        <f t="shared" si="35"/>
        <v>364</v>
      </c>
      <c r="X51" s="101">
        <f t="shared" si="35"/>
        <v>364</v>
      </c>
      <c r="Y51" s="101">
        <f t="shared" si="35"/>
        <v>364</v>
      </c>
      <c r="Z51" s="101">
        <f t="shared" si="35"/>
        <v>364</v>
      </c>
      <c r="AA51" s="101">
        <f t="shared" si="35"/>
        <v>364</v>
      </c>
      <c r="AB51" s="101">
        <f t="shared" si="35"/>
        <v>364</v>
      </c>
      <c r="AC51" s="101">
        <f t="shared" si="35"/>
        <v>364</v>
      </c>
      <c r="AD51" s="101">
        <f t="shared" si="35"/>
        <v>364</v>
      </c>
      <c r="AE51" s="101">
        <f t="shared" si="35"/>
        <v>364</v>
      </c>
      <c r="AF51" s="101">
        <f t="shared" si="35"/>
        <v>364</v>
      </c>
      <c r="AG51" s="101">
        <f t="shared" si="35"/>
        <v>364</v>
      </c>
      <c r="AH51" s="101">
        <f t="shared" si="35"/>
        <v>364</v>
      </c>
      <c r="AI51" s="101">
        <f t="shared" si="35"/>
        <v>364</v>
      </c>
      <c r="AJ51" s="101">
        <f t="shared" si="35"/>
        <v>364</v>
      </c>
      <c r="AK51" s="101">
        <f t="shared" si="35"/>
        <v>364</v>
      </c>
      <c r="AL51" s="95"/>
      <c r="AM51" s="95"/>
      <c r="AN51" s="95"/>
      <c r="AO51" s="95"/>
      <c r="AP51" s="95"/>
      <c r="AQ51" s="95"/>
      <c r="AR51" s="95"/>
    </row>
    <row r="52" spans="1:44" s="315" customFormat="1">
      <c r="B52" s="1"/>
      <c r="C52" s="1"/>
      <c r="D52" s="1"/>
      <c r="F52" s="100" t="s">
        <v>480</v>
      </c>
      <c r="G52" s="95"/>
      <c r="H52" s="95"/>
      <c r="I52" s="95"/>
      <c r="J52" s="95"/>
      <c r="K52" s="95"/>
      <c r="L52" s="95"/>
      <c r="M52" s="95"/>
      <c r="N52" s="95"/>
      <c r="O52" s="101"/>
      <c r="P52" s="101"/>
      <c r="Q52" s="101">
        <f>Q46*Q50*Q51</f>
        <v>0</v>
      </c>
      <c r="R52" s="101">
        <f t="shared" ref="R52:AK52" si="36">R46*R50*R51</f>
        <v>0</v>
      </c>
      <c r="S52" s="101">
        <f t="shared" si="36"/>
        <v>0</v>
      </c>
      <c r="T52" s="101">
        <f t="shared" si="36"/>
        <v>0</v>
      </c>
      <c r="U52" s="101">
        <f t="shared" si="36"/>
        <v>318.9912687963365</v>
      </c>
      <c r="V52" s="101">
        <f t="shared" si="36"/>
        <v>1031.2705297360171</v>
      </c>
      <c r="W52" s="101">
        <f t="shared" si="36"/>
        <v>1851.5915424893235</v>
      </c>
      <c r="X52" s="101">
        <f t="shared" si="36"/>
        <v>2791.5919790766789</v>
      </c>
      <c r="Y52" s="101">
        <f t="shared" si="36"/>
        <v>3863.9676482577256</v>
      </c>
      <c r="Z52" s="101">
        <f t="shared" si="36"/>
        <v>4620.507972981256</v>
      </c>
      <c r="AA52" s="101">
        <f t="shared" si="36"/>
        <v>4921.3987065622023</v>
      </c>
      <c r="AB52" s="101">
        <f t="shared" si="36"/>
        <v>5240.8142178674661</v>
      </c>
      <c r="AC52" s="101">
        <f t="shared" si="36"/>
        <v>5579.849269691711</v>
      </c>
      <c r="AD52" s="101">
        <f t="shared" si="36"/>
        <v>5939.6612101756646</v>
      </c>
      <c r="AE52" s="101">
        <f t="shared" si="36"/>
        <v>6321.4734465388283</v>
      </c>
      <c r="AF52" s="101">
        <f t="shared" si="36"/>
        <v>6726.5791061606487</v>
      </c>
      <c r="AG52" s="101">
        <f t="shared" si="36"/>
        <v>7156.3448948114537</v>
      </c>
      <c r="AH52" s="101">
        <f t="shared" si="36"/>
        <v>7612.215162329222</v>
      </c>
      <c r="AI52" s="101">
        <f t="shared" si="36"/>
        <v>8095.7161865573062</v>
      </c>
      <c r="AJ52" s="101">
        <f t="shared" si="36"/>
        <v>8608.4606869018971</v>
      </c>
      <c r="AK52" s="101">
        <f t="shared" si="36"/>
        <v>9152.1525794380832</v>
      </c>
      <c r="AL52" s="95"/>
      <c r="AM52" s="95"/>
      <c r="AN52" s="95"/>
      <c r="AO52" s="95"/>
      <c r="AP52" s="95"/>
      <c r="AQ52" s="95"/>
      <c r="AR52" s="95"/>
    </row>
    <row r="53" spans="1:44">
      <c r="A53" s="315"/>
      <c r="C53" s="189"/>
      <c r="F53" s="334" t="s">
        <v>481</v>
      </c>
      <c r="G53" s="334"/>
      <c r="H53" s="334"/>
      <c r="I53" s="334"/>
      <c r="J53" s="334"/>
      <c r="K53" s="334"/>
      <c r="L53" s="334"/>
      <c r="M53" s="334"/>
      <c r="N53" s="334"/>
      <c r="O53" s="334"/>
      <c r="P53" s="94"/>
      <c r="Q53" s="94">
        <f t="shared" ref="Q53:AK53" si="37">Q48*Q50*Q51*Q46*$G$45/1000</f>
        <v>0</v>
      </c>
      <c r="R53" s="94">
        <f t="shared" si="37"/>
        <v>0</v>
      </c>
      <c r="S53" s="94">
        <f t="shared" si="37"/>
        <v>0</v>
      </c>
      <c r="T53" s="94">
        <f t="shared" si="37"/>
        <v>0</v>
      </c>
      <c r="U53" s="94">
        <f t="shared" si="37"/>
        <v>19.203246016835838</v>
      </c>
      <c r="V53" s="94">
        <f t="shared" si="37"/>
        <v>60.219922363846749</v>
      </c>
      <c r="W53" s="94">
        <f t="shared" si="37"/>
        <v>104.87802652307001</v>
      </c>
      <c r="X53" s="94">
        <f t="shared" si="37"/>
        <v>153.37797315313409</v>
      </c>
      <c r="Y53" s="94">
        <f t="shared" si="37"/>
        <v>205.92841100747771</v>
      </c>
      <c r="Z53" s="94">
        <f t="shared" si="37"/>
        <v>221.62309739244293</v>
      </c>
      <c r="AA53" s="94">
        <f t="shared" si="37"/>
        <v>212.44981463216968</v>
      </c>
      <c r="AB53" s="94">
        <f t="shared" si="37"/>
        <v>203.61467703493801</v>
      </c>
      <c r="AC53" s="94">
        <f t="shared" si="37"/>
        <v>195.10809651878782</v>
      </c>
      <c r="AD53" s="94">
        <f t="shared" si="37"/>
        <v>186.92053190051382</v>
      </c>
      <c r="AE53" s="94">
        <f t="shared" si="37"/>
        <v>179.04251159947214</v>
      </c>
      <c r="AF53" s="94">
        <f t="shared" si="37"/>
        <v>171.46465377768052</v>
      </c>
      <c r="AG53" s="94">
        <f t="shared" si="37"/>
        <v>164.17768412488081</v>
      </c>
      <c r="AH53" s="94">
        <f t="shared" si="37"/>
        <v>157.17245148230074</v>
      </c>
      <c r="AI53" s="94">
        <f t="shared" si="37"/>
        <v>150.43994148493451</v>
      </c>
      <c r="AJ53" s="94">
        <f t="shared" si="37"/>
        <v>143.97128838915503</v>
      </c>
      <c r="AK53" s="94">
        <f t="shared" si="37"/>
        <v>137.75778524035223</v>
      </c>
    </row>
    <row r="54" spans="1:44" s="321" customFormat="1">
      <c r="B54" s="3" t="s">
        <v>482</v>
      </c>
      <c r="C54" s="1"/>
      <c r="D54" s="1"/>
      <c r="F54" s="92" t="s">
        <v>434</v>
      </c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92" t="e">
        <f t="shared" ref="Q54:AK54" si="38">Q53/P53-1</f>
        <v>#DIV/0!</v>
      </c>
      <c r="R54" s="92" t="e">
        <f t="shared" si="38"/>
        <v>#DIV/0!</v>
      </c>
      <c r="S54" s="92" t="e">
        <f t="shared" si="38"/>
        <v>#DIV/0!</v>
      </c>
      <c r="T54" s="92" t="e">
        <f t="shared" si="38"/>
        <v>#DIV/0!</v>
      </c>
      <c r="U54" s="92" t="e">
        <f t="shared" si="38"/>
        <v>#DIV/0!</v>
      </c>
      <c r="V54" s="92">
        <f t="shared" si="38"/>
        <v>2.1359241198623837</v>
      </c>
      <c r="W54" s="92">
        <f t="shared" si="38"/>
        <v>0.74158355584386992</v>
      </c>
      <c r="X54" s="92">
        <f t="shared" si="38"/>
        <v>0.462441449729182</v>
      </c>
      <c r="Y54" s="92">
        <f t="shared" si="38"/>
        <v>0.34262050002366862</v>
      </c>
      <c r="Z54" s="92">
        <f t="shared" si="38"/>
        <v>7.6214283926054893E-2</v>
      </c>
      <c r="AA54" s="92">
        <f t="shared" si="38"/>
        <v>-4.1391366099488791E-2</v>
      </c>
      <c r="AB54" s="92">
        <f t="shared" si="38"/>
        <v>-4.1586939543951096E-2</v>
      </c>
      <c r="AC54" s="92">
        <f t="shared" si="38"/>
        <v>-4.1777835665012253E-2</v>
      </c>
      <c r="AD54" s="92">
        <f t="shared" si="38"/>
        <v>-4.1964248354427358E-2</v>
      </c>
      <c r="AE54" s="92">
        <f t="shared" si="38"/>
        <v>-4.2146361456079418E-2</v>
      </c>
      <c r="AF54" s="92">
        <f t="shared" si="38"/>
        <v>-4.2324349419001095E-2</v>
      </c>
      <c r="AG54" s="92">
        <f t="shared" si="38"/>
        <v>-4.2498377900368478E-2</v>
      </c>
      <c r="AH54" s="92">
        <f t="shared" si="38"/>
        <v>-4.266860432293329E-2</v>
      </c>
      <c r="AI54" s="92">
        <f t="shared" si="38"/>
        <v>-4.2835178390816075E-2</v>
      </c>
      <c r="AJ54" s="92">
        <f t="shared" si="38"/>
        <v>-4.2998242567298894E-2</v>
      </c>
      <c r="AK54" s="92">
        <f t="shared" si="38"/>
        <v>-4.3157932517820297E-2</v>
      </c>
      <c r="AL54" s="95"/>
      <c r="AM54" s="95"/>
      <c r="AN54" s="95"/>
      <c r="AO54" s="95"/>
      <c r="AP54" s="95"/>
      <c r="AQ54" s="95"/>
      <c r="AR54" s="95"/>
    </row>
    <row r="55" spans="1:44">
      <c r="A55" s="95"/>
      <c r="B55" s="190" t="s">
        <v>483</v>
      </c>
      <c r="C55" s="190" t="s">
        <v>161</v>
      </c>
      <c r="D55" s="191" t="s">
        <v>484</v>
      </c>
      <c r="F55" s="93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3"/>
      <c r="AM55" s="93"/>
      <c r="AN55" s="93"/>
      <c r="AO55" s="93"/>
      <c r="AP55" s="93"/>
      <c r="AQ55" s="93"/>
      <c r="AR55" s="93"/>
    </row>
    <row r="56" spans="1:44">
      <c r="A56" s="95"/>
      <c r="B56" s="192" t="str">
        <f t="shared" ref="B56:B61" si="39">D23</f>
        <v>Pre-clinical</v>
      </c>
      <c r="C56" s="192">
        <f t="shared" ref="C56:C62" si="40">C23</f>
        <v>0</v>
      </c>
      <c r="D56" s="193">
        <f>C35*C36*C37*C38*C39*C40*C41</f>
        <v>0.17223175213649997</v>
      </c>
      <c r="F56" s="93" t="s">
        <v>485</v>
      </c>
      <c r="G56" s="94"/>
      <c r="H56" s="94"/>
      <c r="I56" s="94"/>
      <c r="J56" s="94"/>
      <c r="K56" s="94"/>
      <c r="L56" s="94"/>
      <c r="M56" s="94"/>
      <c r="N56" s="94"/>
      <c r="O56" s="94"/>
      <c r="P56" s="93"/>
      <c r="Q56" s="94">
        <f>Q48*Q50*Q51</f>
        <v>123760</v>
      </c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3"/>
      <c r="AM56" s="93"/>
      <c r="AN56" s="93"/>
      <c r="AO56" s="93"/>
      <c r="AP56" s="93"/>
      <c r="AQ56" s="93"/>
      <c r="AR56" s="93"/>
    </row>
    <row r="57" spans="1:44">
      <c r="A57" s="95"/>
      <c r="B57" s="192" t="str">
        <f t="shared" si="39"/>
        <v>IND Filing</v>
      </c>
      <c r="C57" s="192">
        <f t="shared" si="40"/>
        <v>0</v>
      </c>
      <c r="D57" s="193">
        <f>C36*C37*C38*C39*C40*C41</f>
        <v>0.19136861348499995</v>
      </c>
      <c r="F57" s="93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3"/>
      <c r="AM57" s="93"/>
      <c r="AN57" s="93"/>
      <c r="AO57" s="93"/>
      <c r="AP57" s="93"/>
      <c r="AQ57" s="93"/>
      <c r="AR57" s="93"/>
    </row>
    <row r="58" spans="1:44">
      <c r="A58" s="95"/>
      <c r="B58" s="192" t="str">
        <f t="shared" si="39"/>
        <v>Phase 1</v>
      </c>
      <c r="C58" s="192">
        <f t="shared" si="40"/>
        <v>0</v>
      </c>
      <c r="D58" s="193">
        <f>C37*C38*C39*C40*C41</f>
        <v>0.19136861348499995</v>
      </c>
      <c r="F58" s="120" t="s">
        <v>486</v>
      </c>
      <c r="G58" s="121">
        <v>2010</v>
      </c>
      <c r="H58" s="121">
        <v>2011</v>
      </c>
      <c r="I58" s="121">
        <v>2012</v>
      </c>
      <c r="J58" s="121">
        <v>2013</v>
      </c>
      <c r="K58" s="121">
        <v>2014</v>
      </c>
      <c r="L58" s="121">
        <v>2015</v>
      </c>
      <c r="M58" s="121">
        <v>2016</v>
      </c>
      <c r="N58" s="121" t="s">
        <v>487</v>
      </c>
      <c r="O58" s="121" t="s">
        <v>488</v>
      </c>
      <c r="P58" s="121" t="s">
        <v>171</v>
      </c>
      <c r="Q58" s="121" t="s">
        <v>0</v>
      </c>
      <c r="R58" s="121" t="s">
        <v>1</v>
      </c>
      <c r="S58" s="121" t="s">
        <v>2</v>
      </c>
      <c r="T58" s="121" t="s">
        <v>99</v>
      </c>
      <c r="U58" s="121" t="s">
        <v>100</v>
      </c>
      <c r="V58" s="121" t="s">
        <v>101</v>
      </c>
      <c r="W58" s="121" t="s">
        <v>102</v>
      </c>
      <c r="X58" s="121" t="s">
        <v>103</v>
      </c>
      <c r="Y58" s="397" t="s">
        <v>104</v>
      </c>
      <c r="Z58" s="397" t="s">
        <v>105</v>
      </c>
      <c r="AA58" s="397" t="s">
        <v>106</v>
      </c>
      <c r="AB58" s="397" t="s">
        <v>107</v>
      </c>
      <c r="AC58" s="397" t="s">
        <v>108</v>
      </c>
      <c r="AD58" s="397" t="s">
        <v>109</v>
      </c>
      <c r="AE58" s="397" t="s">
        <v>110</v>
      </c>
      <c r="AF58" s="397" t="s">
        <v>111</v>
      </c>
      <c r="AG58" s="397" t="s">
        <v>112</v>
      </c>
      <c r="AH58" s="397" t="s">
        <v>113</v>
      </c>
      <c r="AI58" s="397" t="s">
        <v>114</v>
      </c>
      <c r="AJ58" s="397" t="s">
        <v>115</v>
      </c>
      <c r="AK58" s="397" t="s">
        <v>116</v>
      </c>
      <c r="AL58" s="93"/>
      <c r="AM58" s="93"/>
      <c r="AN58" s="93"/>
      <c r="AO58" s="93"/>
      <c r="AP58" s="93"/>
      <c r="AQ58" s="93"/>
      <c r="AR58" s="93"/>
    </row>
    <row r="59" spans="1:44">
      <c r="A59" s="95"/>
      <c r="B59" s="192" t="str">
        <f t="shared" si="39"/>
        <v>Phase 2</v>
      </c>
      <c r="C59" s="192">
        <f t="shared" si="40"/>
        <v>2021</v>
      </c>
      <c r="D59" s="193">
        <f>C38*C39*C40*C41</f>
        <v>0.27535052300000001</v>
      </c>
      <c r="F59" s="398" t="s">
        <v>431</v>
      </c>
      <c r="G59" s="331"/>
      <c r="H59" s="331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93"/>
      <c r="AM59" s="93"/>
      <c r="AN59" s="93"/>
      <c r="AO59" s="93"/>
      <c r="AP59" s="93"/>
      <c r="AQ59" s="93"/>
      <c r="AR59" s="93"/>
    </row>
    <row r="60" spans="1:44">
      <c r="A60" s="95"/>
      <c r="B60" s="192" t="str">
        <f t="shared" si="39"/>
        <v>Phase 3</v>
      </c>
      <c r="C60" s="192">
        <f t="shared" si="40"/>
        <v>2022</v>
      </c>
      <c r="D60" s="193">
        <f>C39*C40*C41</f>
        <v>0.64484900000000001</v>
      </c>
      <c r="F60" s="117" t="s">
        <v>489</v>
      </c>
      <c r="G60" s="117">
        <f>H60/1.02</f>
        <v>16.122008414972502</v>
      </c>
      <c r="H60" s="117">
        <f>I60/1.02</f>
        <v>16.444448583271953</v>
      </c>
      <c r="I60" s="117">
        <f>J60/1.02</f>
        <v>16.773337554937392</v>
      </c>
      <c r="J60" s="117">
        <f>K60/1.02</f>
        <v>17.108804306036141</v>
      </c>
      <c r="K60" s="117">
        <f>L60/1.02</f>
        <v>17.450980392156865</v>
      </c>
      <c r="L60" s="117">
        <v>17.8</v>
      </c>
      <c r="M60" s="117">
        <v>18</v>
      </c>
      <c r="N60" s="117">
        <v>18.3</v>
      </c>
      <c r="O60" s="117">
        <v>18.5</v>
      </c>
      <c r="P60" s="117">
        <v>19</v>
      </c>
      <c r="Q60" s="117">
        <f>P60*1.02</f>
        <v>19.38</v>
      </c>
      <c r="R60" s="117">
        <f t="shared" ref="R60:AK60" si="41">Q60*1.02</f>
        <v>19.767599999999998</v>
      </c>
      <c r="S60" s="117">
        <f t="shared" si="41"/>
        <v>20.162951999999997</v>
      </c>
      <c r="T60" s="117">
        <f t="shared" si="41"/>
        <v>20.566211039999999</v>
      </c>
      <c r="U60" s="117">
        <f t="shared" si="41"/>
        <v>20.9775352608</v>
      </c>
      <c r="V60" s="117">
        <f t="shared" si="41"/>
        <v>21.397085966016</v>
      </c>
      <c r="W60" s="117">
        <f t="shared" si="41"/>
        <v>21.82502768533632</v>
      </c>
      <c r="X60" s="117">
        <f t="shared" si="41"/>
        <v>22.261528239043045</v>
      </c>
      <c r="Y60" s="117">
        <f t="shared" si="41"/>
        <v>22.706758803823906</v>
      </c>
      <c r="Z60" s="117">
        <f t="shared" si="41"/>
        <v>23.160893979900383</v>
      </c>
      <c r="AA60" s="117">
        <f t="shared" si="41"/>
        <v>23.624111859498392</v>
      </c>
      <c r="AB60" s="117">
        <f t="shared" si="41"/>
        <v>24.09659409668836</v>
      </c>
      <c r="AC60" s="117">
        <f t="shared" si="41"/>
        <v>24.578525978622128</v>
      </c>
      <c r="AD60" s="117">
        <f t="shared" si="41"/>
        <v>25.07009649819457</v>
      </c>
      <c r="AE60" s="117">
        <f t="shared" si="41"/>
        <v>25.57149842815846</v>
      </c>
      <c r="AF60" s="117">
        <f t="shared" si="41"/>
        <v>26.082928396721631</v>
      </c>
      <c r="AG60" s="117">
        <f t="shared" si="41"/>
        <v>26.604586964656065</v>
      </c>
      <c r="AH60" s="117">
        <f t="shared" si="41"/>
        <v>27.136678703949187</v>
      </c>
      <c r="AI60" s="117">
        <f t="shared" si="41"/>
        <v>27.67941227802817</v>
      </c>
      <c r="AJ60" s="117">
        <f t="shared" si="41"/>
        <v>28.233000523588736</v>
      </c>
      <c r="AK60" s="117">
        <f t="shared" si="41"/>
        <v>28.797660534060512</v>
      </c>
      <c r="AL60" s="93"/>
      <c r="AM60" s="93"/>
      <c r="AN60" s="93"/>
      <c r="AO60" s="93"/>
      <c r="AP60" s="93"/>
      <c r="AQ60" s="93"/>
      <c r="AR60" s="93"/>
    </row>
    <row r="61" spans="1:44">
      <c r="A61" s="95"/>
      <c r="B61" s="192" t="str">
        <f t="shared" si="39"/>
        <v>Regulatory Approval</v>
      </c>
      <c r="C61" s="192">
        <f t="shared" si="40"/>
        <v>2023</v>
      </c>
      <c r="D61" s="194">
        <f>C40*C41</f>
        <v>0.88700000000000001</v>
      </c>
      <c r="F61" s="117" t="s">
        <v>442</v>
      </c>
      <c r="G61" s="117">
        <f>G60*G7/100</f>
        <v>49.868865021853132</v>
      </c>
      <c r="H61" s="117">
        <f t="shared" ref="H61:AK61" si="42">H60*H7/100</f>
        <v>51.233809952579385</v>
      </c>
      <c r="I61" s="117">
        <f t="shared" si="42"/>
        <v>52.639931304701804</v>
      </c>
      <c r="J61" s="117">
        <f t="shared" si="42"/>
        <v>54.062746318723576</v>
      </c>
      <c r="K61" s="117">
        <f t="shared" si="42"/>
        <v>55.54664649411766</v>
      </c>
      <c r="L61" s="117">
        <f t="shared" si="42"/>
        <v>57.073059014000002</v>
      </c>
      <c r="M61" s="117">
        <f t="shared" si="42"/>
        <v>58.129435979999997</v>
      </c>
      <c r="N61" s="117">
        <f t="shared" si="42"/>
        <v>59.472353637000005</v>
      </c>
      <c r="O61" s="117">
        <f t="shared" si="42"/>
        <v>60.437187684999998</v>
      </c>
      <c r="P61" s="117">
        <f t="shared" si="42"/>
        <v>62.365509369999998</v>
      </c>
      <c r="Q61" s="117">
        <f t="shared" si="42"/>
        <v>63.915030370892715</v>
      </c>
      <c r="R61" s="117">
        <f t="shared" si="42"/>
        <v>65.503050461369767</v>
      </c>
      <c r="S61" s="117">
        <f t="shared" si="42"/>
        <v>67.13052618212852</v>
      </c>
      <c r="T61" s="117">
        <f t="shared" si="42"/>
        <v>68.798437839885707</v>
      </c>
      <c r="U61" s="117">
        <f t="shared" si="42"/>
        <v>70.507790097863051</v>
      </c>
      <c r="V61" s="117">
        <f t="shared" si="42"/>
        <v>72.259612580944207</v>
      </c>
      <c r="W61" s="117">
        <f t="shared" si="42"/>
        <v>74.054960495867277</v>
      </c>
      <c r="X61" s="117">
        <f t="shared" si="42"/>
        <v>75.894915266826402</v>
      </c>
      <c r="Y61" s="117">
        <f t="shared" si="42"/>
        <v>77.780585186865437</v>
      </c>
      <c r="Z61" s="117">
        <f t="shared" si="42"/>
        <v>79.713106085456033</v>
      </c>
      <c r="AA61" s="117">
        <f t="shared" si="42"/>
        <v>81.693642012662309</v>
      </c>
      <c r="AB61" s="117">
        <f t="shared" si="42"/>
        <v>83.723385940303899</v>
      </c>
      <c r="AC61" s="117">
        <f t="shared" si="42"/>
        <v>85.803560480540284</v>
      </c>
      <c r="AD61" s="117">
        <f t="shared" si="42"/>
        <v>87.93541862230866</v>
      </c>
      <c r="AE61" s="117">
        <f t="shared" si="42"/>
        <v>90.120244486059335</v>
      </c>
      <c r="AF61" s="117">
        <f t="shared" si="42"/>
        <v>92.359354097243056</v>
      </c>
      <c r="AG61" s="117">
        <f t="shared" si="42"/>
        <v>94.654096179016364</v>
      </c>
      <c r="AH61" s="117">
        <f t="shared" si="42"/>
        <v>97.005852964642145</v>
      </c>
      <c r="AI61" s="117">
        <f t="shared" si="42"/>
        <v>99.416041030075164</v>
      </c>
      <c r="AJ61" s="117">
        <f t="shared" si="42"/>
        <v>101.88611214723365</v>
      </c>
      <c r="AK61" s="117">
        <f t="shared" si="42"/>
        <v>104.41755415847125</v>
      </c>
      <c r="AL61" s="93"/>
      <c r="AM61" s="93"/>
      <c r="AN61" s="93"/>
      <c r="AO61" s="93"/>
      <c r="AP61" s="93"/>
      <c r="AQ61" s="93"/>
      <c r="AR61" s="93"/>
    </row>
    <row r="62" spans="1:44">
      <c r="A62" s="95"/>
      <c r="B62" s="195" t="s">
        <v>461</v>
      </c>
      <c r="C62" s="195">
        <f t="shared" si="40"/>
        <v>2024</v>
      </c>
      <c r="D62" s="196">
        <f>C41</f>
        <v>1</v>
      </c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93"/>
      <c r="AM62" s="93"/>
      <c r="AN62" s="93"/>
      <c r="AO62" s="93"/>
      <c r="AP62" s="93"/>
      <c r="AQ62" s="93"/>
      <c r="AR62" s="93"/>
    </row>
    <row r="63" spans="1:44" s="93" customFormat="1">
      <c r="A63" s="95"/>
      <c r="B63" s="314"/>
      <c r="C63" s="314"/>
      <c r="D63" s="314"/>
      <c r="F63" s="399" t="s">
        <v>490</v>
      </c>
      <c r="G63" s="117">
        <f>G61*G64</f>
        <v>34.90820551529719</v>
      </c>
      <c r="H63" s="117">
        <f t="shared" ref="H63:AK63" si="43">H61*H64</f>
        <v>36.222303636473626</v>
      </c>
      <c r="I63" s="117">
        <f t="shared" si="43"/>
        <v>37.588595746748418</v>
      </c>
      <c r="J63" s="117">
        <f t="shared" si="43"/>
        <v>38.990631116449052</v>
      </c>
      <c r="K63" s="117">
        <f t="shared" si="43"/>
        <v>40.461444158681893</v>
      </c>
      <c r="L63" s="117">
        <f t="shared" si="43"/>
        <v>41.989051029565076</v>
      </c>
      <c r="M63" s="117">
        <f t="shared" si="43"/>
        <v>43.193897345088544</v>
      </c>
      <c r="N63" s="117">
        <f t="shared" si="43"/>
        <v>44.633688965066327</v>
      </c>
      <c r="O63" s="117">
        <f t="shared" si="43"/>
        <v>45.811369767803541</v>
      </c>
      <c r="P63" s="117">
        <f t="shared" si="43"/>
        <v>47.745767384999255</v>
      </c>
      <c r="Q63" s="117">
        <f t="shared" si="43"/>
        <v>49.421369685812031</v>
      </c>
      <c r="R63" s="117">
        <f t="shared" si="43"/>
        <v>51.155776006839844</v>
      </c>
      <c r="S63" s="117">
        <f t="shared" si="43"/>
        <v>52.951050031566361</v>
      </c>
      <c r="T63" s="117">
        <f t="shared" si="43"/>
        <v>54.809327866916888</v>
      </c>
      <c r="U63" s="117">
        <f t="shared" si="43"/>
        <v>56.732820584905177</v>
      </c>
      <c r="V63" s="117">
        <f t="shared" si="43"/>
        <v>58.723816853477707</v>
      </c>
      <c r="W63" s="117">
        <f t="shared" si="43"/>
        <v>60.784685659685451</v>
      </c>
      <c r="X63" s="117">
        <f t="shared" si="43"/>
        <v>62.917879128423174</v>
      </c>
      <c r="Y63" s="117">
        <f t="shared" si="43"/>
        <v>65.125935440090473</v>
      </c>
      <c r="Z63" s="117">
        <f t="shared" si="43"/>
        <v>67.411481850645913</v>
      </c>
      <c r="AA63" s="117">
        <f t="shared" si="43"/>
        <v>69.777237817647716</v>
      </c>
      <c r="AB63" s="117">
        <f t="shared" si="43"/>
        <v>72.226018236000471</v>
      </c>
      <c r="AC63" s="117">
        <f t="shared" si="43"/>
        <v>74.760736787258082</v>
      </c>
      <c r="AD63" s="117">
        <f t="shared" si="43"/>
        <v>77.384409406468009</v>
      </c>
      <c r="AE63" s="117">
        <f t="shared" si="43"/>
        <v>80.100157870681713</v>
      </c>
      <c r="AF63" s="117">
        <f t="shared" si="43"/>
        <v>82.91121351340135</v>
      </c>
      <c r="AG63" s="117">
        <f t="shared" si="43"/>
        <v>85.820921069382194</v>
      </c>
      <c r="AH63" s="117">
        <f t="shared" si="43"/>
        <v>88.832742654365433</v>
      </c>
      <c r="AI63" s="117">
        <f t="shared" si="43"/>
        <v>91.95026188447693</v>
      </c>
      <c r="AJ63" s="117">
        <f t="shared" si="43"/>
        <v>95.177188140193024</v>
      </c>
      <c r="AK63" s="117">
        <f t="shared" si="43"/>
        <v>98.517360979947284</v>
      </c>
    </row>
    <row r="64" spans="1:44" s="93" customFormat="1">
      <c r="A64" s="95"/>
      <c r="B64" s="314"/>
      <c r="C64" s="314"/>
      <c r="D64" s="314"/>
      <c r="F64" s="116" t="s">
        <v>491</v>
      </c>
      <c r="G64" s="400">
        <v>0.7</v>
      </c>
      <c r="H64" s="400">
        <f>G64*1.01</f>
        <v>0.70699999999999996</v>
      </c>
      <c r="I64" s="400">
        <f t="shared" ref="I64:AK64" si="44">H64*1.01</f>
        <v>0.71406999999999998</v>
      </c>
      <c r="J64" s="400">
        <f t="shared" si="44"/>
        <v>0.72121069999999998</v>
      </c>
      <c r="K64" s="400">
        <f t="shared" si="44"/>
        <v>0.72842280699999995</v>
      </c>
      <c r="L64" s="400">
        <f t="shared" si="44"/>
        <v>0.7357070350699999</v>
      </c>
      <c r="M64" s="400">
        <f t="shared" si="44"/>
        <v>0.74306410542069989</v>
      </c>
      <c r="N64" s="400">
        <f t="shared" si="44"/>
        <v>0.75049474647490688</v>
      </c>
      <c r="O64" s="400">
        <f t="shared" si="44"/>
        <v>0.75799969393965594</v>
      </c>
      <c r="P64" s="400">
        <f t="shared" si="44"/>
        <v>0.76557969087905253</v>
      </c>
      <c r="Q64" s="400">
        <f t="shared" si="44"/>
        <v>0.77323548778784301</v>
      </c>
      <c r="R64" s="400">
        <f t="shared" si="44"/>
        <v>0.7809678426657215</v>
      </c>
      <c r="S64" s="400">
        <f t="shared" si="44"/>
        <v>0.78877752109237875</v>
      </c>
      <c r="T64" s="400">
        <f t="shared" si="44"/>
        <v>0.79666529630330252</v>
      </c>
      <c r="U64" s="400">
        <f t="shared" si="44"/>
        <v>0.80463194926633552</v>
      </c>
      <c r="V64" s="400">
        <f t="shared" si="44"/>
        <v>0.81267826875899885</v>
      </c>
      <c r="W64" s="404">
        <f t="shared" si="44"/>
        <v>0.82080505144658888</v>
      </c>
      <c r="X64" s="404">
        <f t="shared" si="44"/>
        <v>0.82901310196105482</v>
      </c>
      <c r="Y64" s="404">
        <f t="shared" si="44"/>
        <v>0.83730323298066534</v>
      </c>
      <c r="Z64" s="404">
        <f t="shared" si="44"/>
        <v>0.84567626531047202</v>
      </c>
      <c r="AA64" s="404">
        <f t="shared" si="44"/>
        <v>0.85413302796357671</v>
      </c>
      <c r="AB64" s="404">
        <f t="shared" si="44"/>
        <v>0.86267435824321248</v>
      </c>
      <c r="AC64" s="404">
        <f t="shared" si="44"/>
        <v>0.87130110182564457</v>
      </c>
      <c r="AD64" s="404">
        <f t="shared" si="44"/>
        <v>0.88001411284390108</v>
      </c>
      <c r="AE64" s="404">
        <f t="shared" si="44"/>
        <v>0.88881425397234004</v>
      </c>
      <c r="AF64" s="404">
        <f t="shared" si="44"/>
        <v>0.89770239651206341</v>
      </c>
      <c r="AG64" s="404">
        <f t="shared" si="44"/>
        <v>0.90667942047718408</v>
      </c>
      <c r="AH64" s="404">
        <f t="shared" si="44"/>
        <v>0.91574621468195594</v>
      </c>
      <c r="AI64" s="404">
        <f t="shared" si="44"/>
        <v>0.9249036768287755</v>
      </c>
      <c r="AJ64" s="404">
        <f t="shared" si="44"/>
        <v>0.93415271359706331</v>
      </c>
      <c r="AK64" s="404">
        <f t="shared" si="44"/>
        <v>0.94349424073303401</v>
      </c>
    </row>
    <row r="65" spans="1:37" s="93" customFormat="1">
      <c r="A65" s="95"/>
      <c r="B65" s="314"/>
      <c r="C65" s="314"/>
      <c r="D65" s="314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</row>
    <row r="66" spans="1:37" s="93" customFormat="1">
      <c r="A66" s="95"/>
      <c r="B66" s="314"/>
      <c r="C66" s="314"/>
      <c r="D66" s="314"/>
      <c r="F66" s="117" t="s">
        <v>492</v>
      </c>
      <c r="G66" s="117">
        <f>G67*G63</f>
        <v>32.604263951287578</v>
      </c>
      <c r="H66" s="117">
        <f t="shared" ref="H66:AK66" si="45">H67*H63</f>
        <v>33.831631596466366</v>
      </c>
      <c r="I66" s="117">
        <f t="shared" si="45"/>
        <v>35.107748427463022</v>
      </c>
      <c r="J66" s="117">
        <f t="shared" si="45"/>
        <v>36.417249462763415</v>
      </c>
      <c r="K66" s="117">
        <f t="shared" si="45"/>
        <v>37.79098884420889</v>
      </c>
      <c r="L66" s="117">
        <f t="shared" si="45"/>
        <v>39.217773661613784</v>
      </c>
      <c r="M66" s="117">
        <f t="shared" si="45"/>
        <v>40.343100120312705</v>
      </c>
      <c r="N66" s="117">
        <f t="shared" si="45"/>
        <v>41.687865493371952</v>
      </c>
      <c r="O66" s="117">
        <f t="shared" si="45"/>
        <v>42.787819363128513</v>
      </c>
      <c r="P66" s="117">
        <f t="shared" si="45"/>
        <v>44.594546737589305</v>
      </c>
      <c r="Q66" s="117">
        <f t="shared" si="45"/>
        <v>46.159559286548443</v>
      </c>
      <c r="R66" s="117">
        <f t="shared" si="45"/>
        <v>47.779494790388419</v>
      </c>
      <c r="S66" s="117">
        <f t="shared" si="45"/>
        <v>49.456280729482984</v>
      </c>
      <c r="T66" s="117">
        <f t="shared" si="45"/>
        <v>51.191912227700378</v>
      </c>
      <c r="U66" s="117">
        <f t="shared" si="45"/>
        <v>52.988454426301438</v>
      </c>
      <c r="V66" s="117">
        <f t="shared" si="45"/>
        <v>54.848044941148181</v>
      </c>
      <c r="W66" s="117">
        <f t="shared" si="45"/>
        <v>56.772896406146216</v>
      </c>
      <c r="X66" s="117">
        <f t="shared" si="45"/>
        <v>58.76529910594725</v>
      </c>
      <c r="Y66" s="117">
        <f t="shared" si="45"/>
        <v>60.827623701044502</v>
      </c>
      <c r="Z66" s="117">
        <f t="shared" si="45"/>
        <v>62.962324048503284</v>
      </c>
      <c r="AA66" s="117">
        <f t="shared" si="45"/>
        <v>65.171940121682965</v>
      </c>
      <c r="AB66" s="117">
        <f t="shared" si="45"/>
        <v>67.459101032424442</v>
      </c>
      <c r="AC66" s="117">
        <f t="shared" si="45"/>
        <v>69.826528159299059</v>
      </c>
      <c r="AD66" s="117">
        <f t="shared" si="45"/>
        <v>72.27703838564112</v>
      </c>
      <c r="AE66" s="117">
        <f t="shared" si="45"/>
        <v>74.813547451216721</v>
      </c>
      <c r="AF66" s="117">
        <f t="shared" si="45"/>
        <v>77.439073421516866</v>
      </c>
      <c r="AG66" s="117">
        <f t="shared" si="45"/>
        <v>80.156740278802971</v>
      </c>
      <c r="AH66" s="117">
        <f t="shared" si="45"/>
        <v>82.969781639177313</v>
      </c>
      <c r="AI66" s="117">
        <f t="shared" si="45"/>
        <v>85.881544600101464</v>
      </c>
      <c r="AJ66" s="117">
        <f t="shared" si="45"/>
        <v>88.895493722940287</v>
      </c>
      <c r="AK66" s="117">
        <f t="shared" si="45"/>
        <v>92.015215155270766</v>
      </c>
    </row>
    <row r="67" spans="1:37" s="93" customFormat="1">
      <c r="A67" s="95"/>
      <c r="B67" s="314"/>
      <c r="C67" s="314"/>
      <c r="D67" s="314"/>
      <c r="F67" s="116" t="s">
        <v>466</v>
      </c>
      <c r="G67" s="400">
        <v>0.93400000000000005</v>
      </c>
      <c r="H67" s="400">
        <v>0.93400000000000005</v>
      </c>
      <c r="I67" s="400">
        <v>0.93400000000000005</v>
      </c>
      <c r="J67" s="400">
        <v>0.93400000000000005</v>
      </c>
      <c r="K67" s="400">
        <v>0.93400000000000005</v>
      </c>
      <c r="L67" s="400">
        <v>0.93400000000000005</v>
      </c>
      <c r="M67" s="400">
        <v>0.93400000000000005</v>
      </c>
      <c r="N67" s="400">
        <v>0.93400000000000005</v>
      </c>
      <c r="O67" s="400">
        <v>0.93400000000000005</v>
      </c>
      <c r="P67" s="400">
        <v>0.93400000000000005</v>
      </c>
      <c r="Q67" s="400">
        <v>0.93400000000000005</v>
      </c>
      <c r="R67" s="400">
        <v>0.93400000000000005</v>
      </c>
      <c r="S67" s="400">
        <v>0.93400000000000005</v>
      </c>
      <c r="T67" s="400">
        <v>0.93400000000000005</v>
      </c>
      <c r="U67" s="400">
        <v>0.93400000000000005</v>
      </c>
      <c r="V67" s="400">
        <v>0.93400000000000005</v>
      </c>
      <c r="W67" s="404">
        <v>0.93400000000000005</v>
      </c>
      <c r="X67" s="404">
        <v>0.93400000000000005</v>
      </c>
      <c r="Y67" s="404">
        <v>0.93400000000000005</v>
      </c>
      <c r="Z67" s="404">
        <v>0.93400000000000005</v>
      </c>
      <c r="AA67" s="404">
        <v>0.93400000000000005</v>
      </c>
      <c r="AB67" s="404">
        <v>0.93400000000000005</v>
      </c>
      <c r="AC67" s="404">
        <v>0.93400000000000005</v>
      </c>
      <c r="AD67" s="404">
        <v>0.93400000000000005</v>
      </c>
      <c r="AE67" s="404">
        <v>0.93400000000000005</v>
      </c>
      <c r="AF67" s="404">
        <v>0.93400000000000005</v>
      </c>
      <c r="AG67" s="404">
        <v>0.93400000000000005</v>
      </c>
      <c r="AH67" s="404">
        <v>0.93400000000000005</v>
      </c>
      <c r="AI67" s="404">
        <v>0.93400000000000005</v>
      </c>
      <c r="AJ67" s="404">
        <v>0.93400000000000005</v>
      </c>
      <c r="AK67" s="404">
        <v>0.93400000000000005</v>
      </c>
    </row>
    <row r="68" spans="1:37" s="93" customFormat="1">
      <c r="A68" s="95"/>
      <c r="B68" s="314"/>
      <c r="C68" s="314"/>
      <c r="D68" s="314"/>
      <c r="F68" s="117" t="s">
        <v>493</v>
      </c>
      <c r="G68" s="117">
        <f>G69*G66</f>
        <v>8.1510659878218945</v>
      </c>
      <c r="H68" s="117">
        <f t="shared" ref="H68:AK68" si="46">H69*H66</f>
        <v>8.4579078991165915</v>
      </c>
      <c r="I68" s="117">
        <f t="shared" si="46"/>
        <v>8.7769371068657556</v>
      </c>
      <c r="J68" s="117">
        <f t="shared" si="46"/>
        <v>9.1043123656908538</v>
      </c>
      <c r="K68" s="117">
        <f t="shared" si="46"/>
        <v>9.4477472110522225</v>
      </c>
      <c r="L68" s="117">
        <f t="shared" si="46"/>
        <v>9.8044434154034459</v>
      </c>
      <c r="M68" s="117">
        <f t="shared" si="46"/>
        <v>10.085775030078176</v>
      </c>
      <c r="N68" s="117">
        <f t="shared" si="46"/>
        <v>10.421966373342988</v>
      </c>
      <c r="O68" s="117">
        <f t="shared" si="46"/>
        <v>10.696954840782128</v>
      </c>
      <c r="P68" s="117">
        <f t="shared" si="46"/>
        <v>11.148636684397326</v>
      </c>
      <c r="Q68" s="117">
        <f t="shared" si="46"/>
        <v>11.539889821637111</v>
      </c>
      <c r="R68" s="117">
        <f t="shared" si="46"/>
        <v>11.944873697597105</v>
      </c>
      <c r="S68" s="117">
        <f t="shared" si="46"/>
        <v>12.364070182370746</v>
      </c>
      <c r="T68" s="117">
        <f t="shared" si="46"/>
        <v>12.797978056925094</v>
      </c>
      <c r="U68" s="117">
        <f t="shared" si="46"/>
        <v>13.247113606575359</v>
      </c>
      <c r="V68" s="117">
        <f t="shared" si="46"/>
        <v>13.712011235287045</v>
      </c>
      <c r="W68" s="117">
        <f t="shared" si="46"/>
        <v>14.193224101536554</v>
      </c>
      <c r="X68" s="117">
        <f t="shared" si="46"/>
        <v>14.691324776486812</v>
      </c>
      <c r="Y68" s="117">
        <f t="shared" si="46"/>
        <v>15.206905925261125</v>
      </c>
      <c r="Z68" s="117">
        <f t="shared" si="46"/>
        <v>15.740581012125821</v>
      </c>
      <c r="AA68" s="117">
        <f t="shared" si="46"/>
        <v>16.292985030420741</v>
      </c>
      <c r="AB68" s="117">
        <f t="shared" si="46"/>
        <v>16.864775258106111</v>
      </c>
      <c r="AC68" s="117">
        <f t="shared" si="46"/>
        <v>17.456632039824765</v>
      </c>
      <c r="AD68" s="117">
        <f t="shared" si="46"/>
        <v>18.06925959641028</v>
      </c>
      <c r="AE68" s="117">
        <f t="shared" si="46"/>
        <v>18.70338686280418</v>
      </c>
      <c r="AF68" s="117">
        <f t="shared" si="46"/>
        <v>19.359768355379217</v>
      </c>
      <c r="AG68" s="117">
        <f t="shared" si="46"/>
        <v>20.039185069700743</v>
      </c>
      <c r="AH68" s="117">
        <f t="shared" si="46"/>
        <v>20.742445409794328</v>
      </c>
      <c r="AI68" s="117">
        <f t="shared" si="46"/>
        <v>21.470386150025366</v>
      </c>
      <c r="AJ68" s="117">
        <f t="shared" si="46"/>
        <v>22.223873430735072</v>
      </c>
      <c r="AK68" s="117">
        <f t="shared" si="46"/>
        <v>23.003803788817692</v>
      </c>
    </row>
    <row r="69" spans="1:37" s="93" customFormat="1">
      <c r="A69" s="95"/>
      <c r="B69" s="314"/>
      <c r="C69" s="314"/>
      <c r="D69" s="314"/>
      <c r="F69" s="116" t="s">
        <v>494</v>
      </c>
      <c r="G69" s="400">
        <v>0.25</v>
      </c>
      <c r="H69" s="400">
        <v>0.25</v>
      </c>
      <c r="I69" s="400">
        <v>0.25</v>
      </c>
      <c r="J69" s="400">
        <v>0.25</v>
      </c>
      <c r="K69" s="400">
        <v>0.25</v>
      </c>
      <c r="L69" s="400">
        <v>0.25</v>
      </c>
      <c r="M69" s="400">
        <v>0.25</v>
      </c>
      <c r="N69" s="400">
        <v>0.25</v>
      </c>
      <c r="O69" s="400">
        <v>0.25</v>
      </c>
      <c r="P69" s="400">
        <v>0.25</v>
      </c>
      <c r="Q69" s="400">
        <v>0.25</v>
      </c>
      <c r="R69" s="400">
        <v>0.25</v>
      </c>
      <c r="S69" s="400">
        <v>0.25</v>
      </c>
      <c r="T69" s="400">
        <v>0.25</v>
      </c>
      <c r="U69" s="400">
        <v>0.25</v>
      </c>
      <c r="V69" s="400">
        <v>0.25</v>
      </c>
      <c r="W69" s="404">
        <v>0.25</v>
      </c>
      <c r="X69" s="404">
        <v>0.25</v>
      </c>
      <c r="Y69" s="404">
        <v>0.25</v>
      </c>
      <c r="Z69" s="404">
        <v>0.25</v>
      </c>
      <c r="AA69" s="404">
        <v>0.25</v>
      </c>
      <c r="AB69" s="404">
        <v>0.25</v>
      </c>
      <c r="AC69" s="404">
        <v>0.25</v>
      </c>
      <c r="AD69" s="404">
        <v>0.25</v>
      </c>
      <c r="AE69" s="404">
        <v>0.25</v>
      </c>
      <c r="AF69" s="404">
        <v>0.25</v>
      </c>
      <c r="AG69" s="404">
        <v>0.25</v>
      </c>
      <c r="AH69" s="404">
        <v>0.25</v>
      </c>
      <c r="AI69" s="404">
        <v>0.25</v>
      </c>
      <c r="AJ69" s="404">
        <v>0.25</v>
      </c>
      <c r="AK69" s="404">
        <v>0.25</v>
      </c>
    </row>
    <row r="70" spans="1:37" s="93" customFormat="1" ht="12">
      <c r="A70" s="95"/>
      <c r="B70" s="314"/>
      <c r="C70" s="314"/>
      <c r="D70" s="314"/>
      <c r="F70" s="401" t="s">
        <v>495</v>
      </c>
      <c r="G70" s="117">
        <f>G71*G68</f>
        <v>7.3359593890397052</v>
      </c>
      <c r="H70" s="117">
        <f t="shared" ref="H70:AK70" si="47">H71*H68</f>
        <v>7.6121171092049327</v>
      </c>
      <c r="I70" s="117">
        <f t="shared" si="47"/>
        <v>7.8992433961791804</v>
      </c>
      <c r="J70" s="117">
        <f t="shared" si="47"/>
        <v>8.1938811291217686</v>
      </c>
      <c r="K70" s="117">
        <f t="shared" si="47"/>
        <v>8.5029724899470001</v>
      </c>
      <c r="L70" s="117">
        <f t="shared" si="47"/>
        <v>8.8239990738631011</v>
      </c>
      <c r="M70" s="117">
        <f t="shared" si="47"/>
        <v>9.0771975270703589</v>
      </c>
      <c r="N70" s="117">
        <f t="shared" si="47"/>
        <v>9.37976973600869</v>
      </c>
      <c r="O70" s="117">
        <f t="shared" si="47"/>
        <v>9.6272593567039149</v>
      </c>
      <c r="P70" s="117">
        <f t="shared" si="47"/>
        <v>10.033773015957594</v>
      </c>
      <c r="Q70" s="117">
        <f t="shared" si="47"/>
        <v>10.3859008394734</v>
      </c>
      <c r="R70" s="117">
        <f t="shared" si="47"/>
        <v>10.750386327837395</v>
      </c>
      <c r="S70" s="117">
        <f t="shared" si="47"/>
        <v>11.127663164133672</v>
      </c>
      <c r="T70" s="117">
        <f t="shared" si="47"/>
        <v>11.518180251232586</v>
      </c>
      <c r="U70" s="117">
        <f t="shared" si="47"/>
        <v>11.922402245917823</v>
      </c>
      <c r="V70" s="117">
        <f t="shared" si="47"/>
        <v>12.340810111758341</v>
      </c>
      <c r="W70" s="117">
        <f t="shared" si="47"/>
        <v>12.7739016913829</v>
      </c>
      <c r="X70" s="117">
        <f t="shared" si="47"/>
        <v>13.222192298838131</v>
      </c>
      <c r="Y70" s="117">
        <f t="shared" si="47"/>
        <v>13.686215332735014</v>
      </c>
      <c r="Z70" s="117">
        <f t="shared" si="47"/>
        <v>14.166522910913239</v>
      </c>
      <c r="AA70" s="117">
        <f t="shared" si="47"/>
        <v>14.663686527378667</v>
      </c>
      <c r="AB70" s="117">
        <f t="shared" si="47"/>
        <v>15.1782977322955</v>
      </c>
      <c r="AC70" s="117">
        <f t="shared" si="47"/>
        <v>15.710968835842289</v>
      </c>
      <c r="AD70" s="117">
        <f t="shared" si="47"/>
        <v>16.262333636769252</v>
      </c>
      <c r="AE70" s="117">
        <f t="shared" si="47"/>
        <v>16.833048176523764</v>
      </c>
      <c r="AF70" s="117">
        <f t="shared" si="47"/>
        <v>17.423791519841295</v>
      </c>
      <c r="AG70" s="117">
        <f t="shared" si="47"/>
        <v>18.035266562730669</v>
      </c>
      <c r="AH70" s="117">
        <f t="shared" si="47"/>
        <v>18.668200868814896</v>
      </c>
      <c r="AI70" s="117">
        <f t="shared" si="47"/>
        <v>19.32334753502283</v>
      </c>
      <c r="AJ70" s="117">
        <f t="shared" si="47"/>
        <v>20.001486087661565</v>
      </c>
      <c r="AK70" s="117">
        <f t="shared" si="47"/>
        <v>20.703423409935922</v>
      </c>
    </row>
    <row r="71" spans="1:37" s="93" customFormat="1">
      <c r="A71" s="95"/>
      <c r="B71" s="314"/>
      <c r="C71" s="314"/>
      <c r="D71" s="314"/>
      <c r="F71" s="116" t="s">
        <v>466</v>
      </c>
      <c r="G71" s="400">
        <v>0.9</v>
      </c>
      <c r="H71" s="400">
        <v>0.9</v>
      </c>
      <c r="I71" s="400">
        <v>0.9</v>
      </c>
      <c r="J71" s="400">
        <v>0.9</v>
      </c>
      <c r="K71" s="400">
        <v>0.9</v>
      </c>
      <c r="L71" s="400">
        <v>0.9</v>
      </c>
      <c r="M71" s="400">
        <v>0.9</v>
      </c>
      <c r="N71" s="400">
        <v>0.9</v>
      </c>
      <c r="O71" s="400">
        <v>0.9</v>
      </c>
      <c r="P71" s="400">
        <v>0.9</v>
      </c>
      <c r="Q71" s="400">
        <v>0.9</v>
      </c>
      <c r="R71" s="400">
        <v>0.9</v>
      </c>
      <c r="S71" s="400">
        <v>0.9</v>
      </c>
      <c r="T71" s="400">
        <v>0.9</v>
      </c>
      <c r="U71" s="400">
        <v>0.9</v>
      </c>
      <c r="V71" s="400">
        <v>0.9</v>
      </c>
      <c r="W71" s="400">
        <v>0.9</v>
      </c>
      <c r="X71" s="400">
        <v>0.9</v>
      </c>
      <c r="Y71" s="400">
        <v>0.9</v>
      </c>
      <c r="Z71" s="400">
        <v>0.9</v>
      </c>
      <c r="AA71" s="400">
        <v>0.9</v>
      </c>
      <c r="AB71" s="400">
        <v>0.9</v>
      </c>
      <c r="AC71" s="400">
        <v>0.9</v>
      </c>
      <c r="AD71" s="400">
        <v>0.9</v>
      </c>
      <c r="AE71" s="400">
        <v>0.9</v>
      </c>
      <c r="AF71" s="400">
        <v>0.9</v>
      </c>
      <c r="AG71" s="400">
        <v>0.9</v>
      </c>
      <c r="AH71" s="400">
        <v>0.9</v>
      </c>
      <c r="AI71" s="400">
        <v>0.9</v>
      </c>
      <c r="AJ71" s="400">
        <v>0.9</v>
      </c>
      <c r="AK71" s="400">
        <v>0.9</v>
      </c>
    </row>
    <row r="72" spans="1:37" s="93" customFormat="1">
      <c r="A72" s="95"/>
      <c r="B72" s="314"/>
      <c r="C72" s="314"/>
      <c r="D72" s="314"/>
      <c r="F72" s="117" t="s">
        <v>493</v>
      </c>
      <c r="G72" s="117">
        <f>G73*G70</f>
        <v>1.8339898472599263</v>
      </c>
      <c r="H72" s="117">
        <f t="shared" ref="H72:AK72" si="48">H73*H70</f>
        <v>1.9030292773012332</v>
      </c>
      <c r="I72" s="117">
        <f t="shared" si="48"/>
        <v>1.9748108490447951</v>
      </c>
      <c r="J72" s="117">
        <f t="shared" si="48"/>
        <v>2.0484702822804421</v>
      </c>
      <c r="K72" s="117">
        <f t="shared" si="48"/>
        <v>2.12574312248675</v>
      </c>
      <c r="L72" s="117">
        <f t="shared" si="48"/>
        <v>2.2059997684657753</v>
      </c>
      <c r="M72" s="117">
        <f t="shared" si="48"/>
        <v>2.2692993817675897</v>
      </c>
      <c r="N72" s="117">
        <f t="shared" si="48"/>
        <v>2.3449424340021725</v>
      </c>
      <c r="O72" s="117">
        <f t="shared" si="48"/>
        <v>2.4068148391759787</v>
      </c>
      <c r="P72" s="117">
        <f t="shared" si="48"/>
        <v>2.5084432539893986</v>
      </c>
      <c r="Q72" s="117">
        <f t="shared" si="48"/>
        <v>2.5964752098683501</v>
      </c>
      <c r="R72" s="117">
        <f t="shared" si="48"/>
        <v>2.6875965819593488</v>
      </c>
      <c r="S72" s="117">
        <f t="shared" si="48"/>
        <v>2.781915791033418</v>
      </c>
      <c r="T72" s="117">
        <f t="shared" si="48"/>
        <v>2.8795450628081465</v>
      </c>
      <c r="U72" s="117">
        <f t="shared" si="48"/>
        <v>2.9806005614794557</v>
      </c>
      <c r="V72" s="117">
        <f t="shared" si="48"/>
        <v>3.0852025279395852</v>
      </c>
      <c r="W72" s="117">
        <f t="shared" si="48"/>
        <v>3.1934754228457249</v>
      </c>
      <c r="X72" s="117">
        <f t="shared" si="48"/>
        <v>3.3055480747095327</v>
      </c>
      <c r="Y72" s="117">
        <f t="shared" si="48"/>
        <v>3.4215538331837534</v>
      </c>
      <c r="Z72" s="117">
        <f t="shared" si="48"/>
        <v>3.5416307277283097</v>
      </c>
      <c r="AA72" s="117">
        <f t="shared" si="48"/>
        <v>3.6659216318446668</v>
      </c>
      <c r="AB72" s="117">
        <f t="shared" si="48"/>
        <v>3.7945744330738749</v>
      </c>
      <c r="AC72" s="117">
        <f t="shared" si="48"/>
        <v>3.9277422089605722</v>
      </c>
      <c r="AD72" s="117">
        <f t="shared" si="48"/>
        <v>4.0655834091923131</v>
      </c>
      <c r="AE72" s="117">
        <f t="shared" si="48"/>
        <v>4.2082620441309411</v>
      </c>
      <c r="AF72" s="117">
        <f t="shared" si="48"/>
        <v>4.3559478799603237</v>
      </c>
      <c r="AG72" s="117">
        <f t="shared" si="48"/>
        <v>4.5088166406826673</v>
      </c>
      <c r="AH72" s="117">
        <f t="shared" si="48"/>
        <v>4.667050217203724</v>
      </c>
      <c r="AI72" s="117">
        <f t="shared" si="48"/>
        <v>4.8308368837557074</v>
      </c>
      <c r="AJ72" s="117">
        <f t="shared" si="48"/>
        <v>5.0003715219153912</v>
      </c>
      <c r="AK72" s="117">
        <f t="shared" si="48"/>
        <v>5.1758558524839806</v>
      </c>
    </row>
    <row r="73" spans="1:37" s="93" customFormat="1">
      <c r="A73" s="95"/>
      <c r="B73" s="314"/>
      <c r="C73" s="314"/>
      <c r="D73" s="314"/>
      <c r="F73" s="116" t="s">
        <v>494</v>
      </c>
      <c r="G73" s="400">
        <v>0.25</v>
      </c>
      <c r="H73" s="400">
        <v>0.25</v>
      </c>
      <c r="I73" s="400">
        <v>0.25</v>
      </c>
      <c r="J73" s="400">
        <v>0.25</v>
      </c>
      <c r="K73" s="400">
        <v>0.25</v>
      </c>
      <c r="L73" s="400">
        <v>0.25</v>
      </c>
      <c r="M73" s="400">
        <v>0.25</v>
      </c>
      <c r="N73" s="400">
        <v>0.25</v>
      </c>
      <c r="O73" s="400">
        <v>0.25</v>
      </c>
      <c r="P73" s="400">
        <v>0.25</v>
      </c>
      <c r="Q73" s="400">
        <v>0.25</v>
      </c>
      <c r="R73" s="400">
        <v>0.25</v>
      </c>
      <c r="S73" s="400">
        <v>0.25</v>
      </c>
      <c r="T73" s="400">
        <v>0.25</v>
      </c>
      <c r="U73" s="400">
        <v>0.25</v>
      </c>
      <c r="V73" s="400">
        <v>0.25</v>
      </c>
      <c r="W73" s="400">
        <v>0.25</v>
      </c>
      <c r="X73" s="400">
        <v>0.25</v>
      </c>
      <c r="Y73" s="400">
        <v>0.25</v>
      </c>
      <c r="Z73" s="400">
        <v>0.25</v>
      </c>
      <c r="AA73" s="400">
        <v>0.25</v>
      </c>
      <c r="AB73" s="400">
        <v>0.25</v>
      </c>
      <c r="AC73" s="400">
        <v>0.25</v>
      </c>
      <c r="AD73" s="400">
        <v>0.25</v>
      </c>
      <c r="AE73" s="400">
        <v>0.25</v>
      </c>
      <c r="AF73" s="400">
        <v>0.25</v>
      </c>
      <c r="AG73" s="400">
        <v>0.25</v>
      </c>
      <c r="AH73" s="400">
        <v>0.25</v>
      </c>
      <c r="AI73" s="400">
        <v>0.25</v>
      </c>
      <c r="AJ73" s="400">
        <v>0.25</v>
      </c>
      <c r="AK73" s="400">
        <v>0.25</v>
      </c>
    </row>
    <row r="74" spans="1:37" s="93" customFormat="1">
      <c r="A74" s="95"/>
      <c r="B74" s="314"/>
      <c r="C74" s="314"/>
      <c r="D74" s="314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</row>
    <row r="75" spans="1:37" s="93" customFormat="1">
      <c r="A75" s="95"/>
      <c r="B75" s="314"/>
      <c r="C75" s="314"/>
      <c r="D75" s="314"/>
      <c r="F75" s="399" t="s">
        <v>496</v>
      </c>
      <c r="G75" s="117">
        <f>G76*G61</f>
        <v>14.960659506555942</v>
      </c>
      <c r="H75" s="117">
        <f t="shared" ref="H75:AK75" si="49">H76*H61</f>
        <v>15.011506316105761</v>
      </c>
      <c r="I75" s="117">
        <f t="shared" si="49"/>
        <v>15.051335557953388</v>
      </c>
      <c r="J75" s="117">
        <f t="shared" si="49"/>
        <v>15.072115202274524</v>
      </c>
      <c r="K75" s="117">
        <f t="shared" si="49"/>
        <v>15.085202335435767</v>
      </c>
      <c r="L75" s="117">
        <f t="shared" si="49"/>
        <v>15.084007984434928</v>
      </c>
      <c r="M75" s="117">
        <f t="shared" si="49"/>
        <v>14.935538634911454</v>
      </c>
      <c r="N75" s="117">
        <f t="shared" si="49"/>
        <v>14.83866467193368</v>
      </c>
      <c r="O75" s="117">
        <f t="shared" si="49"/>
        <v>14.625817917196457</v>
      </c>
      <c r="P75" s="117">
        <f t="shared" si="49"/>
        <v>14.619741985000745</v>
      </c>
      <c r="Q75" s="117">
        <f t="shared" si="49"/>
        <v>14.493660685080686</v>
      </c>
      <c r="R75" s="117">
        <f t="shared" si="49"/>
        <v>14.347274454529927</v>
      </c>
      <c r="S75" s="117">
        <f t="shared" si="49"/>
        <v>14.179476150562158</v>
      </c>
      <c r="T75" s="117">
        <f t="shared" si="49"/>
        <v>13.989109972968821</v>
      </c>
      <c r="U75" s="117">
        <f t="shared" si="49"/>
        <v>13.774969512957874</v>
      </c>
      <c r="V75" s="117">
        <f t="shared" si="49"/>
        <v>13.535795727466496</v>
      </c>
      <c r="W75" s="117">
        <f t="shared" si="49"/>
        <v>13.27027483618183</v>
      </c>
      <c r="X75" s="117">
        <f t="shared" si="49"/>
        <v>12.97703613840323</v>
      </c>
      <c r="Y75" s="117">
        <f t="shared" si="49"/>
        <v>12.654649746774959</v>
      </c>
      <c r="Z75" s="117">
        <f t="shared" si="49"/>
        <v>12.301624234810115</v>
      </c>
      <c r="AA75" s="117">
        <f t="shared" si="49"/>
        <v>11.916404195014588</v>
      </c>
      <c r="AB75" s="117">
        <f t="shared" si="49"/>
        <v>11.497367704303434</v>
      </c>
      <c r="AC75" s="117">
        <f t="shared" si="49"/>
        <v>11.042823693282202</v>
      </c>
      <c r="AD75" s="117">
        <f t="shared" si="49"/>
        <v>10.551009215840647</v>
      </c>
      <c r="AE75" s="117">
        <f t="shared" si="49"/>
        <v>10.020086615377616</v>
      </c>
      <c r="AF75" s="117">
        <f t="shared" si="49"/>
        <v>9.4481405838417025</v>
      </c>
      <c r="AG75" s="117">
        <f t="shared" si="49"/>
        <v>8.833175109634162</v>
      </c>
      <c r="AH75" s="117">
        <f t="shared" si="49"/>
        <v>8.1731103102767069</v>
      </c>
      <c r="AI75" s="117">
        <f t="shared" si="49"/>
        <v>7.4657791455982387</v>
      </c>
      <c r="AJ75" s="117">
        <f t="shared" si="49"/>
        <v>6.7089240070406211</v>
      </c>
      <c r="AK75" s="117">
        <f t="shared" si="49"/>
        <v>5.9001931785239599</v>
      </c>
    </row>
    <row r="76" spans="1:37" s="93" customFormat="1">
      <c r="A76" s="95"/>
      <c r="B76" s="314"/>
      <c r="C76" s="314"/>
      <c r="D76" s="314"/>
      <c r="F76" s="116" t="s">
        <v>497</v>
      </c>
      <c r="G76" s="402">
        <f>1-G64</f>
        <v>0.30000000000000004</v>
      </c>
      <c r="H76" s="402">
        <f t="shared" ref="H76:AK76" si="50">1-H64</f>
        <v>0.29300000000000004</v>
      </c>
      <c r="I76" s="402">
        <f t="shared" si="50"/>
        <v>0.28593000000000002</v>
      </c>
      <c r="J76" s="402">
        <f t="shared" si="50"/>
        <v>0.27878930000000002</v>
      </c>
      <c r="K76" s="402">
        <f t="shared" si="50"/>
        <v>0.27157719300000005</v>
      </c>
      <c r="L76" s="402">
        <f t="shared" si="50"/>
        <v>0.2642929649300001</v>
      </c>
      <c r="M76" s="402">
        <f t="shared" si="50"/>
        <v>0.25693589457930011</v>
      </c>
      <c r="N76" s="402">
        <f t="shared" si="50"/>
        <v>0.24950525352509312</v>
      </c>
      <c r="O76" s="402">
        <f t="shared" si="50"/>
        <v>0.24200030606034406</v>
      </c>
      <c r="P76" s="402">
        <f t="shared" si="50"/>
        <v>0.23442030912094747</v>
      </c>
      <c r="Q76" s="402">
        <f t="shared" si="50"/>
        <v>0.22676451221215699</v>
      </c>
      <c r="R76" s="402">
        <f t="shared" si="50"/>
        <v>0.2190321573342785</v>
      </c>
      <c r="S76" s="402">
        <f t="shared" si="50"/>
        <v>0.21122247890762125</v>
      </c>
      <c r="T76" s="402">
        <f t="shared" si="50"/>
        <v>0.20333470369669748</v>
      </c>
      <c r="U76" s="402">
        <f t="shared" si="50"/>
        <v>0.19536805073366448</v>
      </c>
      <c r="V76" s="402">
        <f t="shared" si="50"/>
        <v>0.18732173124100115</v>
      </c>
      <c r="W76" s="402">
        <f t="shared" si="50"/>
        <v>0.17919494855341112</v>
      </c>
      <c r="X76" s="402">
        <f t="shared" si="50"/>
        <v>0.17098689803894518</v>
      </c>
      <c r="Y76" s="402">
        <f t="shared" si="50"/>
        <v>0.16269676701933466</v>
      </c>
      <c r="Z76" s="402">
        <f t="shared" si="50"/>
        <v>0.15432373468952798</v>
      </c>
      <c r="AA76" s="402">
        <f t="shared" si="50"/>
        <v>0.14586697203642329</v>
      </c>
      <c r="AB76" s="402">
        <f t="shared" si="50"/>
        <v>0.13732564175678752</v>
      </c>
      <c r="AC76" s="402">
        <f t="shared" si="50"/>
        <v>0.12869889817435543</v>
      </c>
      <c r="AD76" s="402">
        <f t="shared" si="50"/>
        <v>0.11998588715609892</v>
      </c>
      <c r="AE76" s="402">
        <f t="shared" si="50"/>
        <v>0.11118574602765996</v>
      </c>
      <c r="AF76" s="402">
        <f t="shared" si="50"/>
        <v>0.10229760348793659</v>
      </c>
      <c r="AG76" s="402">
        <f t="shared" si="50"/>
        <v>9.3320579522815916E-2</v>
      </c>
      <c r="AH76" s="402">
        <f t="shared" si="50"/>
        <v>8.4253785318044061E-2</v>
      </c>
      <c r="AI76" s="402">
        <f t="shared" si="50"/>
        <v>7.5096323171224499E-2</v>
      </c>
      <c r="AJ76" s="402">
        <f t="shared" si="50"/>
        <v>6.5847286402936689E-2</v>
      </c>
      <c r="AK76" s="402">
        <f t="shared" si="50"/>
        <v>5.6505759266965994E-2</v>
      </c>
    </row>
    <row r="77" spans="1:37" s="93" customFormat="1">
      <c r="A77" s="95"/>
      <c r="B77" s="314"/>
      <c r="C77" s="314"/>
      <c r="D77" s="314"/>
      <c r="F77" s="117" t="s">
        <v>492</v>
      </c>
      <c r="G77" s="117">
        <f>G78*G75</f>
        <v>7.4803297532779709</v>
      </c>
      <c r="H77" s="117">
        <f t="shared" ref="H77:AK77" si="51">H78*H75</f>
        <v>7.5057531580528805</v>
      </c>
      <c r="I77" s="117">
        <f t="shared" si="51"/>
        <v>7.5256677789766941</v>
      </c>
      <c r="J77" s="117">
        <f t="shared" si="51"/>
        <v>7.5360576011372622</v>
      </c>
      <c r="K77" s="117">
        <f t="shared" si="51"/>
        <v>7.5426011677178835</v>
      </c>
      <c r="L77" s="117">
        <f t="shared" si="51"/>
        <v>7.542003992217464</v>
      </c>
      <c r="M77" s="117">
        <f t="shared" si="51"/>
        <v>7.4677693174557271</v>
      </c>
      <c r="N77" s="117">
        <f t="shared" si="51"/>
        <v>7.4193323359668399</v>
      </c>
      <c r="O77" s="117">
        <f t="shared" si="51"/>
        <v>7.3129089585982285</v>
      </c>
      <c r="P77" s="117">
        <f t="shared" si="51"/>
        <v>7.3098709925003726</v>
      </c>
      <c r="Q77" s="117">
        <f t="shared" si="51"/>
        <v>7.2468303425403429</v>
      </c>
      <c r="R77" s="117">
        <f t="shared" si="51"/>
        <v>7.1736372272649636</v>
      </c>
      <c r="S77" s="117">
        <f t="shared" si="51"/>
        <v>7.0897380752810788</v>
      </c>
      <c r="T77" s="117">
        <f t="shared" si="51"/>
        <v>6.9945549864844105</v>
      </c>
      <c r="U77" s="117">
        <f t="shared" si="51"/>
        <v>6.887484756478937</v>
      </c>
      <c r="V77" s="117">
        <f t="shared" si="51"/>
        <v>6.7678978637332481</v>
      </c>
      <c r="W77" s="117">
        <f t="shared" si="51"/>
        <v>6.6351374180909151</v>
      </c>
      <c r="X77" s="117">
        <f t="shared" si="51"/>
        <v>6.4885180692016151</v>
      </c>
      <c r="Y77" s="117">
        <f t="shared" si="51"/>
        <v>6.3273248733874796</v>
      </c>
      <c r="Z77" s="117">
        <f t="shared" si="51"/>
        <v>6.1508121174050574</v>
      </c>
      <c r="AA77" s="117">
        <f t="shared" si="51"/>
        <v>5.9582020975072938</v>
      </c>
      <c r="AB77" s="117">
        <f t="shared" si="51"/>
        <v>5.748683852151717</v>
      </c>
      <c r="AC77" s="117">
        <f t="shared" si="51"/>
        <v>5.5214118466411009</v>
      </c>
      <c r="AD77" s="117">
        <f t="shared" si="51"/>
        <v>5.2755046079203236</v>
      </c>
      <c r="AE77" s="117">
        <f t="shared" si="51"/>
        <v>5.0100433076888082</v>
      </c>
      <c r="AF77" s="117">
        <f t="shared" si="51"/>
        <v>4.7240702919208513</v>
      </c>
      <c r="AG77" s="117">
        <f t="shared" si="51"/>
        <v>4.416587554817081</v>
      </c>
      <c r="AH77" s="117">
        <f t="shared" si="51"/>
        <v>4.0865551551383534</v>
      </c>
      <c r="AI77" s="117">
        <f t="shared" si="51"/>
        <v>3.7328895727991194</v>
      </c>
      <c r="AJ77" s="117">
        <f t="shared" si="51"/>
        <v>3.3544620035203105</v>
      </c>
      <c r="AK77" s="117">
        <f t="shared" si="51"/>
        <v>2.9500965892619799</v>
      </c>
    </row>
    <row r="78" spans="1:37" s="93" customFormat="1">
      <c r="A78" s="95"/>
      <c r="B78" s="314"/>
      <c r="C78" s="314"/>
      <c r="D78" s="314"/>
      <c r="F78" s="116" t="s">
        <v>466</v>
      </c>
      <c r="G78" s="400">
        <v>0.5</v>
      </c>
      <c r="H78" s="400">
        <v>0.5</v>
      </c>
      <c r="I78" s="400">
        <v>0.5</v>
      </c>
      <c r="J78" s="400">
        <v>0.5</v>
      </c>
      <c r="K78" s="400">
        <v>0.5</v>
      </c>
      <c r="L78" s="400">
        <v>0.5</v>
      </c>
      <c r="M78" s="400">
        <v>0.5</v>
      </c>
      <c r="N78" s="400">
        <v>0.5</v>
      </c>
      <c r="O78" s="400">
        <v>0.5</v>
      </c>
      <c r="P78" s="400">
        <v>0.5</v>
      </c>
      <c r="Q78" s="400">
        <v>0.5</v>
      </c>
      <c r="R78" s="400">
        <v>0.5</v>
      </c>
      <c r="S78" s="400">
        <v>0.5</v>
      </c>
      <c r="T78" s="400">
        <v>0.5</v>
      </c>
      <c r="U78" s="400">
        <v>0.5</v>
      </c>
      <c r="V78" s="400">
        <v>0.5</v>
      </c>
      <c r="W78" s="400">
        <v>0.5</v>
      </c>
      <c r="X78" s="400">
        <v>0.5</v>
      </c>
      <c r="Y78" s="400">
        <v>0.5</v>
      </c>
      <c r="Z78" s="400">
        <v>0.5</v>
      </c>
      <c r="AA78" s="400">
        <v>0.5</v>
      </c>
      <c r="AB78" s="400">
        <v>0.5</v>
      </c>
      <c r="AC78" s="400">
        <v>0.5</v>
      </c>
      <c r="AD78" s="400">
        <v>0.5</v>
      </c>
      <c r="AE78" s="400">
        <v>0.5</v>
      </c>
      <c r="AF78" s="400">
        <v>0.5</v>
      </c>
      <c r="AG78" s="400">
        <v>0.5</v>
      </c>
      <c r="AH78" s="400">
        <v>0.5</v>
      </c>
      <c r="AI78" s="400">
        <v>0.5</v>
      </c>
      <c r="AJ78" s="400">
        <v>0.5</v>
      </c>
      <c r="AK78" s="400">
        <v>0.5</v>
      </c>
    </row>
    <row r="79" spans="1:37" s="93" customFormat="1">
      <c r="A79" s="95"/>
      <c r="B79" s="314"/>
      <c r="C79" s="314"/>
      <c r="D79" s="314"/>
      <c r="F79" s="117" t="s">
        <v>493</v>
      </c>
      <c r="G79" s="117">
        <f>G80*G77</f>
        <v>5.2362308272945794</v>
      </c>
      <c r="H79" s="117">
        <f t="shared" ref="H79:AK79" si="52">H80*H77</f>
        <v>5.2540272106370161</v>
      </c>
      <c r="I79" s="117">
        <f t="shared" si="52"/>
        <v>5.267967445283686</v>
      </c>
      <c r="J79" s="117">
        <f t="shared" si="52"/>
        <v>5.2752403207960832</v>
      </c>
      <c r="K79" s="117">
        <f t="shared" si="52"/>
        <v>5.2798208174025181</v>
      </c>
      <c r="L79" s="117">
        <f t="shared" si="52"/>
        <v>5.2794027945522242</v>
      </c>
      <c r="M79" s="117">
        <f t="shared" si="52"/>
        <v>5.2274385222190087</v>
      </c>
      <c r="N79" s="117">
        <f t="shared" si="52"/>
        <v>5.1935326351767879</v>
      </c>
      <c r="O79" s="117">
        <f t="shared" si="52"/>
        <v>5.1190362710187598</v>
      </c>
      <c r="P79" s="117">
        <f t="shared" si="52"/>
        <v>5.1169096947502606</v>
      </c>
      <c r="Q79" s="117">
        <f t="shared" si="52"/>
        <v>5.0727812397782399</v>
      </c>
      <c r="R79" s="117">
        <f t="shared" si="52"/>
        <v>5.0215460590854741</v>
      </c>
      <c r="S79" s="117">
        <f t="shared" si="52"/>
        <v>4.9628166526967545</v>
      </c>
      <c r="T79" s="117">
        <f t="shared" si="52"/>
        <v>4.8961884905390871</v>
      </c>
      <c r="U79" s="117">
        <f t="shared" si="52"/>
        <v>4.8212393295352554</v>
      </c>
      <c r="V79" s="117">
        <f t="shared" si="52"/>
        <v>4.7375285046132731</v>
      </c>
      <c r="W79" s="117">
        <f t="shared" si="52"/>
        <v>4.6445961926636405</v>
      </c>
      <c r="X79" s="117">
        <f t="shared" si="52"/>
        <v>4.54196264844113</v>
      </c>
      <c r="Y79" s="117">
        <f t="shared" si="52"/>
        <v>4.4291274113712351</v>
      </c>
      <c r="Z79" s="117">
        <f t="shared" si="52"/>
        <v>4.3055684821835403</v>
      </c>
      <c r="AA79" s="117">
        <f t="shared" si="52"/>
        <v>4.1707414682551054</v>
      </c>
      <c r="AB79" s="117">
        <f t="shared" si="52"/>
        <v>4.0240786965062014</v>
      </c>
      <c r="AC79" s="117">
        <f t="shared" si="52"/>
        <v>3.8649882926487704</v>
      </c>
      <c r="AD79" s="117">
        <f t="shared" si="52"/>
        <v>3.6928532255442263</v>
      </c>
      <c r="AE79" s="117">
        <f t="shared" si="52"/>
        <v>3.5070303153821656</v>
      </c>
      <c r="AF79" s="117">
        <f t="shared" si="52"/>
        <v>3.3068492043445956</v>
      </c>
      <c r="AG79" s="117">
        <f t="shared" si="52"/>
        <v>3.0916112883719564</v>
      </c>
      <c r="AH79" s="117">
        <f t="shared" si="52"/>
        <v>2.860588608596847</v>
      </c>
      <c r="AI79" s="117">
        <f t="shared" si="52"/>
        <v>2.6130227009593834</v>
      </c>
      <c r="AJ79" s="117">
        <f t="shared" si="52"/>
        <v>2.3481234024642172</v>
      </c>
      <c r="AK79" s="117">
        <f t="shared" si="52"/>
        <v>2.0650676124833858</v>
      </c>
    </row>
    <row r="80" spans="1:37" s="93" customFormat="1">
      <c r="A80" s="95"/>
      <c r="B80" s="314"/>
      <c r="C80" s="314"/>
      <c r="D80" s="314"/>
      <c r="F80" s="116" t="s">
        <v>494</v>
      </c>
      <c r="G80" s="400">
        <v>0.7</v>
      </c>
      <c r="H80" s="400">
        <v>0.7</v>
      </c>
      <c r="I80" s="400">
        <v>0.7</v>
      </c>
      <c r="J80" s="400">
        <v>0.7</v>
      </c>
      <c r="K80" s="400">
        <v>0.7</v>
      </c>
      <c r="L80" s="400">
        <v>0.7</v>
      </c>
      <c r="M80" s="400">
        <v>0.7</v>
      </c>
      <c r="N80" s="400">
        <v>0.7</v>
      </c>
      <c r="O80" s="400">
        <v>0.7</v>
      </c>
      <c r="P80" s="400">
        <v>0.7</v>
      </c>
      <c r="Q80" s="400">
        <v>0.7</v>
      </c>
      <c r="R80" s="400">
        <v>0.7</v>
      </c>
      <c r="S80" s="400">
        <v>0.7</v>
      </c>
      <c r="T80" s="400">
        <v>0.7</v>
      </c>
      <c r="U80" s="400">
        <v>0.7</v>
      </c>
      <c r="V80" s="400">
        <v>0.7</v>
      </c>
      <c r="W80" s="400">
        <v>0.7</v>
      </c>
      <c r="X80" s="400">
        <v>0.7</v>
      </c>
      <c r="Y80" s="400">
        <v>0.7</v>
      </c>
      <c r="Z80" s="400">
        <v>0.7</v>
      </c>
      <c r="AA80" s="400">
        <v>0.7</v>
      </c>
      <c r="AB80" s="400">
        <v>0.7</v>
      </c>
      <c r="AC80" s="400">
        <v>0.7</v>
      </c>
      <c r="AD80" s="400">
        <v>0.7</v>
      </c>
      <c r="AE80" s="400">
        <v>0.7</v>
      </c>
      <c r="AF80" s="400">
        <v>0.7</v>
      </c>
      <c r="AG80" s="400">
        <v>0.7</v>
      </c>
      <c r="AH80" s="400">
        <v>0.7</v>
      </c>
      <c r="AI80" s="400">
        <v>0.7</v>
      </c>
      <c r="AJ80" s="400">
        <v>0.7</v>
      </c>
      <c r="AK80" s="400">
        <v>0.7</v>
      </c>
    </row>
    <row r="81" spans="1:37" s="93" customFormat="1" ht="12">
      <c r="A81" s="95"/>
      <c r="B81" s="314"/>
      <c r="C81" s="314"/>
      <c r="D81" s="314"/>
      <c r="F81" s="401" t="s">
        <v>495</v>
      </c>
      <c r="G81" s="117">
        <f>G82*G79</f>
        <v>4.7126077445651218</v>
      </c>
      <c r="H81" s="117">
        <f t="shared" ref="H81:AK81" si="53">H82*H79</f>
        <v>4.7286244895733143</v>
      </c>
      <c r="I81" s="117">
        <f t="shared" si="53"/>
        <v>4.7411707007553172</v>
      </c>
      <c r="J81" s="117">
        <f t="shared" si="53"/>
        <v>4.7477162887164752</v>
      </c>
      <c r="K81" s="117">
        <f t="shared" si="53"/>
        <v>4.7518387356622664</v>
      </c>
      <c r="L81" s="117">
        <f t="shared" si="53"/>
        <v>4.7514625150970016</v>
      </c>
      <c r="M81" s="117">
        <f t="shared" si="53"/>
        <v>4.7046946699971084</v>
      </c>
      <c r="N81" s="117">
        <f t="shared" si="53"/>
        <v>4.6741793716591093</v>
      </c>
      <c r="O81" s="117">
        <f t="shared" si="53"/>
        <v>4.6071326439168843</v>
      </c>
      <c r="P81" s="117">
        <f t="shared" si="53"/>
        <v>4.6052187252752343</v>
      </c>
      <c r="Q81" s="117">
        <f t="shared" si="53"/>
        <v>4.565503115800416</v>
      </c>
      <c r="R81" s="117">
        <f t="shared" si="53"/>
        <v>4.5193914531769268</v>
      </c>
      <c r="S81" s="117">
        <f t="shared" si="53"/>
        <v>4.466534987427079</v>
      </c>
      <c r="T81" s="117">
        <f t="shared" si="53"/>
        <v>4.4065696414851789</v>
      </c>
      <c r="U81" s="117">
        <f t="shared" si="53"/>
        <v>4.3391153965817297</v>
      </c>
      <c r="V81" s="117">
        <f t="shared" si="53"/>
        <v>4.2637756541519458</v>
      </c>
      <c r="W81" s="117">
        <f t="shared" si="53"/>
        <v>4.1801365733972764</v>
      </c>
      <c r="X81" s="117">
        <f t="shared" si="53"/>
        <v>4.0877663835970175</v>
      </c>
      <c r="Y81" s="117">
        <f t="shared" si="53"/>
        <v>3.9862146702341117</v>
      </c>
      <c r="Z81" s="117">
        <f t="shared" si="53"/>
        <v>3.8750116339651863</v>
      </c>
      <c r="AA81" s="117">
        <f t="shared" si="53"/>
        <v>3.753667321429595</v>
      </c>
      <c r="AB81" s="117">
        <f t="shared" si="53"/>
        <v>3.6216708268555813</v>
      </c>
      <c r="AC81" s="117">
        <f t="shared" si="53"/>
        <v>3.4784894633838936</v>
      </c>
      <c r="AD81" s="117">
        <f t="shared" si="53"/>
        <v>3.323567902989804</v>
      </c>
      <c r="AE81" s="117">
        <f t="shared" si="53"/>
        <v>3.1563272838439489</v>
      </c>
      <c r="AF81" s="117">
        <f t="shared" si="53"/>
        <v>2.9761642839101361</v>
      </c>
      <c r="AG81" s="117">
        <f t="shared" si="53"/>
        <v>2.7824501595347608</v>
      </c>
      <c r="AH81" s="117">
        <f t="shared" si="53"/>
        <v>2.5745297477371625</v>
      </c>
      <c r="AI81" s="117">
        <f t="shared" si="53"/>
        <v>2.3517204308634452</v>
      </c>
      <c r="AJ81" s="117">
        <f t="shared" si="53"/>
        <v>2.1133110622177957</v>
      </c>
      <c r="AK81" s="117">
        <f t="shared" si="53"/>
        <v>1.8585608512350473</v>
      </c>
    </row>
    <row r="82" spans="1:37" s="93" customFormat="1">
      <c r="A82" s="95"/>
      <c r="B82" s="314"/>
      <c r="C82" s="314"/>
      <c r="D82" s="314"/>
      <c r="F82" s="116" t="s">
        <v>466</v>
      </c>
      <c r="G82" s="400">
        <v>0.9</v>
      </c>
      <c r="H82" s="400">
        <v>0.9</v>
      </c>
      <c r="I82" s="400">
        <v>0.9</v>
      </c>
      <c r="J82" s="400">
        <v>0.9</v>
      </c>
      <c r="K82" s="400">
        <v>0.9</v>
      </c>
      <c r="L82" s="400">
        <v>0.9</v>
      </c>
      <c r="M82" s="400">
        <v>0.9</v>
      </c>
      <c r="N82" s="400">
        <v>0.9</v>
      </c>
      <c r="O82" s="400">
        <v>0.9</v>
      </c>
      <c r="P82" s="400">
        <v>0.9</v>
      </c>
      <c r="Q82" s="400">
        <v>0.9</v>
      </c>
      <c r="R82" s="400">
        <v>0.9</v>
      </c>
      <c r="S82" s="400">
        <v>0.9</v>
      </c>
      <c r="T82" s="400">
        <v>0.9</v>
      </c>
      <c r="U82" s="400">
        <v>0.9</v>
      </c>
      <c r="V82" s="400">
        <v>0.9</v>
      </c>
      <c r="W82" s="400">
        <v>0.9</v>
      </c>
      <c r="X82" s="400">
        <v>0.9</v>
      </c>
      <c r="Y82" s="400">
        <v>0.9</v>
      </c>
      <c r="Z82" s="400">
        <v>0.9</v>
      </c>
      <c r="AA82" s="400">
        <v>0.9</v>
      </c>
      <c r="AB82" s="400">
        <v>0.9</v>
      </c>
      <c r="AC82" s="400">
        <v>0.9</v>
      </c>
      <c r="AD82" s="400">
        <v>0.9</v>
      </c>
      <c r="AE82" s="400">
        <v>0.9</v>
      </c>
      <c r="AF82" s="400">
        <v>0.9</v>
      </c>
      <c r="AG82" s="400">
        <v>0.9</v>
      </c>
      <c r="AH82" s="400">
        <v>0.9</v>
      </c>
      <c r="AI82" s="400">
        <v>0.9</v>
      </c>
      <c r="AJ82" s="400">
        <v>0.9</v>
      </c>
      <c r="AK82" s="400">
        <v>0.9</v>
      </c>
    </row>
    <row r="83" spans="1:37" s="93" customFormat="1">
      <c r="A83" s="95"/>
      <c r="B83" s="314"/>
      <c r="C83" s="314"/>
      <c r="D83" s="314"/>
      <c r="F83" s="117" t="s">
        <v>493</v>
      </c>
      <c r="G83" s="117">
        <f>G84*G81</f>
        <v>1.1781519361412804</v>
      </c>
      <c r="H83" s="117">
        <f t="shared" ref="H83:AK83" si="54">H84*H81</f>
        <v>1.1821561223933286</v>
      </c>
      <c r="I83" s="117">
        <f t="shared" si="54"/>
        <v>1.1852926751888293</v>
      </c>
      <c r="J83" s="117">
        <f t="shared" si="54"/>
        <v>1.1869290721791188</v>
      </c>
      <c r="K83" s="117">
        <f t="shared" si="54"/>
        <v>1.1879596839155666</v>
      </c>
      <c r="L83" s="117">
        <f t="shared" si="54"/>
        <v>1.1878656287742504</v>
      </c>
      <c r="M83" s="117">
        <f t="shared" si="54"/>
        <v>1.1761736674992771</v>
      </c>
      <c r="N83" s="117">
        <f t="shared" si="54"/>
        <v>1.1685448429147773</v>
      </c>
      <c r="O83" s="117">
        <f t="shared" si="54"/>
        <v>1.1517831609792211</v>
      </c>
      <c r="P83" s="117">
        <f t="shared" si="54"/>
        <v>1.1513046813188086</v>
      </c>
      <c r="Q83" s="117">
        <f t="shared" si="54"/>
        <v>1.141375778950104</v>
      </c>
      <c r="R83" s="117">
        <f t="shared" si="54"/>
        <v>1.1298478632942317</v>
      </c>
      <c r="S83" s="117">
        <f t="shared" si="54"/>
        <v>1.1166337468567697</v>
      </c>
      <c r="T83" s="117">
        <f t="shared" si="54"/>
        <v>1.1016424103712947</v>
      </c>
      <c r="U83" s="117">
        <f t="shared" si="54"/>
        <v>1.0847788491454324</v>
      </c>
      <c r="V83" s="117">
        <f t="shared" si="54"/>
        <v>1.0659439135379865</v>
      </c>
      <c r="W83" s="117">
        <f t="shared" si="54"/>
        <v>1.0450341433493191</v>
      </c>
      <c r="X83" s="117">
        <f t="shared" si="54"/>
        <v>1.0219415958992544</v>
      </c>
      <c r="Y83" s="117">
        <f t="shared" si="54"/>
        <v>0.99655366755852792</v>
      </c>
      <c r="Z83" s="117">
        <f t="shared" si="54"/>
        <v>0.96875290849129658</v>
      </c>
      <c r="AA83" s="117">
        <f t="shared" si="54"/>
        <v>0.93841683035739876</v>
      </c>
      <c r="AB83" s="117">
        <f t="shared" si="54"/>
        <v>0.90541770671389532</v>
      </c>
      <c r="AC83" s="117">
        <f t="shared" si="54"/>
        <v>0.86962236584597341</v>
      </c>
      <c r="AD83" s="117">
        <f t="shared" si="54"/>
        <v>0.83089197574745099</v>
      </c>
      <c r="AE83" s="117">
        <f t="shared" si="54"/>
        <v>0.78908182096098722</v>
      </c>
      <c r="AF83" s="117">
        <f t="shared" si="54"/>
        <v>0.74404107097753402</v>
      </c>
      <c r="AG83" s="117">
        <f t="shared" si="54"/>
        <v>0.69561253988369021</v>
      </c>
      <c r="AH83" s="117">
        <f t="shared" si="54"/>
        <v>0.64363243693429062</v>
      </c>
      <c r="AI83" s="117">
        <f t="shared" si="54"/>
        <v>0.58793010771586129</v>
      </c>
      <c r="AJ83" s="117">
        <f t="shared" si="54"/>
        <v>0.52832776555444894</v>
      </c>
      <c r="AK83" s="117">
        <f t="shared" si="54"/>
        <v>0.46464021280876183</v>
      </c>
    </row>
    <row r="84" spans="1:37" s="93" customFormat="1">
      <c r="A84" s="95"/>
      <c r="B84" s="314"/>
      <c r="C84" s="314"/>
      <c r="D84" s="314"/>
      <c r="F84" s="116" t="s">
        <v>494</v>
      </c>
      <c r="G84" s="400">
        <v>0.25</v>
      </c>
      <c r="H84" s="400">
        <v>0.25</v>
      </c>
      <c r="I84" s="400">
        <v>0.25</v>
      </c>
      <c r="J84" s="400">
        <v>0.25</v>
      </c>
      <c r="K84" s="400">
        <v>0.25</v>
      </c>
      <c r="L84" s="400">
        <v>0.25</v>
      </c>
      <c r="M84" s="400">
        <v>0.25</v>
      </c>
      <c r="N84" s="400">
        <v>0.25</v>
      </c>
      <c r="O84" s="400">
        <v>0.25</v>
      </c>
      <c r="P84" s="400">
        <v>0.25</v>
      </c>
      <c r="Q84" s="400">
        <v>0.25</v>
      </c>
      <c r="R84" s="400">
        <v>0.25</v>
      </c>
      <c r="S84" s="400">
        <v>0.25</v>
      </c>
      <c r="T84" s="400">
        <v>0.25</v>
      </c>
      <c r="U84" s="400">
        <v>0.25</v>
      </c>
      <c r="V84" s="400">
        <v>0.25</v>
      </c>
      <c r="W84" s="400">
        <v>0.25</v>
      </c>
      <c r="X84" s="400">
        <v>0.25</v>
      </c>
      <c r="Y84" s="400">
        <v>0.25</v>
      </c>
      <c r="Z84" s="400">
        <v>0.25</v>
      </c>
      <c r="AA84" s="400">
        <v>0.25</v>
      </c>
      <c r="AB84" s="400">
        <v>0.25</v>
      </c>
      <c r="AC84" s="400">
        <v>0.25</v>
      </c>
      <c r="AD84" s="400">
        <v>0.25</v>
      </c>
      <c r="AE84" s="400">
        <v>0.25</v>
      </c>
      <c r="AF84" s="400">
        <v>0.25</v>
      </c>
      <c r="AG84" s="400">
        <v>0.25</v>
      </c>
      <c r="AH84" s="400">
        <v>0.25</v>
      </c>
      <c r="AI84" s="400">
        <v>0.25</v>
      </c>
      <c r="AJ84" s="400">
        <v>0.25</v>
      </c>
      <c r="AK84" s="400">
        <v>0.25</v>
      </c>
    </row>
    <row r="85" spans="1:37" s="93" customFormat="1">
      <c r="A85" s="95"/>
      <c r="B85" s="314"/>
      <c r="C85" s="314"/>
      <c r="D85" s="314"/>
      <c r="F85" s="116"/>
      <c r="G85" s="405"/>
      <c r="H85" s="405"/>
      <c r="I85" s="405"/>
      <c r="J85" s="405"/>
      <c r="K85" s="405"/>
      <c r="L85" s="405"/>
      <c r="M85" s="405"/>
      <c r="N85" s="405"/>
      <c r="O85" s="405"/>
      <c r="P85" s="405"/>
      <c r="Q85" s="405"/>
      <c r="R85" s="405"/>
      <c r="S85" s="405"/>
      <c r="T85" s="405"/>
      <c r="U85" s="405"/>
      <c r="V85" s="405"/>
      <c r="W85" s="405"/>
      <c r="X85" s="405"/>
      <c r="Y85" s="405"/>
      <c r="Z85" s="405"/>
      <c r="AA85" s="405"/>
      <c r="AB85" s="405"/>
      <c r="AC85" s="405"/>
      <c r="AD85" s="405"/>
      <c r="AE85" s="405"/>
      <c r="AF85" s="405"/>
      <c r="AG85" s="405"/>
      <c r="AH85" s="405"/>
      <c r="AI85" s="405"/>
      <c r="AJ85" s="405"/>
      <c r="AK85" s="405"/>
    </row>
    <row r="86" spans="1:37" s="93" customFormat="1">
      <c r="A86" s="95"/>
      <c r="B86" s="314"/>
      <c r="C86" s="314"/>
      <c r="D86" s="314"/>
      <c r="F86" s="308" t="s">
        <v>472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  <c r="L86" s="91">
        <v>0</v>
      </c>
      <c r="M86" s="91">
        <v>0</v>
      </c>
      <c r="N86" s="91">
        <v>0</v>
      </c>
      <c r="O86" s="91">
        <v>0</v>
      </c>
      <c r="P86" s="91">
        <v>0</v>
      </c>
      <c r="Q86" s="91">
        <v>0</v>
      </c>
      <c r="R86" s="91">
        <v>0</v>
      </c>
      <c r="S86" s="91">
        <v>0</v>
      </c>
      <c r="T86" s="91">
        <v>0</v>
      </c>
      <c r="U86" s="91">
        <v>0.05</v>
      </c>
      <c r="V86" s="90">
        <v>0.15</v>
      </c>
      <c r="W86" s="90">
        <v>0.25</v>
      </c>
      <c r="X86" s="90">
        <v>0.35</v>
      </c>
      <c r="Y86" s="90">
        <v>0.45</v>
      </c>
      <c r="Z86" s="90">
        <v>0.5</v>
      </c>
      <c r="AA86" s="90">
        <f t="shared" ref="AA86:AK86" si="55">Z86</f>
        <v>0.5</v>
      </c>
      <c r="AB86" s="90">
        <f t="shared" si="55"/>
        <v>0.5</v>
      </c>
      <c r="AC86" s="90">
        <f t="shared" si="55"/>
        <v>0.5</v>
      </c>
      <c r="AD86" s="90">
        <f t="shared" si="55"/>
        <v>0.5</v>
      </c>
      <c r="AE86" s="90">
        <f t="shared" si="55"/>
        <v>0.5</v>
      </c>
      <c r="AF86" s="90">
        <f t="shared" si="55"/>
        <v>0.5</v>
      </c>
      <c r="AG86" s="90">
        <f t="shared" si="55"/>
        <v>0.5</v>
      </c>
      <c r="AH86" s="90">
        <f t="shared" si="55"/>
        <v>0.5</v>
      </c>
      <c r="AI86" s="90">
        <f t="shared" si="55"/>
        <v>0.5</v>
      </c>
      <c r="AJ86" s="90">
        <f t="shared" si="55"/>
        <v>0.5</v>
      </c>
      <c r="AK86" s="90">
        <f t="shared" si="55"/>
        <v>0.5</v>
      </c>
    </row>
    <row r="87" spans="1:37" s="93" customFormat="1">
      <c r="A87" s="95"/>
      <c r="B87" s="314"/>
      <c r="C87" s="314"/>
      <c r="D87" s="314"/>
      <c r="F87" s="338" t="s">
        <v>474</v>
      </c>
      <c r="G87" s="403">
        <f>G86*(G72+G83)</f>
        <v>0</v>
      </c>
      <c r="H87" s="403">
        <f t="shared" ref="H87:AK87" si="56">H86*(H72+H83)</f>
        <v>0</v>
      </c>
      <c r="I87" s="403">
        <f t="shared" si="56"/>
        <v>0</v>
      </c>
      <c r="J87" s="403">
        <f t="shared" si="56"/>
        <v>0</v>
      </c>
      <c r="K87" s="403">
        <f t="shared" si="56"/>
        <v>0</v>
      </c>
      <c r="L87" s="403">
        <f t="shared" si="56"/>
        <v>0</v>
      </c>
      <c r="M87" s="403">
        <f t="shared" si="56"/>
        <v>0</v>
      </c>
      <c r="N87" s="403">
        <f t="shared" si="56"/>
        <v>0</v>
      </c>
      <c r="O87" s="403">
        <f t="shared" si="56"/>
        <v>0</v>
      </c>
      <c r="P87" s="403">
        <f t="shared" si="56"/>
        <v>0</v>
      </c>
      <c r="Q87" s="403">
        <f t="shared" si="56"/>
        <v>0</v>
      </c>
      <c r="R87" s="403">
        <f t="shared" si="56"/>
        <v>0</v>
      </c>
      <c r="S87" s="403">
        <f t="shared" si="56"/>
        <v>0</v>
      </c>
      <c r="T87" s="403">
        <f t="shared" si="56"/>
        <v>0</v>
      </c>
      <c r="U87" s="403">
        <f t="shared" si="56"/>
        <v>0.2032689705312444</v>
      </c>
      <c r="V87" s="403">
        <f t="shared" si="56"/>
        <v>0.62267196622163568</v>
      </c>
      <c r="W87" s="403">
        <f t="shared" si="56"/>
        <v>1.0596273915487611</v>
      </c>
      <c r="X87" s="403">
        <f t="shared" si="56"/>
        <v>1.5146213847130754</v>
      </c>
      <c r="Y87" s="403">
        <f t="shared" si="56"/>
        <v>1.9881483753340268</v>
      </c>
      <c r="Z87" s="403">
        <f t="shared" si="56"/>
        <v>2.255191818109803</v>
      </c>
      <c r="AA87" s="403">
        <f t="shared" si="56"/>
        <v>2.3021692311010327</v>
      </c>
      <c r="AB87" s="403">
        <f t="shared" si="56"/>
        <v>2.3499960698938853</v>
      </c>
      <c r="AC87" s="403">
        <f t="shared" si="56"/>
        <v>2.3986822874032727</v>
      </c>
      <c r="AD87" s="403">
        <f t="shared" si="56"/>
        <v>2.4482376924698821</v>
      </c>
      <c r="AE87" s="403">
        <f t="shared" si="56"/>
        <v>2.4986719325459643</v>
      </c>
      <c r="AF87" s="403">
        <f t="shared" si="56"/>
        <v>2.549994475468929</v>
      </c>
      <c r="AG87" s="403">
        <f t="shared" si="56"/>
        <v>2.6022145902831788</v>
      </c>
      <c r="AH87" s="403">
        <f t="shared" si="56"/>
        <v>2.6553413270690074</v>
      </c>
      <c r="AI87" s="403">
        <f t="shared" si="56"/>
        <v>2.7093834957357843</v>
      </c>
      <c r="AJ87" s="403">
        <f t="shared" si="56"/>
        <v>2.7643496437349202</v>
      </c>
      <c r="AK87" s="403">
        <f t="shared" si="56"/>
        <v>2.8202480326463713</v>
      </c>
    </row>
    <row r="88" spans="1:37" s="93" customFormat="1">
      <c r="A88" s="95"/>
      <c r="B88" s="314"/>
      <c r="C88" s="314"/>
      <c r="D88" s="31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</row>
    <row r="89" spans="1:37" s="93" customFormat="1">
      <c r="A89" s="95"/>
      <c r="B89" s="314"/>
      <c r="C89" s="314"/>
      <c r="D89" s="314"/>
      <c r="F89" s="124" t="s">
        <v>475</v>
      </c>
      <c r="G89" s="323">
        <v>0.4</v>
      </c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</row>
    <row r="90" spans="1:37" s="93" customFormat="1">
      <c r="A90" s="95"/>
      <c r="B90" s="314"/>
      <c r="C90" s="314"/>
      <c r="D90" s="314"/>
      <c r="F90" s="321" t="s">
        <v>476</v>
      </c>
      <c r="G90" s="333">
        <f>G87</f>
        <v>0</v>
      </c>
      <c r="H90" s="333">
        <f t="shared" ref="H90:Q90" si="57">H87</f>
        <v>0</v>
      </c>
      <c r="I90" s="333">
        <f t="shared" si="57"/>
        <v>0</v>
      </c>
      <c r="J90" s="333">
        <f t="shared" si="57"/>
        <v>0</v>
      </c>
      <c r="K90" s="333">
        <f t="shared" si="57"/>
        <v>0</v>
      </c>
      <c r="L90" s="333">
        <f t="shared" si="57"/>
        <v>0</v>
      </c>
      <c r="M90" s="333">
        <f t="shared" si="57"/>
        <v>0</v>
      </c>
      <c r="N90" s="333">
        <f t="shared" si="57"/>
        <v>0</v>
      </c>
      <c r="O90" s="333">
        <f t="shared" si="57"/>
        <v>0</v>
      </c>
      <c r="P90" s="333">
        <f t="shared" si="57"/>
        <v>0</v>
      </c>
      <c r="Q90" s="333">
        <f t="shared" si="57"/>
        <v>0</v>
      </c>
      <c r="R90" s="333">
        <f t="shared" ref="R90:AK90" si="58">R87</f>
        <v>0</v>
      </c>
      <c r="S90" s="333">
        <f t="shared" si="58"/>
        <v>0</v>
      </c>
      <c r="T90" s="333">
        <f t="shared" si="58"/>
        <v>0</v>
      </c>
      <c r="U90" s="333">
        <f t="shared" si="58"/>
        <v>0.2032689705312444</v>
      </c>
      <c r="V90" s="333">
        <f t="shared" si="58"/>
        <v>0.62267196622163568</v>
      </c>
      <c r="W90" s="333">
        <f t="shared" si="58"/>
        <v>1.0596273915487611</v>
      </c>
      <c r="X90" s="333">
        <f t="shared" si="58"/>
        <v>1.5146213847130754</v>
      </c>
      <c r="Y90" s="333">
        <f t="shared" si="58"/>
        <v>1.9881483753340268</v>
      </c>
      <c r="Z90" s="333">
        <f t="shared" si="58"/>
        <v>2.255191818109803</v>
      </c>
      <c r="AA90" s="333">
        <f t="shared" si="58"/>
        <v>2.3021692311010327</v>
      </c>
      <c r="AB90" s="333">
        <f t="shared" si="58"/>
        <v>2.3499960698938853</v>
      </c>
      <c r="AC90" s="333">
        <f t="shared" si="58"/>
        <v>2.3986822874032727</v>
      </c>
      <c r="AD90" s="333">
        <f t="shared" si="58"/>
        <v>2.4482376924698821</v>
      </c>
      <c r="AE90" s="333">
        <f t="shared" si="58"/>
        <v>2.4986719325459643</v>
      </c>
      <c r="AF90" s="333">
        <f t="shared" si="58"/>
        <v>2.549994475468929</v>
      </c>
      <c r="AG90" s="333">
        <f t="shared" si="58"/>
        <v>2.6022145902831788</v>
      </c>
      <c r="AH90" s="333">
        <f t="shared" si="58"/>
        <v>2.6553413270690074</v>
      </c>
      <c r="AI90" s="333">
        <f t="shared" si="58"/>
        <v>2.7093834957357843</v>
      </c>
      <c r="AJ90" s="333">
        <f t="shared" si="58"/>
        <v>2.7643496437349202</v>
      </c>
      <c r="AK90" s="333">
        <f t="shared" si="58"/>
        <v>2.8202480326463713</v>
      </c>
    </row>
    <row r="91" spans="1:37" s="93" customFormat="1" ht="12">
      <c r="A91" s="95"/>
      <c r="B91" s="314"/>
      <c r="C91" s="314"/>
      <c r="D91" s="314"/>
      <c r="F91" s="339" t="s">
        <v>477</v>
      </c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</row>
    <row r="92" spans="1:37" s="93" customFormat="1">
      <c r="A92" s="95"/>
      <c r="B92" s="314"/>
      <c r="C92" s="314"/>
      <c r="D92" s="314"/>
      <c r="F92" s="95" t="s">
        <v>19</v>
      </c>
      <c r="G92" s="95"/>
      <c r="H92" s="95"/>
      <c r="I92" s="95"/>
      <c r="J92" s="95"/>
      <c r="K92" s="95"/>
      <c r="L92" s="95"/>
      <c r="M92" s="95"/>
      <c r="N92" s="95"/>
      <c r="O92" s="95"/>
      <c r="P92" s="310"/>
      <c r="Q92" s="310">
        <v>170</v>
      </c>
      <c r="R92" s="310">
        <f t="shared" ref="R92:AK92" si="59">Q92*(1+R93)</f>
        <v>164.9</v>
      </c>
      <c r="S92" s="310">
        <f t="shared" si="59"/>
        <v>159.953</v>
      </c>
      <c r="T92" s="310">
        <f t="shared" si="59"/>
        <v>155.15441000000001</v>
      </c>
      <c r="U92" s="310">
        <f t="shared" si="59"/>
        <v>150.49977770000001</v>
      </c>
      <c r="V92" s="310">
        <f t="shared" si="59"/>
        <v>145.98478436900001</v>
      </c>
      <c r="W92" s="310">
        <f t="shared" si="59"/>
        <v>141.60524083793001</v>
      </c>
      <c r="X92" s="310">
        <f t="shared" si="59"/>
        <v>137.35708361279211</v>
      </c>
      <c r="Y92" s="310">
        <f t="shared" si="59"/>
        <v>133.23637110440833</v>
      </c>
      <c r="Z92" s="310">
        <f t="shared" si="59"/>
        <v>119.91273399396751</v>
      </c>
      <c r="AA92" s="310">
        <f t="shared" si="59"/>
        <v>107.92146059457076</v>
      </c>
      <c r="AB92" s="310">
        <f t="shared" si="59"/>
        <v>97.129314535113693</v>
      </c>
      <c r="AC92" s="310">
        <f t="shared" si="59"/>
        <v>87.416383081602319</v>
      </c>
      <c r="AD92" s="310">
        <f t="shared" si="59"/>
        <v>78.674744773442086</v>
      </c>
      <c r="AE92" s="310">
        <f t="shared" si="59"/>
        <v>70.807270296097883</v>
      </c>
      <c r="AF92" s="310">
        <f t="shared" si="59"/>
        <v>63.726543266488093</v>
      </c>
      <c r="AG92" s="310">
        <f t="shared" si="59"/>
        <v>57.353888939839287</v>
      </c>
      <c r="AH92" s="310">
        <f t="shared" si="59"/>
        <v>51.618500045855356</v>
      </c>
      <c r="AI92" s="310">
        <f t="shared" si="59"/>
        <v>46.456650041269825</v>
      </c>
      <c r="AJ92" s="310">
        <f t="shared" si="59"/>
        <v>41.810985037142842</v>
      </c>
      <c r="AK92" s="310">
        <f t="shared" si="59"/>
        <v>37.629886533428561</v>
      </c>
    </row>
    <row r="93" spans="1:37" s="93" customFormat="1">
      <c r="A93" s="95"/>
      <c r="B93" s="314"/>
      <c r="C93" s="314"/>
      <c r="D93" s="314"/>
      <c r="F93" s="102" t="s">
        <v>434</v>
      </c>
      <c r="G93" s="95"/>
      <c r="H93" s="95"/>
      <c r="I93" s="95"/>
      <c r="J93" s="95"/>
      <c r="K93" s="95"/>
      <c r="L93" s="95"/>
      <c r="M93" s="95"/>
      <c r="N93" s="95"/>
      <c r="O93" s="103"/>
      <c r="P93" s="103"/>
      <c r="Q93" s="103">
        <v>-0.03</v>
      </c>
      <c r="R93" s="103">
        <v>-0.03</v>
      </c>
      <c r="S93" s="103">
        <v>-0.03</v>
      </c>
      <c r="T93" s="103">
        <v>-0.03</v>
      </c>
      <c r="U93" s="103">
        <v>-0.03</v>
      </c>
      <c r="V93" s="103">
        <v>-0.03</v>
      </c>
      <c r="W93" s="103">
        <v>-0.03</v>
      </c>
      <c r="X93" s="103">
        <v>-0.03</v>
      </c>
      <c r="Y93" s="103">
        <v>-0.03</v>
      </c>
      <c r="Z93" s="103">
        <v>-0.1</v>
      </c>
      <c r="AA93" s="103">
        <v>-0.1</v>
      </c>
      <c r="AB93" s="103">
        <v>-0.1</v>
      </c>
      <c r="AC93" s="103">
        <v>-0.1</v>
      </c>
      <c r="AD93" s="103">
        <v>-0.1</v>
      </c>
      <c r="AE93" s="103">
        <v>-0.1</v>
      </c>
      <c r="AF93" s="103">
        <v>-0.1</v>
      </c>
      <c r="AG93" s="103">
        <v>-0.1</v>
      </c>
      <c r="AH93" s="103">
        <v>-0.1</v>
      </c>
      <c r="AI93" s="103">
        <v>-0.1</v>
      </c>
      <c r="AJ93" s="103">
        <v>-0.1</v>
      </c>
      <c r="AK93" s="103">
        <v>-0.1</v>
      </c>
    </row>
    <row r="94" spans="1:37" s="93" customFormat="1">
      <c r="A94" s="95"/>
      <c r="B94" s="314"/>
      <c r="C94" s="314"/>
      <c r="D94" s="314"/>
      <c r="F94" s="100" t="s">
        <v>478</v>
      </c>
      <c r="G94" s="95"/>
      <c r="H94" s="95"/>
      <c r="I94" s="95"/>
      <c r="J94" s="95"/>
      <c r="K94" s="95"/>
      <c r="L94" s="95"/>
      <c r="M94" s="95"/>
      <c r="N94" s="95"/>
      <c r="O94" s="104"/>
      <c r="P94" s="310"/>
      <c r="Q94" s="310">
        <v>2</v>
      </c>
      <c r="R94" s="310">
        <v>2</v>
      </c>
      <c r="S94" s="310">
        <v>2</v>
      </c>
      <c r="T94" s="310">
        <v>2</v>
      </c>
      <c r="U94" s="310">
        <v>2</v>
      </c>
      <c r="V94" s="310">
        <v>2</v>
      </c>
      <c r="W94" s="310">
        <v>2</v>
      </c>
      <c r="X94" s="310">
        <v>2</v>
      </c>
      <c r="Y94" s="310">
        <v>2</v>
      </c>
      <c r="Z94" s="310">
        <v>2</v>
      </c>
      <c r="AA94" s="310">
        <v>2</v>
      </c>
      <c r="AB94" s="310">
        <v>2</v>
      </c>
      <c r="AC94" s="310">
        <v>2</v>
      </c>
      <c r="AD94" s="310">
        <v>2</v>
      </c>
      <c r="AE94" s="310">
        <v>2</v>
      </c>
      <c r="AF94" s="310">
        <v>2</v>
      </c>
      <c r="AG94" s="310">
        <v>2</v>
      </c>
      <c r="AH94" s="310">
        <v>2</v>
      </c>
      <c r="AI94" s="310">
        <v>2</v>
      </c>
      <c r="AJ94" s="310">
        <v>2</v>
      </c>
      <c r="AK94" s="310">
        <v>2</v>
      </c>
    </row>
    <row r="95" spans="1:37" s="93" customFormat="1">
      <c r="A95" s="95"/>
      <c r="B95" s="314"/>
      <c r="C95" s="314"/>
      <c r="D95" s="314"/>
      <c r="F95" s="100" t="s">
        <v>479</v>
      </c>
      <c r="G95" s="95"/>
      <c r="H95" s="95"/>
      <c r="I95" s="95"/>
      <c r="J95" s="95"/>
      <c r="K95" s="95"/>
      <c r="L95" s="95"/>
      <c r="M95" s="95"/>
      <c r="N95" s="95"/>
      <c r="O95" s="101"/>
      <c r="P95" s="101"/>
      <c r="Q95" s="101">
        <f>13*4*7</f>
        <v>364</v>
      </c>
      <c r="R95" s="101">
        <f t="shared" ref="R95:AK95" si="60">13*4*7</f>
        <v>364</v>
      </c>
      <c r="S95" s="101">
        <f t="shared" si="60"/>
        <v>364</v>
      </c>
      <c r="T95" s="101">
        <f t="shared" si="60"/>
        <v>364</v>
      </c>
      <c r="U95" s="101">
        <f t="shared" si="60"/>
        <v>364</v>
      </c>
      <c r="V95" s="101">
        <f t="shared" si="60"/>
        <v>364</v>
      </c>
      <c r="W95" s="101">
        <f t="shared" si="60"/>
        <v>364</v>
      </c>
      <c r="X95" s="101">
        <f t="shared" si="60"/>
        <v>364</v>
      </c>
      <c r="Y95" s="101">
        <f t="shared" si="60"/>
        <v>364</v>
      </c>
      <c r="Z95" s="101">
        <f t="shared" si="60"/>
        <v>364</v>
      </c>
      <c r="AA95" s="101">
        <f t="shared" si="60"/>
        <v>364</v>
      </c>
      <c r="AB95" s="101">
        <f t="shared" si="60"/>
        <v>364</v>
      </c>
      <c r="AC95" s="101">
        <f t="shared" si="60"/>
        <v>364</v>
      </c>
      <c r="AD95" s="101">
        <f t="shared" si="60"/>
        <v>364</v>
      </c>
      <c r="AE95" s="101">
        <f t="shared" si="60"/>
        <v>364</v>
      </c>
      <c r="AF95" s="101">
        <f t="shared" si="60"/>
        <v>364</v>
      </c>
      <c r="AG95" s="101">
        <f t="shared" si="60"/>
        <v>364</v>
      </c>
      <c r="AH95" s="101">
        <f t="shared" si="60"/>
        <v>364</v>
      </c>
      <c r="AI95" s="101">
        <f t="shared" si="60"/>
        <v>364</v>
      </c>
      <c r="AJ95" s="101">
        <f t="shared" si="60"/>
        <v>364</v>
      </c>
      <c r="AK95" s="101">
        <f t="shared" si="60"/>
        <v>364</v>
      </c>
    </row>
    <row r="96" spans="1:37" s="93" customFormat="1">
      <c r="A96" s="95"/>
      <c r="B96" s="314"/>
      <c r="C96" s="314"/>
      <c r="D96" s="314"/>
      <c r="F96" s="100" t="s">
        <v>480</v>
      </c>
      <c r="G96" s="95"/>
      <c r="H96" s="95"/>
      <c r="I96" s="95"/>
      <c r="J96" s="95"/>
      <c r="K96" s="95"/>
      <c r="L96" s="95"/>
      <c r="M96" s="95"/>
      <c r="N96" s="95"/>
      <c r="O96" s="101"/>
      <c r="P96" s="101"/>
      <c r="Q96" s="101">
        <f>Q90*Q94*Q95</f>
        <v>0</v>
      </c>
      <c r="R96" s="101">
        <f t="shared" ref="R96:AK96" si="61">R90*R94*R95</f>
        <v>0</v>
      </c>
      <c r="S96" s="101">
        <f t="shared" si="61"/>
        <v>0</v>
      </c>
      <c r="T96" s="101">
        <f t="shared" si="61"/>
        <v>0</v>
      </c>
      <c r="U96" s="101">
        <f t="shared" si="61"/>
        <v>147.97981054674594</v>
      </c>
      <c r="V96" s="101">
        <f t="shared" si="61"/>
        <v>453.30519140935075</v>
      </c>
      <c r="W96" s="101">
        <f t="shared" si="61"/>
        <v>771.4087410474981</v>
      </c>
      <c r="X96" s="101">
        <f t="shared" si="61"/>
        <v>1102.6443680711188</v>
      </c>
      <c r="Y96" s="101">
        <f t="shared" si="61"/>
        <v>1447.3720172431715</v>
      </c>
      <c r="Z96" s="101">
        <f t="shared" si="61"/>
        <v>1641.7796435839366</v>
      </c>
      <c r="AA96" s="101">
        <f t="shared" si="61"/>
        <v>1675.9792002415518</v>
      </c>
      <c r="AB96" s="101">
        <f t="shared" si="61"/>
        <v>1710.7971388827484</v>
      </c>
      <c r="AC96" s="101">
        <f t="shared" si="61"/>
        <v>1746.2407052295825</v>
      </c>
      <c r="AD96" s="101">
        <f t="shared" si="61"/>
        <v>1782.3170401180741</v>
      </c>
      <c r="AE96" s="101">
        <f t="shared" si="61"/>
        <v>1819.0331668934621</v>
      </c>
      <c r="AF96" s="101">
        <f t="shared" si="61"/>
        <v>1856.3959781413803</v>
      </c>
      <c r="AG96" s="101">
        <f t="shared" si="61"/>
        <v>1894.4122217261543</v>
      </c>
      <c r="AH96" s="101">
        <f t="shared" si="61"/>
        <v>1933.0884861062373</v>
      </c>
      <c r="AI96" s="101">
        <f t="shared" si="61"/>
        <v>1972.4311848956509</v>
      </c>
      <c r="AJ96" s="101">
        <f t="shared" si="61"/>
        <v>2012.4465406390218</v>
      </c>
      <c r="AK96" s="101">
        <f t="shared" si="61"/>
        <v>2053.1405677665584</v>
      </c>
    </row>
    <row r="97" spans="1:44" s="93" customFormat="1">
      <c r="A97" s="95"/>
      <c r="B97" s="314"/>
      <c r="C97" s="314"/>
      <c r="D97" s="314"/>
      <c r="F97" s="334" t="s">
        <v>481</v>
      </c>
      <c r="G97" s="334"/>
      <c r="H97" s="334"/>
      <c r="I97" s="334"/>
      <c r="J97" s="334"/>
      <c r="K97" s="334"/>
      <c r="L97" s="334"/>
      <c r="M97" s="334"/>
      <c r="N97" s="334"/>
      <c r="O97" s="334"/>
      <c r="P97" s="94"/>
      <c r="Q97" s="94">
        <f>Q92*Q94*Q95*Q90*$G$45/1000</f>
        <v>0</v>
      </c>
      <c r="R97" s="94">
        <f t="shared" ref="R97:AK97" si="62">R92*R94*R95*R90*$G$45/1000</f>
        <v>0</v>
      </c>
      <c r="S97" s="94">
        <f t="shared" si="62"/>
        <v>0</v>
      </c>
      <c r="T97" s="94">
        <f t="shared" si="62"/>
        <v>0</v>
      </c>
      <c r="U97" s="94">
        <f t="shared" si="62"/>
        <v>8.908371436549352</v>
      </c>
      <c r="V97" s="94">
        <f t="shared" si="62"/>
        <v>26.470264248496939</v>
      </c>
      <c r="W97" s="94">
        <f t="shared" si="62"/>
        <v>43.694208224206143</v>
      </c>
      <c r="X97" s="94">
        <f t="shared" si="62"/>
        <v>60.582405864127601</v>
      </c>
      <c r="Y97" s="94">
        <f t="shared" si="62"/>
        <v>77.137038086218922</v>
      </c>
      <c r="Z97" s="94">
        <f t="shared" si="62"/>
        <v>78.748114271116549</v>
      </c>
      <c r="AA97" s="94">
        <f t="shared" si="62"/>
        <v>72.34964928647554</v>
      </c>
      <c r="AB97" s="94">
        <f t="shared" si="62"/>
        <v>66.467421363326025</v>
      </c>
      <c r="AC97" s="94">
        <f t="shared" si="62"/>
        <v>61.060018576414642</v>
      </c>
      <c r="AD97" s="94">
        <f t="shared" si="62"/>
        <v>56.08933529465849</v>
      </c>
      <c r="AE97" s="94">
        <f t="shared" si="62"/>
        <v>51.520309250316927</v>
      </c>
      <c r="AF97" s="94">
        <f t="shared" si="62"/>
        <v>47.320679448304467</v>
      </c>
      <c r="AG97" s="94">
        <f t="shared" si="62"/>
        <v>43.460763268462422</v>
      </c>
      <c r="AH97" s="94">
        <f t="shared" si="62"/>
        <v>39.913251243486911</v>
      </c>
      <c r="AI97" s="94">
        <f t="shared" si="62"/>
        <v>36.653018114873774</v>
      </c>
      <c r="AJ97" s="94">
        <f t="shared" si="62"/>
        <v>33.65694887948321</v>
      </c>
      <c r="AK97" s="94">
        <f t="shared" si="62"/>
        <v>30.903778640893876</v>
      </c>
    </row>
    <row r="98" spans="1:44" s="93" customFormat="1">
      <c r="A98" s="95"/>
      <c r="B98" s="314"/>
      <c r="C98" s="314"/>
      <c r="D98" s="314"/>
      <c r="F98" s="92" t="s">
        <v>434</v>
      </c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92" t="e">
        <f t="shared" ref="Q98:AK98" si="63">Q97/P97-1</f>
        <v>#DIV/0!</v>
      </c>
      <c r="R98" s="92" t="e">
        <f t="shared" si="63"/>
        <v>#DIV/0!</v>
      </c>
      <c r="S98" s="92" t="e">
        <f t="shared" si="63"/>
        <v>#DIV/0!</v>
      </c>
      <c r="T98" s="92" t="e">
        <f t="shared" si="63"/>
        <v>#DIV/0!</v>
      </c>
      <c r="U98" s="92" t="e">
        <f t="shared" si="63"/>
        <v>#DIV/0!</v>
      </c>
      <c r="V98" s="92">
        <f t="shared" si="63"/>
        <v>1.9713920705971559</v>
      </c>
      <c r="W98" s="92">
        <f t="shared" si="63"/>
        <v>0.65069029209586504</v>
      </c>
      <c r="X98" s="92">
        <f t="shared" si="63"/>
        <v>0.38650883781355638</v>
      </c>
      <c r="Y98" s="92">
        <f t="shared" si="63"/>
        <v>0.2732580851810269</v>
      </c>
      <c r="Z98" s="92">
        <f t="shared" si="63"/>
        <v>2.0885896384780445E-2</v>
      </c>
      <c r="AA98" s="92">
        <f t="shared" si="63"/>
        <v>-8.1252294659554192E-2</v>
      </c>
      <c r="AB98" s="92">
        <f t="shared" si="63"/>
        <v>-8.1302784203669765E-2</v>
      </c>
      <c r="AC98" s="92">
        <f t="shared" si="63"/>
        <v>-8.1354183387877921E-2</v>
      </c>
      <c r="AD98" s="92">
        <f t="shared" si="63"/>
        <v>-8.1406514404110508E-2</v>
      </c>
      <c r="AE98" s="92">
        <f t="shared" si="63"/>
        <v>-8.1459800162343554E-2</v>
      </c>
      <c r="AF98" s="92">
        <f t="shared" si="63"/>
        <v>-8.1514064319919144E-2</v>
      </c>
      <c r="AG98" s="92">
        <f t="shared" si="63"/>
        <v>-8.1569331312303262E-2</v>
      </c>
      <c r="AH98" s="92">
        <f t="shared" si="63"/>
        <v>-8.1625626385392613E-2</v>
      </c>
      <c r="AI98" s="92">
        <f t="shared" si="63"/>
        <v>-8.1682975629431942E-2</v>
      </c>
      <c r="AJ98" s="92">
        <f t="shared" si="63"/>
        <v>-8.1741406014659401E-2</v>
      </c>
      <c r="AK98" s="92">
        <f t="shared" si="63"/>
        <v>-8.1800945428764815E-2</v>
      </c>
    </row>
    <row r="99" spans="1:44" s="93" customFormat="1">
      <c r="A99" s="95"/>
      <c r="B99" s="314"/>
      <c r="C99" s="314"/>
      <c r="D99" s="314"/>
      <c r="F99" s="174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</row>
    <row r="100" spans="1:44" s="93" customFormat="1">
      <c r="A100" s="95"/>
      <c r="B100" s="314"/>
      <c r="C100" s="314"/>
      <c r="D100" s="314"/>
      <c r="F100" s="93" t="s">
        <v>485</v>
      </c>
      <c r="G100" s="94"/>
      <c r="H100" s="94"/>
      <c r="I100" s="94"/>
      <c r="J100" s="94"/>
      <c r="K100" s="94"/>
      <c r="L100" s="94"/>
      <c r="M100" s="94"/>
      <c r="N100" s="94"/>
      <c r="O100" s="94"/>
      <c r="Q100" s="94">
        <f>Q92*Q94*Q95</f>
        <v>123760</v>
      </c>
      <c r="AL100" s="95"/>
      <c r="AM100" s="95"/>
      <c r="AN100" s="95"/>
      <c r="AO100" s="95"/>
      <c r="AP100" s="95"/>
      <c r="AQ100" s="95"/>
      <c r="AR100" s="95"/>
    </row>
    <row r="101" spans="1:44" s="93" customFormat="1">
      <c r="A101" s="95"/>
      <c r="B101" s="314"/>
      <c r="C101" s="314"/>
      <c r="D101" s="31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326"/>
      <c r="AM101" s="326"/>
      <c r="AN101" s="326"/>
      <c r="AO101" s="326"/>
      <c r="AP101" s="326"/>
      <c r="AQ101" s="326"/>
      <c r="AR101" s="326"/>
    </row>
    <row r="102" spans="1:44" s="93" customFormat="1">
      <c r="A102" s="95"/>
      <c r="B102" s="314"/>
      <c r="C102" s="314"/>
      <c r="D102" s="314"/>
      <c r="F102" s="120" t="s">
        <v>153</v>
      </c>
      <c r="G102" s="121">
        <v>2010</v>
      </c>
      <c r="H102" s="121">
        <v>2011</v>
      </c>
      <c r="I102" s="121">
        <v>2012</v>
      </c>
      <c r="J102" s="121">
        <v>2013</v>
      </c>
      <c r="K102" s="121">
        <v>2014</v>
      </c>
      <c r="L102" s="121">
        <v>2015</v>
      </c>
      <c r="M102" s="121">
        <v>2016</v>
      </c>
      <c r="N102" s="121" t="s">
        <v>487</v>
      </c>
      <c r="O102" s="121" t="s">
        <v>498</v>
      </c>
      <c r="P102" s="121" t="s">
        <v>121</v>
      </c>
      <c r="Q102" s="121" t="s">
        <v>0</v>
      </c>
      <c r="R102" s="121" t="s">
        <v>1</v>
      </c>
      <c r="S102" s="121" t="s">
        <v>2</v>
      </c>
      <c r="T102" s="121" t="s">
        <v>99</v>
      </c>
      <c r="U102" s="121" t="s">
        <v>100</v>
      </c>
      <c r="V102" s="121" t="s">
        <v>101</v>
      </c>
      <c r="W102" s="121" t="s">
        <v>102</v>
      </c>
      <c r="X102" s="121" t="s">
        <v>103</v>
      </c>
      <c r="Y102" s="121" t="s">
        <v>104</v>
      </c>
      <c r="Z102" s="121" t="s">
        <v>105</v>
      </c>
      <c r="AA102" s="121" t="s">
        <v>106</v>
      </c>
      <c r="AB102" s="121" t="s">
        <v>107</v>
      </c>
      <c r="AC102" s="121" t="s">
        <v>108</v>
      </c>
      <c r="AD102" s="121" t="s">
        <v>109</v>
      </c>
      <c r="AE102" s="121" t="s">
        <v>110</v>
      </c>
      <c r="AF102" s="121" t="s">
        <v>111</v>
      </c>
      <c r="AG102" s="121" t="s">
        <v>112</v>
      </c>
      <c r="AH102" s="121" t="s">
        <v>113</v>
      </c>
      <c r="AI102" s="121" t="s">
        <v>114</v>
      </c>
      <c r="AJ102" s="121" t="s">
        <v>115</v>
      </c>
      <c r="AK102" s="121" t="s">
        <v>116</v>
      </c>
      <c r="AL102" s="326"/>
      <c r="AM102" s="326"/>
      <c r="AN102" s="326"/>
      <c r="AO102" s="326"/>
      <c r="AP102" s="326"/>
      <c r="AQ102" s="326"/>
      <c r="AR102" s="326"/>
    </row>
    <row r="103" spans="1:44" s="93" customFormat="1">
      <c r="A103" s="95"/>
      <c r="B103" s="314"/>
      <c r="C103" s="314"/>
      <c r="D103" s="314"/>
      <c r="F103" s="410" t="s">
        <v>431</v>
      </c>
      <c r="G103" s="411"/>
      <c r="H103" s="411"/>
      <c r="I103" s="411"/>
      <c r="J103" s="411"/>
      <c r="K103" s="411"/>
      <c r="L103" s="411"/>
      <c r="M103" s="411"/>
      <c r="N103" s="411"/>
      <c r="O103" s="411"/>
      <c r="P103" s="411"/>
      <c r="Q103" s="411"/>
      <c r="R103" s="411"/>
      <c r="S103" s="411"/>
      <c r="T103" s="411"/>
      <c r="U103" s="411"/>
      <c r="V103" s="411"/>
      <c r="W103" s="411"/>
      <c r="X103" s="411"/>
      <c r="Y103" s="411"/>
      <c r="Z103" s="411"/>
      <c r="AA103" s="411"/>
      <c r="AB103" s="411"/>
      <c r="AC103" s="411"/>
      <c r="AD103" s="411"/>
      <c r="AE103" s="411"/>
      <c r="AF103" s="411"/>
      <c r="AG103" s="411"/>
      <c r="AH103" s="411"/>
      <c r="AI103" s="411"/>
      <c r="AJ103" s="411"/>
      <c r="AK103" s="411"/>
      <c r="AL103" s="95"/>
      <c r="AM103" s="95"/>
      <c r="AN103" s="95"/>
      <c r="AO103" s="95"/>
      <c r="AP103" s="95"/>
      <c r="AQ103" s="95"/>
      <c r="AR103" s="95"/>
    </row>
    <row r="104" spans="1:44" s="93" customFormat="1">
      <c r="A104" s="95"/>
      <c r="B104" s="314"/>
      <c r="C104" s="314"/>
      <c r="D104" s="314"/>
      <c r="F104" s="116" t="s">
        <v>499</v>
      </c>
      <c r="G104" s="324">
        <f t="shared" ref="G104:O104" si="64">H104/1.03</f>
        <v>2.2992501970308803</v>
      </c>
      <c r="H104" s="324">
        <f t="shared" si="64"/>
        <v>2.3682277029418066</v>
      </c>
      <c r="I104" s="324">
        <f t="shared" si="64"/>
        <v>2.4392745340300608</v>
      </c>
      <c r="J104" s="324">
        <f t="shared" si="64"/>
        <v>2.5124527700509627</v>
      </c>
      <c r="K104" s="324">
        <f t="shared" si="64"/>
        <v>2.5878263531524914</v>
      </c>
      <c r="L104" s="324">
        <f t="shared" si="64"/>
        <v>2.6654611437470663</v>
      </c>
      <c r="M104" s="324">
        <f t="shared" si="64"/>
        <v>2.7454249780594786</v>
      </c>
      <c r="N104" s="324">
        <f t="shared" si="64"/>
        <v>2.8277877274012631</v>
      </c>
      <c r="O104" s="324">
        <f t="shared" si="64"/>
        <v>2.912621359223301</v>
      </c>
      <c r="P104" s="324">
        <v>3</v>
      </c>
      <c r="Q104" s="324">
        <f t="shared" ref="Q104:AK104" si="65">P104*1.03</f>
        <v>3.09</v>
      </c>
      <c r="R104" s="324">
        <f t="shared" si="65"/>
        <v>3.1827000000000001</v>
      </c>
      <c r="S104" s="324">
        <f t="shared" si="65"/>
        <v>3.278181</v>
      </c>
      <c r="T104" s="324">
        <f t="shared" si="65"/>
        <v>3.3765264300000002</v>
      </c>
      <c r="U104" s="324">
        <f t="shared" si="65"/>
        <v>3.4778222229000004</v>
      </c>
      <c r="V104" s="324">
        <f t="shared" si="65"/>
        <v>3.5821568895870004</v>
      </c>
      <c r="W104" s="324">
        <f t="shared" si="65"/>
        <v>3.6896215962746104</v>
      </c>
      <c r="X104" s="324">
        <f t="shared" si="65"/>
        <v>3.8003102441628487</v>
      </c>
      <c r="Y104" s="324">
        <f t="shared" si="65"/>
        <v>3.914319551487734</v>
      </c>
      <c r="Z104" s="324">
        <f t="shared" si="65"/>
        <v>4.0317491380323665</v>
      </c>
      <c r="AA104" s="324">
        <f t="shared" si="65"/>
        <v>4.1527016121733373</v>
      </c>
      <c r="AB104" s="324">
        <f t="shared" si="65"/>
        <v>4.2772826605385372</v>
      </c>
      <c r="AC104" s="324">
        <f t="shared" si="65"/>
        <v>4.4056011403546931</v>
      </c>
      <c r="AD104" s="324">
        <f t="shared" si="65"/>
        <v>4.5377691745653337</v>
      </c>
      <c r="AE104" s="324">
        <f t="shared" si="65"/>
        <v>4.6739022498022935</v>
      </c>
      <c r="AF104" s="324">
        <f t="shared" si="65"/>
        <v>4.8141193172963623</v>
      </c>
      <c r="AG104" s="324">
        <f t="shared" si="65"/>
        <v>4.9585428968152536</v>
      </c>
      <c r="AH104" s="324">
        <f t="shared" si="65"/>
        <v>5.1072991837197117</v>
      </c>
      <c r="AI104" s="324">
        <f t="shared" si="65"/>
        <v>5.2605181592313031</v>
      </c>
      <c r="AJ104" s="324">
        <f t="shared" si="65"/>
        <v>5.4183337040082424</v>
      </c>
      <c r="AK104" s="324">
        <f t="shared" si="65"/>
        <v>5.5808837151284898</v>
      </c>
      <c r="AL104" s="95"/>
      <c r="AM104" s="95"/>
      <c r="AN104" s="95"/>
      <c r="AO104" s="95"/>
      <c r="AP104" s="95"/>
      <c r="AQ104" s="95"/>
      <c r="AR104" s="95"/>
    </row>
    <row r="105" spans="1:44" s="93" customFormat="1">
      <c r="A105" s="95"/>
      <c r="B105" s="314"/>
      <c r="C105" s="314"/>
      <c r="D105" s="314"/>
      <c r="F105" s="116" t="s">
        <v>442</v>
      </c>
      <c r="G105" s="324">
        <f t="shared" ref="G105:AK105" si="66">G7*G104/100</f>
        <v>7.1120790149642019</v>
      </c>
      <c r="H105" s="324">
        <f t="shared" si="66"/>
        <v>7.378376200487498</v>
      </c>
      <c r="I105" s="324">
        <f t="shared" si="66"/>
        <v>7.6551994189644263</v>
      </c>
      <c r="J105" s="324">
        <f t="shared" si="66"/>
        <v>7.9391928457044445</v>
      </c>
      <c r="K105" s="324">
        <f t="shared" si="66"/>
        <v>8.2370773673740203</v>
      </c>
      <c r="L105" s="324">
        <f t="shared" si="66"/>
        <v>8.5464056829550703</v>
      </c>
      <c r="M105" s="324">
        <f t="shared" si="66"/>
        <v>8.8661114166667421</v>
      </c>
      <c r="N105" s="324">
        <f t="shared" si="66"/>
        <v>9.1899011876708467</v>
      </c>
      <c r="O105" s="324">
        <f t="shared" si="66"/>
        <v>9.5151699320388357</v>
      </c>
      <c r="P105" s="324">
        <f t="shared" si="66"/>
        <v>9.8471856900000017</v>
      </c>
      <c r="Q105" s="324">
        <f t="shared" si="66"/>
        <v>10.19078657616401</v>
      </c>
      <c r="R105" s="324">
        <f t="shared" si="66"/>
        <v>10.546376833980936</v>
      </c>
      <c r="S105" s="324">
        <f t="shared" si="66"/>
        <v>10.914374812292182</v>
      </c>
      <c r="T105" s="324">
        <f t="shared" si="66"/>
        <v>11.295213457514253</v>
      </c>
      <c r="U105" s="324">
        <f t="shared" si="66"/>
        <v>11.689340822996439</v>
      </c>
      <c r="V105" s="324">
        <f t="shared" si="66"/>
        <v>12.097220596151679</v>
      </c>
      <c r="W105" s="324">
        <f t="shared" si="66"/>
        <v>12.51933264398077</v>
      </c>
      <c r="X105" s="324">
        <f t="shared" si="66"/>
        <v>12.956173577631715</v>
      </c>
      <c r="Y105" s="324">
        <f t="shared" si="66"/>
        <v>13.408257336658401</v>
      </c>
      <c r="Z105" s="324">
        <f t="shared" si="66"/>
        <v>13.876115793666022</v>
      </c>
      <c r="AA105" s="324">
        <f t="shared" si="66"/>
        <v>14.360299380054558</v>
      </c>
      <c r="AB105" s="324">
        <f t="shared" si="66"/>
        <v>14.861377733596523</v>
      </c>
      <c r="AC105" s="324">
        <f t="shared" si="66"/>
        <v>15.379940368610857</v>
      </c>
      <c r="AD105" s="324">
        <f t="shared" si="66"/>
        <v>15.916597369521371</v>
      </c>
      <c r="AE105" s="324">
        <f t="shared" si="66"/>
        <v>16.471980108615764</v>
      </c>
      <c r="AF105" s="324">
        <f t="shared" si="66"/>
        <v>17.046741988849618</v>
      </c>
      <c r="AG105" s="324">
        <f t="shared" si="66"/>
        <v>17.641559212569305</v>
      </c>
      <c r="AH105" s="324">
        <f t="shared" si="66"/>
        <v>18.257131577058114</v>
      </c>
      <c r="AI105" s="324">
        <f t="shared" si="66"/>
        <v>18.89418329784171</v>
      </c>
      <c r="AJ105" s="324">
        <f t="shared" si="66"/>
        <v>19.553463860721365</v>
      </c>
      <c r="AK105" s="324">
        <f t="shared" si="66"/>
        <v>20.23574890353747</v>
      </c>
      <c r="AL105" s="95"/>
      <c r="AM105" s="95"/>
      <c r="AN105" s="95"/>
      <c r="AO105" s="95"/>
      <c r="AP105" s="95"/>
      <c r="AQ105" s="95"/>
      <c r="AR105" s="95"/>
    </row>
    <row r="106" spans="1:44" s="93" customFormat="1">
      <c r="A106" s="95"/>
      <c r="B106" s="314"/>
      <c r="C106" s="314"/>
      <c r="D106" s="31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326"/>
      <c r="AM106" s="326"/>
      <c r="AN106" s="326"/>
      <c r="AO106" s="326"/>
      <c r="AP106" s="326"/>
      <c r="AQ106" s="326"/>
      <c r="AR106" s="326"/>
    </row>
    <row r="107" spans="1:44" s="93" customFormat="1">
      <c r="A107" s="95"/>
      <c r="B107" s="314"/>
      <c r="C107" s="314"/>
      <c r="D107" s="314"/>
      <c r="F107" s="1" t="s">
        <v>500</v>
      </c>
      <c r="G107" s="123">
        <f>G108*G105</f>
        <v>1.1094843263344154</v>
      </c>
      <c r="H107" s="123">
        <f t="shared" ref="H107:AK107" si="67">H108*H105</f>
        <v>1.1510266872760497</v>
      </c>
      <c r="I107" s="123">
        <f t="shared" si="67"/>
        <v>1.1942111093584504</v>
      </c>
      <c r="J107" s="123">
        <f t="shared" si="67"/>
        <v>1.2385140839298934</v>
      </c>
      <c r="K107" s="123">
        <f t="shared" si="67"/>
        <v>1.2849840693103471</v>
      </c>
      <c r="L107" s="123">
        <f t="shared" si="67"/>
        <v>1.333239286540991</v>
      </c>
      <c r="M107" s="123">
        <f t="shared" si="67"/>
        <v>1.3831133810000118</v>
      </c>
      <c r="N107" s="123">
        <f t="shared" si="67"/>
        <v>1.433624585276652</v>
      </c>
      <c r="O107" s="123">
        <f t="shared" si="67"/>
        <v>1.4843665093980583</v>
      </c>
      <c r="P107" s="123">
        <f t="shared" si="67"/>
        <v>1.5361609676400003</v>
      </c>
      <c r="Q107" s="123">
        <f t="shared" si="67"/>
        <v>1.5897627058815855</v>
      </c>
      <c r="R107" s="123">
        <f t="shared" si="67"/>
        <v>1.6452347861010261</v>
      </c>
      <c r="S107" s="123">
        <f t="shared" si="67"/>
        <v>1.7026424707175805</v>
      </c>
      <c r="T107" s="123">
        <f t="shared" si="67"/>
        <v>1.7620532993722233</v>
      </c>
      <c r="U107" s="123">
        <f t="shared" si="67"/>
        <v>1.8235371683874444</v>
      </c>
      <c r="V107" s="123">
        <f t="shared" si="67"/>
        <v>1.8871664129996619</v>
      </c>
      <c r="W107" s="123">
        <f t="shared" si="67"/>
        <v>1.9530158924609999</v>
      </c>
      <c r="X107" s="123">
        <f t="shared" si="67"/>
        <v>2.0211630781105474</v>
      </c>
      <c r="Y107" s="123">
        <f t="shared" si="67"/>
        <v>2.0916881445187108</v>
      </c>
      <c r="Z107" s="123">
        <f t="shared" si="67"/>
        <v>2.1646740638118995</v>
      </c>
      <c r="AA107" s="123">
        <f t="shared" si="67"/>
        <v>2.2402067032885111</v>
      </c>
      <c r="AB107" s="123">
        <f t="shared" si="67"/>
        <v>2.3183749264410576</v>
      </c>
      <c r="AC107" s="123">
        <f t="shared" si="67"/>
        <v>2.3992706975032938</v>
      </c>
      <c r="AD107" s="123">
        <f t="shared" si="67"/>
        <v>2.482989189645334</v>
      </c>
      <c r="AE107" s="123">
        <f t="shared" si="67"/>
        <v>2.5696288969440593</v>
      </c>
      <c r="AF107" s="123">
        <f t="shared" si="67"/>
        <v>2.6592917502605404</v>
      </c>
      <c r="AG107" s="123">
        <f t="shared" si="67"/>
        <v>2.7520832371608117</v>
      </c>
      <c r="AH107" s="123">
        <f t="shared" si="67"/>
        <v>2.8481125260210658</v>
      </c>
      <c r="AI107" s="123">
        <f t="shared" si="67"/>
        <v>2.947492594463307</v>
      </c>
      <c r="AJ107" s="123">
        <f t="shared" si="67"/>
        <v>3.0503403622725331</v>
      </c>
      <c r="AK107" s="123">
        <f t="shared" si="67"/>
        <v>3.1567768289518452</v>
      </c>
      <c r="AL107" s="326"/>
      <c r="AM107" s="326"/>
      <c r="AN107" s="326"/>
      <c r="AO107" s="326"/>
      <c r="AP107" s="326"/>
      <c r="AQ107" s="326"/>
      <c r="AR107" s="326"/>
    </row>
    <row r="108" spans="1:44">
      <c r="A108" s="315"/>
      <c r="B108" s="314"/>
      <c r="C108" s="314"/>
      <c r="D108" s="314"/>
      <c r="F108" s="1" t="s">
        <v>501</v>
      </c>
      <c r="G108" s="317">
        <v>0.156</v>
      </c>
      <c r="H108" s="317">
        <v>0.156</v>
      </c>
      <c r="I108" s="317">
        <v>0.156</v>
      </c>
      <c r="J108" s="317">
        <v>0.156</v>
      </c>
      <c r="K108" s="317">
        <v>0.156</v>
      </c>
      <c r="L108" s="317">
        <v>0.156</v>
      </c>
      <c r="M108" s="317">
        <v>0.156</v>
      </c>
      <c r="N108" s="317">
        <v>0.156</v>
      </c>
      <c r="O108" s="317">
        <v>0.156</v>
      </c>
      <c r="P108" s="317">
        <v>0.156</v>
      </c>
      <c r="Q108" s="317">
        <v>0.156</v>
      </c>
      <c r="R108" s="317">
        <v>0.156</v>
      </c>
      <c r="S108" s="317">
        <v>0.156</v>
      </c>
      <c r="T108" s="317">
        <v>0.156</v>
      </c>
      <c r="U108" s="317">
        <v>0.156</v>
      </c>
      <c r="V108" s="317">
        <v>0.156</v>
      </c>
      <c r="W108" s="317">
        <v>0.156</v>
      </c>
      <c r="X108" s="317">
        <v>0.156</v>
      </c>
      <c r="Y108" s="317">
        <v>0.156</v>
      </c>
      <c r="Z108" s="317">
        <v>0.156</v>
      </c>
      <c r="AA108" s="317">
        <v>0.156</v>
      </c>
      <c r="AB108" s="317">
        <v>0.156</v>
      </c>
      <c r="AC108" s="317">
        <v>0.156</v>
      </c>
      <c r="AD108" s="317">
        <v>0.156</v>
      </c>
      <c r="AE108" s="317">
        <v>0.156</v>
      </c>
      <c r="AF108" s="317">
        <v>0.156</v>
      </c>
      <c r="AG108" s="317">
        <v>0.156</v>
      </c>
      <c r="AH108" s="317">
        <v>0.156</v>
      </c>
      <c r="AI108" s="317">
        <v>0.156</v>
      </c>
      <c r="AJ108" s="317">
        <v>0.156</v>
      </c>
      <c r="AK108" s="317">
        <v>0.156</v>
      </c>
    </row>
    <row r="109" spans="1:44" s="326" customFormat="1">
      <c r="A109" s="316"/>
      <c r="B109" s="325"/>
      <c r="C109" s="322"/>
      <c r="D109" s="32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95"/>
      <c r="AM109" s="95"/>
      <c r="AN109" s="95"/>
      <c r="AO109" s="95"/>
      <c r="AP109" s="95"/>
      <c r="AQ109" s="95"/>
      <c r="AR109" s="95"/>
    </row>
    <row r="110" spans="1:44" s="326" customFormat="1">
      <c r="A110" s="315"/>
      <c r="B110" s="322"/>
      <c r="C110" s="322"/>
      <c r="D110" s="322"/>
      <c r="F110" s="406" t="s">
        <v>502</v>
      </c>
      <c r="G110" s="123">
        <f>G107*G111</f>
        <v>0.88758746106753239</v>
      </c>
      <c r="H110" s="123">
        <f t="shared" ref="H110:AK110" si="68">H107*H111</f>
        <v>0.92082134982083985</v>
      </c>
      <c r="I110" s="123">
        <f t="shared" si="68"/>
        <v>0.95536888748676041</v>
      </c>
      <c r="J110" s="123">
        <f t="shared" si="68"/>
        <v>0.99081126714391476</v>
      </c>
      <c r="K110" s="123">
        <f t="shared" si="68"/>
        <v>1.0279872554482778</v>
      </c>
      <c r="L110" s="123">
        <f t="shared" si="68"/>
        <v>1.0665914292327929</v>
      </c>
      <c r="M110" s="123">
        <f t="shared" si="68"/>
        <v>1.1064907048000094</v>
      </c>
      <c r="N110" s="123">
        <f t="shared" si="68"/>
        <v>1.1468996682213217</v>
      </c>
      <c r="O110" s="123">
        <f t="shared" si="68"/>
        <v>1.1874932075184466</v>
      </c>
      <c r="P110" s="123">
        <f t="shared" si="68"/>
        <v>1.2289287741120003</v>
      </c>
      <c r="Q110" s="123">
        <f t="shared" si="68"/>
        <v>1.2718101647052684</v>
      </c>
      <c r="R110" s="123">
        <f t="shared" si="68"/>
        <v>1.3161878288808211</v>
      </c>
      <c r="S110" s="123">
        <f t="shared" si="68"/>
        <v>1.3621139765740644</v>
      </c>
      <c r="T110" s="123">
        <f t="shared" si="68"/>
        <v>1.4096426394977788</v>
      </c>
      <c r="U110" s="123">
        <f t="shared" si="68"/>
        <v>1.4588297347099557</v>
      </c>
      <c r="V110" s="123">
        <f t="shared" si="68"/>
        <v>1.5097331303997297</v>
      </c>
      <c r="W110" s="123">
        <f t="shared" si="68"/>
        <v>1.5624127139688</v>
      </c>
      <c r="X110" s="123">
        <f t="shared" si="68"/>
        <v>1.616930462488438</v>
      </c>
      <c r="Y110" s="123">
        <f t="shared" si="68"/>
        <v>1.6733505156149686</v>
      </c>
      <c r="Z110" s="123">
        <f t="shared" si="68"/>
        <v>1.7317392510495198</v>
      </c>
      <c r="AA110" s="123">
        <f t="shared" si="68"/>
        <v>1.7921653626308089</v>
      </c>
      <c r="AB110" s="123">
        <f t="shared" si="68"/>
        <v>1.8546999411528462</v>
      </c>
      <c r="AC110" s="123">
        <f t="shared" si="68"/>
        <v>1.9194165580026352</v>
      </c>
      <c r="AD110" s="123">
        <f t="shared" si="68"/>
        <v>1.9863913517162672</v>
      </c>
      <c r="AE110" s="123">
        <f t="shared" si="68"/>
        <v>2.0557031175552476</v>
      </c>
      <c r="AF110" s="123">
        <f t="shared" si="68"/>
        <v>2.1274334002084325</v>
      </c>
      <c r="AG110" s="123">
        <f t="shared" si="68"/>
        <v>2.2016665897286494</v>
      </c>
      <c r="AH110" s="123">
        <f t="shared" si="68"/>
        <v>2.2784900208168528</v>
      </c>
      <c r="AI110" s="123">
        <f t="shared" si="68"/>
        <v>2.3579940755706459</v>
      </c>
      <c r="AJ110" s="123">
        <f t="shared" si="68"/>
        <v>2.4402722898180267</v>
      </c>
      <c r="AK110" s="123">
        <f t="shared" si="68"/>
        <v>2.5254214631614764</v>
      </c>
      <c r="AL110" s="95"/>
      <c r="AM110" s="95"/>
      <c r="AN110" s="95"/>
      <c r="AO110" s="95"/>
      <c r="AP110" s="95"/>
      <c r="AQ110" s="95"/>
      <c r="AR110" s="95"/>
    </row>
    <row r="111" spans="1:44">
      <c r="A111" s="315"/>
      <c r="B111" s="322"/>
      <c r="C111" s="322"/>
      <c r="D111" s="322"/>
      <c r="F111" s="1" t="s">
        <v>466</v>
      </c>
      <c r="G111" s="317">
        <v>0.8</v>
      </c>
      <c r="H111" s="317">
        <v>0.8</v>
      </c>
      <c r="I111" s="317">
        <v>0.8</v>
      </c>
      <c r="J111" s="317">
        <v>0.8</v>
      </c>
      <c r="K111" s="317">
        <v>0.8</v>
      </c>
      <c r="L111" s="317">
        <v>0.8</v>
      </c>
      <c r="M111" s="317">
        <v>0.8</v>
      </c>
      <c r="N111" s="317">
        <v>0.8</v>
      </c>
      <c r="O111" s="317">
        <v>0.8</v>
      </c>
      <c r="P111" s="317">
        <v>0.8</v>
      </c>
      <c r="Q111" s="317">
        <v>0.8</v>
      </c>
      <c r="R111" s="317">
        <v>0.8</v>
      </c>
      <c r="S111" s="317">
        <v>0.8</v>
      </c>
      <c r="T111" s="317">
        <v>0.8</v>
      </c>
      <c r="U111" s="317">
        <v>0.8</v>
      </c>
      <c r="V111" s="317">
        <v>0.8</v>
      </c>
      <c r="W111" s="317">
        <v>0.8</v>
      </c>
      <c r="X111" s="317">
        <v>0.8</v>
      </c>
      <c r="Y111" s="317">
        <v>0.8</v>
      </c>
      <c r="Z111" s="317">
        <v>0.8</v>
      </c>
      <c r="AA111" s="317">
        <v>0.8</v>
      </c>
      <c r="AB111" s="317">
        <v>0.8</v>
      </c>
      <c r="AC111" s="317">
        <v>0.8</v>
      </c>
      <c r="AD111" s="317">
        <v>0.8</v>
      </c>
      <c r="AE111" s="317">
        <v>0.8</v>
      </c>
      <c r="AF111" s="317">
        <v>0.8</v>
      </c>
      <c r="AG111" s="317">
        <v>0.8</v>
      </c>
      <c r="AH111" s="317">
        <v>0.8</v>
      </c>
      <c r="AI111" s="317">
        <v>0.8</v>
      </c>
      <c r="AJ111" s="317">
        <v>0.8</v>
      </c>
      <c r="AK111" s="317">
        <v>0.8</v>
      </c>
    </row>
    <row r="113" spans="1:44">
      <c r="A113" s="116"/>
      <c r="B113" s="322"/>
      <c r="C113" s="322"/>
      <c r="D113" s="327"/>
      <c r="F113" s="1" t="s">
        <v>503</v>
      </c>
      <c r="G113" s="123">
        <f t="shared" ref="G113:AK113" si="69">G114*G110</f>
        <v>0.48817310358714283</v>
      </c>
      <c r="H113" s="123">
        <f t="shared" si="69"/>
        <v>0.50645174240146196</v>
      </c>
      <c r="I113" s="123">
        <f t="shared" si="69"/>
        <v>0.52545288811771829</v>
      </c>
      <c r="J113" s="123">
        <f t="shared" si="69"/>
        <v>0.54494619692915314</v>
      </c>
      <c r="K113" s="123">
        <f t="shared" si="69"/>
        <v>0.56539299049655289</v>
      </c>
      <c r="L113" s="123">
        <f t="shared" si="69"/>
        <v>0.58662528607803621</v>
      </c>
      <c r="M113" s="123">
        <f t="shared" si="69"/>
        <v>0.60856988764000519</v>
      </c>
      <c r="N113" s="123">
        <f t="shared" si="69"/>
        <v>0.63079481752172695</v>
      </c>
      <c r="O113" s="123">
        <f t="shared" si="69"/>
        <v>0.65312126413514571</v>
      </c>
      <c r="P113" s="123">
        <f t="shared" si="69"/>
        <v>0.67591082576160022</v>
      </c>
      <c r="Q113" s="123">
        <f t="shared" si="69"/>
        <v>0.69949559058789768</v>
      </c>
      <c r="R113" s="123">
        <f t="shared" si="69"/>
        <v>0.72390330588445162</v>
      </c>
      <c r="S113" s="123">
        <f t="shared" si="69"/>
        <v>0.74916268711573553</v>
      </c>
      <c r="T113" s="123">
        <f t="shared" si="69"/>
        <v>0.77530345172377835</v>
      </c>
      <c r="U113" s="123">
        <f t="shared" si="69"/>
        <v>0.80235635409047568</v>
      </c>
      <c r="V113" s="123">
        <f t="shared" si="69"/>
        <v>0.83035322171985138</v>
      </c>
      <c r="W113" s="123">
        <f t="shared" si="69"/>
        <v>0.85932699268284007</v>
      </c>
      <c r="X113" s="123">
        <f t="shared" si="69"/>
        <v>0.88931175436864096</v>
      </c>
      <c r="Y113" s="123">
        <f t="shared" si="69"/>
        <v>0.92034278358823285</v>
      </c>
      <c r="Z113" s="123">
        <f t="shared" si="69"/>
        <v>0.95245658807723599</v>
      </c>
      <c r="AA113" s="123">
        <f t="shared" si="69"/>
        <v>0.98569094944694502</v>
      </c>
      <c r="AB113" s="123">
        <f t="shared" si="69"/>
        <v>1.0200849676340655</v>
      </c>
      <c r="AC113" s="123">
        <f t="shared" si="69"/>
        <v>1.0556791069014495</v>
      </c>
      <c r="AD113" s="123">
        <f t="shared" si="69"/>
        <v>1.0925152434439471</v>
      </c>
      <c r="AE113" s="123">
        <f t="shared" si="69"/>
        <v>1.1306367146553862</v>
      </c>
      <c r="AF113" s="123">
        <f t="shared" si="69"/>
        <v>1.1700883701146381</v>
      </c>
      <c r="AG113" s="123">
        <f t="shared" si="69"/>
        <v>1.2109166243507572</v>
      </c>
      <c r="AH113" s="123">
        <f t="shared" si="69"/>
        <v>1.2531695114492691</v>
      </c>
      <c r="AI113" s="123">
        <f t="shared" si="69"/>
        <v>1.2968967415638553</v>
      </c>
      <c r="AJ113" s="123">
        <f t="shared" si="69"/>
        <v>1.3421497593999148</v>
      </c>
      <c r="AK113" s="123">
        <f t="shared" si="69"/>
        <v>1.3889818047388121</v>
      </c>
      <c r="AL113" s="326"/>
      <c r="AM113" s="326"/>
      <c r="AN113" s="326"/>
      <c r="AO113" s="326"/>
      <c r="AP113" s="326"/>
      <c r="AQ113" s="326"/>
      <c r="AR113" s="326"/>
    </row>
    <row r="114" spans="1:44" s="326" customFormat="1">
      <c r="A114" s="117"/>
      <c r="B114" s="322"/>
      <c r="C114" s="322"/>
      <c r="D114" s="327"/>
      <c r="F114" s="1" t="s">
        <v>494</v>
      </c>
      <c r="G114" s="317">
        <v>0.55000000000000004</v>
      </c>
      <c r="H114" s="317">
        <v>0.55000000000000004</v>
      </c>
      <c r="I114" s="317">
        <v>0.55000000000000004</v>
      </c>
      <c r="J114" s="317">
        <v>0.55000000000000004</v>
      </c>
      <c r="K114" s="317">
        <v>0.55000000000000004</v>
      </c>
      <c r="L114" s="317">
        <v>0.55000000000000004</v>
      </c>
      <c r="M114" s="317">
        <v>0.55000000000000004</v>
      </c>
      <c r="N114" s="317">
        <v>0.55000000000000004</v>
      </c>
      <c r="O114" s="317">
        <v>0.55000000000000004</v>
      </c>
      <c r="P114" s="317">
        <v>0.55000000000000004</v>
      </c>
      <c r="Q114" s="317">
        <v>0.55000000000000004</v>
      </c>
      <c r="R114" s="317">
        <v>0.55000000000000004</v>
      </c>
      <c r="S114" s="317">
        <v>0.55000000000000004</v>
      </c>
      <c r="T114" s="317">
        <v>0.55000000000000004</v>
      </c>
      <c r="U114" s="317">
        <v>0.55000000000000004</v>
      </c>
      <c r="V114" s="317">
        <v>0.55000000000000004</v>
      </c>
      <c r="W114" s="317">
        <v>0.55000000000000004</v>
      </c>
      <c r="X114" s="317">
        <v>0.55000000000000004</v>
      </c>
      <c r="Y114" s="317">
        <v>0.55000000000000004</v>
      </c>
      <c r="Z114" s="317">
        <v>0.55000000000000004</v>
      </c>
      <c r="AA114" s="317">
        <v>0.55000000000000004</v>
      </c>
      <c r="AB114" s="317">
        <v>0.55000000000000004</v>
      </c>
      <c r="AC114" s="317">
        <v>0.55000000000000004</v>
      </c>
      <c r="AD114" s="317">
        <v>0.55000000000000004</v>
      </c>
      <c r="AE114" s="317">
        <v>0.55000000000000004</v>
      </c>
      <c r="AF114" s="317">
        <v>0.55000000000000004</v>
      </c>
      <c r="AG114" s="317">
        <v>0.55000000000000004</v>
      </c>
      <c r="AH114" s="317">
        <v>0.55000000000000004</v>
      </c>
      <c r="AI114" s="317">
        <v>0.55000000000000004</v>
      </c>
      <c r="AJ114" s="317">
        <v>0.55000000000000004</v>
      </c>
      <c r="AK114" s="317">
        <v>0.55000000000000004</v>
      </c>
    </row>
    <row r="115" spans="1:44" s="326" customFormat="1">
      <c r="A115" s="117"/>
      <c r="B115" s="322"/>
      <c r="C115" s="322"/>
      <c r="D115" s="327"/>
      <c r="F115" s="1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317"/>
      <c r="AE115" s="317"/>
      <c r="AF115" s="317"/>
      <c r="AG115" s="317"/>
      <c r="AH115" s="317"/>
      <c r="AI115" s="317"/>
      <c r="AJ115" s="317"/>
      <c r="AK115" s="317"/>
    </row>
    <row r="116" spans="1:44" s="326" customFormat="1" ht="24">
      <c r="A116" s="315"/>
      <c r="B116" s="322"/>
      <c r="C116" s="322"/>
      <c r="D116" s="327"/>
      <c r="F116" s="47" t="s">
        <v>504</v>
      </c>
      <c r="G116" s="91">
        <v>0</v>
      </c>
      <c r="H116" s="91">
        <v>0</v>
      </c>
      <c r="I116" s="91">
        <v>0</v>
      </c>
      <c r="J116" s="91">
        <v>0</v>
      </c>
      <c r="K116" s="91">
        <v>0</v>
      </c>
      <c r="L116" s="91">
        <v>0</v>
      </c>
      <c r="M116" s="91">
        <v>0</v>
      </c>
      <c r="N116" s="91">
        <v>0</v>
      </c>
      <c r="O116" s="91">
        <v>0</v>
      </c>
      <c r="P116" s="91">
        <v>0</v>
      </c>
      <c r="Q116" s="91">
        <v>0</v>
      </c>
      <c r="R116" s="91">
        <v>0</v>
      </c>
      <c r="S116" s="91">
        <v>0</v>
      </c>
      <c r="T116" s="91">
        <v>0</v>
      </c>
      <c r="U116" s="91">
        <v>0.05</v>
      </c>
      <c r="V116" s="90">
        <v>0.15</v>
      </c>
      <c r="W116" s="90">
        <v>0.25</v>
      </c>
      <c r="X116" s="90">
        <v>0.35</v>
      </c>
      <c r="Y116" s="90">
        <v>0.45</v>
      </c>
      <c r="Z116" s="90">
        <v>0.5</v>
      </c>
      <c r="AA116" s="90">
        <f t="shared" ref="AA116:AK116" si="70">Z116</f>
        <v>0.5</v>
      </c>
      <c r="AB116" s="90">
        <f t="shared" si="70"/>
        <v>0.5</v>
      </c>
      <c r="AC116" s="90">
        <f t="shared" si="70"/>
        <v>0.5</v>
      </c>
      <c r="AD116" s="90">
        <f t="shared" si="70"/>
        <v>0.5</v>
      </c>
      <c r="AE116" s="90">
        <f t="shared" si="70"/>
        <v>0.5</v>
      </c>
      <c r="AF116" s="90">
        <f t="shared" si="70"/>
        <v>0.5</v>
      </c>
      <c r="AG116" s="90">
        <f t="shared" si="70"/>
        <v>0.5</v>
      </c>
      <c r="AH116" s="90">
        <f t="shared" si="70"/>
        <v>0.5</v>
      </c>
      <c r="AI116" s="90">
        <f t="shared" si="70"/>
        <v>0.5</v>
      </c>
      <c r="AJ116" s="90">
        <f t="shared" si="70"/>
        <v>0.5</v>
      </c>
      <c r="AK116" s="90">
        <f t="shared" si="70"/>
        <v>0.5</v>
      </c>
    </row>
    <row r="117" spans="1:44">
      <c r="A117" s="315"/>
      <c r="B117" s="322"/>
      <c r="C117" s="322"/>
      <c r="D117" s="322"/>
      <c r="F117" s="408" t="s">
        <v>505</v>
      </c>
      <c r="G117" s="340"/>
      <c r="H117" s="340"/>
      <c r="I117" s="340"/>
      <c r="J117" s="340"/>
      <c r="K117" s="340"/>
      <c r="L117" s="340"/>
      <c r="M117" s="340"/>
      <c r="N117" s="340"/>
      <c r="O117" s="340"/>
      <c r="P117" s="340"/>
      <c r="Q117" s="340">
        <f>(Q110*Q111)*Q116</f>
        <v>0</v>
      </c>
      <c r="R117" s="340">
        <f t="shared" ref="R117:AK117" si="71">(R110*R111)*R116</f>
        <v>0</v>
      </c>
      <c r="S117" s="340">
        <f t="shared" si="71"/>
        <v>0</v>
      </c>
      <c r="T117" s="340">
        <f t="shared" si="71"/>
        <v>0</v>
      </c>
      <c r="U117" s="340">
        <f t="shared" si="71"/>
        <v>5.835318938839823E-2</v>
      </c>
      <c r="V117" s="340">
        <f t="shared" si="71"/>
        <v>0.18116797564796755</v>
      </c>
      <c r="W117" s="340">
        <f t="shared" si="71"/>
        <v>0.31248254279376003</v>
      </c>
      <c r="X117" s="340">
        <f t="shared" si="71"/>
        <v>0.45274052949676263</v>
      </c>
      <c r="Y117" s="340">
        <f t="shared" si="71"/>
        <v>0.6024061856213887</v>
      </c>
      <c r="Z117" s="340">
        <f t="shared" si="71"/>
        <v>0.69269570041980799</v>
      </c>
      <c r="AA117" s="340">
        <f t="shared" si="71"/>
        <v>0.7168661450523236</v>
      </c>
      <c r="AB117" s="340">
        <f t="shared" si="71"/>
        <v>0.74187997646113857</v>
      </c>
      <c r="AC117" s="340">
        <f t="shared" si="71"/>
        <v>0.76776662320105415</v>
      </c>
      <c r="AD117" s="340">
        <f t="shared" si="71"/>
        <v>0.79455654068650694</v>
      </c>
      <c r="AE117" s="340">
        <f t="shared" si="71"/>
        <v>0.82228124702209904</v>
      </c>
      <c r="AF117" s="340">
        <f t="shared" si="71"/>
        <v>0.8509733600833731</v>
      </c>
      <c r="AG117" s="340">
        <f t="shared" si="71"/>
        <v>0.88066663589145977</v>
      </c>
      <c r="AH117" s="340">
        <f t="shared" si="71"/>
        <v>0.91139600832674117</v>
      </c>
      <c r="AI117" s="340">
        <f t="shared" si="71"/>
        <v>0.94319763022825842</v>
      </c>
      <c r="AJ117" s="340">
        <f t="shared" si="71"/>
        <v>0.97610891592721072</v>
      </c>
      <c r="AK117" s="340">
        <f t="shared" si="71"/>
        <v>1.0101685852645905</v>
      </c>
    </row>
    <row r="118" spans="1:44">
      <c r="A118" s="315"/>
      <c r="B118" s="322"/>
      <c r="C118" s="322"/>
      <c r="D118" s="32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44">
      <c r="A119" s="315"/>
      <c r="B119" s="325"/>
      <c r="C119" s="322"/>
      <c r="D119" s="32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44">
      <c r="A120" s="315"/>
      <c r="B120" s="322"/>
      <c r="C120" s="197"/>
      <c r="D120" s="197"/>
      <c r="F120" s="124" t="s">
        <v>475</v>
      </c>
      <c r="G120" s="323">
        <v>0.4</v>
      </c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326"/>
      <c r="AM120" s="326"/>
      <c r="AN120" s="326"/>
      <c r="AO120" s="326"/>
      <c r="AP120" s="326"/>
      <c r="AQ120" s="326"/>
      <c r="AR120" s="326"/>
    </row>
    <row r="121" spans="1:44">
      <c r="A121" s="315"/>
      <c r="F121" s="321" t="s">
        <v>476</v>
      </c>
      <c r="G121" s="333">
        <f>G117</f>
        <v>0</v>
      </c>
      <c r="H121" s="333">
        <f t="shared" ref="H121:AK121" si="72">H117</f>
        <v>0</v>
      </c>
      <c r="I121" s="333">
        <f t="shared" si="72"/>
        <v>0</v>
      </c>
      <c r="J121" s="333">
        <f t="shared" si="72"/>
        <v>0</v>
      </c>
      <c r="K121" s="333">
        <f t="shared" si="72"/>
        <v>0</v>
      </c>
      <c r="L121" s="333">
        <f t="shared" si="72"/>
        <v>0</v>
      </c>
      <c r="M121" s="333">
        <f t="shared" si="72"/>
        <v>0</v>
      </c>
      <c r="N121" s="333">
        <f t="shared" si="72"/>
        <v>0</v>
      </c>
      <c r="O121" s="333">
        <f t="shared" si="72"/>
        <v>0</v>
      </c>
      <c r="P121" s="333">
        <f t="shared" si="72"/>
        <v>0</v>
      </c>
      <c r="Q121" s="333">
        <f t="shared" si="72"/>
        <v>0</v>
      </c>
      <c r="R121" s="333">
        <f t="shared" si="72"/>
        <v>0</v>
      </c>
      <c r="S121" s="333">
        <f t="shared" si="72"/>
        <v>0</v>
      </c>
      <c r="T121" s="333">
        <f t="shared" si="72"/>
        <v>0</v>
      </c>
      <c r="U121" s="333">
        <f t="shared" si="72"/>
        <v>5.835318938839823E-2</v>
      </c>
      <c r="V121" s="333">
        <f t="shared" si="72"/>
        <v>0.18116797564796755</v>
      </c>
      <c r="W121" s="333">
        <f t="shared" si="72"/>
        <v>0.31248254279376003</v>
      </c>
      <c r="X121" s="333">
        <f t="shared" si="72"/>
        <v>0.45274052949676263</v>
      </c>
      <c r="Y121" s="333">
        <f t="shared" si="72"/>
        <v>0.6024061856213887</v>
      </c>
      <c r="Z121" s="333">
        <f t="shared" si="72"/>
        <v>0.69269570041980799</v>
      </c>
      <c r="AA121" s="333">
        <f t="shared" si="72"/>
        <v>0.7168661450523236</v>
      </c>
      <c r="AB121" s="333">
        <f t="shared" si="72"/>
        <v>0.74187997646113857</v>
      </c>
      <c r="AC121" s="333">
        <f t="shared" si="72"/>
        <v>0.76776662320105415</v>
      </c>
      <c r="AD121" s="333">
        <f t="shared" si="72"/>
        <v>0.79455654068650694</v>
      </c>
      <c r="AE121" s="333">
        <f t="shared" si="72"/>
        <v>0.82228124702209904</v>
      </c>
      <c r="AF121" s="333">
        <f t="shared" si="72"/>
        <v>0.8509733600833731</v>
      </c>
      <c r="AG121" s="333">
        <f t="shared" si="72"/>
        <v>0.88066663589145977</v>
      </c>
      <c r="AH121" s="333">
        <f t="shared" si="72"/>
        <v>0.91139600832674117</v>
      </c>
      <c r="AI121" s="333">
        <f t="shared" si="72"/>
        <v>0.94319763022825842</v>
      </c>
      <c r="AJ121" s="333">
        <f t="shared" si="72"/>
        <v>0.97610891592721072</v>
      </c>
      <c r="AK121" s="333">
        <f t="shared" si="72"/>
        <v>1.0101685852645905</v>
      </c>
      <c r="AL121" s="89"/>
      <c r="AM121" s="89"/>
      <c r="AN121" s="89"/>
      <c r="AO121" s="89"/>
      <c r="AP121" s="89"/>
      <c r="AQ121" s="89"/>
      <c r="AR121" s="89"/>
    </row>
    <row r="122" spans="1:44" s="326" customFormat="1" ht="12">
      <c r="A122" s="315"/>
      <c r="B122" s="1"/>
      <c r="C122" s="1"/>
      <c r="D122" s="1"/>
      <c r="F122" s="339" t="s">
        <v>477</v>
      </c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</row>
    <row r="123" spans="1:44" s="326" customFormat="1">
      <c r="A123" s="315"/>
      <c r="B123" s="1"/>
      <c r="C123" s="1"/>
      <c r="D123" s="1"/>
      <c r="F123" s="95" t="s">
        <v>19</v>
      </c>
      <c r="G123" s="95"/>
      <c r="H123" s="95"/>
      <c r="I123" s="95"/>
      <c r="J123" s="95"/>
      <c r="K123" s="95"/>
      <c r="L123" s="95"/>
      <c r="M123" s="95"/>
      <c r="N123" s="95"/>
      <c r="O123" s="95"/>
      <c r="P123" s="310"/>
      <c r="Q123" s="310">
        <v>170</v>
      </c>
      <c r="R123" s="310">
        <f t="shared" ref="R123:AK123" si="73">Q123*(1+R124)</f>
        <v>164.9</v>
      </c>
      <c r="S123" s="310">
        <f t="shared" si="73"/>
        <v>159.953</v>
      </c>
      <c r="T123" s="310">
        <f t="shared" si="73"/>
        <v>155.15441000000001</v>
      </c>
      <c r="U123" s="310">
        <f t="shared" si="73"/>
        <v>150.49977770000001</v>
      </c>
      <c r="V123" s="310">
        <f t="shared" si="73"/>
        <v>145.98478436900001</v>
      </c>
      <c r="W123" s="310">
        <f t="shared" si="73"/>
        <v>141.60524083793001</v>
      </c>
      <c r="X123" s="310">
        <f t="shared" si="73"/>
        <v>137.35708361279211</v>
      </c>
      <c r="Y123" s="310">
        <f t="shared" si="73"/>
        <v>133.23637110440833</v>
      </c>
      <c r="Z123" s="310">
        <f t="shared" si="73"/>
        <v>119.91273399396751</v>
      </c>
      <c r="AA123" s="310">
        <f t="shared" si="73"/>
        <v>107.92146059457076</v>
      </c>
      <c r="AB123" s="310">
        <f t="shared" si="73"/>
        <v>97.129314535113693</v>
      </c>
      <c r="AC123" s="310">
        <f t="shared" si="73"/>
        <v>87.416383081602319</v>
      </c>
      <c r="AD123" s="310">
        <f t="shared" si="73"/>
        <v>78.674744773442086</v>
      </c>
      <c r="AE123" s="310">
        <f t="shared" si="73"/>
        <v>70.807270296097883</v>
      </c>
      <c r="AF123" s="310">
        <f t="shared" si="73"/>
        <v>63.726543266488093</v>
      </c>
      <c r="AG123" s="310">
        <f t="shared" si="73"/>
        <v>57.353888939839287</v>
      </c>
      <c r="AH123" s="310">
        <f t="shared" si="73"/>
        <v>51.618500045855356</v>
      </c>
      <c r="AI123" s="310">
        <f t="shared" si="73"/>
        <v>46.456650041269825</v>
      </c>
      <c r="AJ123" s="310">
        <f t="shared" si="73"/>
        <v>41.810985037142842</v>
      </c>
      <c r="AK123" s="310">
        <f t="shared" si="73"/>
        <v>37.629886533428561</v>
      </c>
    </row>
    <row r="124" spans="1:44" s="326" customFormat="1">
      <c r="A124" s="315"/>
      <c r="B124" s="1"/>
      <c r="C124" s="1"/>
      <c r="D124" s="1"/>
      <c r="F124" s="102" t="s">
        <v>434</v>
      </c>
      <c r="G124" s="95"/>
      <c r="H124" s="95"/>
      <c r="I124" s="95"/>
      <c r="J124" s="95"/>
      <c r="K124" s="95"/>
      <c r="L124" s="95"/>
      <c r="M124" s="95"/>
      <c r="N124" s="95"/>
      <c r="O124" s="103"/>
      <c r="P124" s="103"/>
      <c r="Q124" s="103">
        <v>-0.03</v>
      </c>
      <c r="R124" s="103">
        <v>-0.03</v>
      </c>
      <c r="S124" s="103">
        <v>-0.03</v>
      </c>
      <c r="T124" s="103">
        <v>-0.03</v>
      </c>
      <c r="U124" s="103">
        <v>-0.03</v>
      </c>
      <c r="V124" s="103">
        <v>-0.03</v>
      </c>
      <c r="W124" s="103">
        <v>-0.03</v>
      </c>
      <c r="X124" s="103">
        <v>-0.03</v>
      </c>
      <c r="Y124" s="103">
        <v>-0.03</v>
      </c>
      <c r="Z124" s="103">
        <v>-0.1</v>
      </c>
      <c r="AA124" s="103">
        <v>-0.1</v>
      </c>
      <c r="AB124" s="103">
        <v>-0.1</v>
      </c>
      <c r="AC124" s="103">
        <v>-0.1</v>
      </c>
      <c r="AD124" s="103">
        <v>-0.1</v>
      </c>
      <c r="AE124" s="103">
        <v>-0.1</v>
      </c>
      <c r="AF124" s="103">
        <v>-0.1</v>
      </c>
      <c r="AG124" s="103">
        <v>-0.1</v>
      </c>
      <c r="AH124" s="103">
        <v>-0.1</v>
      </c>
      <c r="AI124" s="103">
        <v>-0.1</v>
      </c>
      <c r="AJ124" s="103">
        <v>-0.1</v>
      </c>
      <c r="AK124" s="103">
        <v>-0.1</v>
      </c>
      <c r="AL124" s="328"/>
      <c r="AM124" s="328"/>
      <c r="AN124" s="328"/>
      <c r="AO124" s="328"/>
      <c r="AP124" s="328"/>
      <c r="AQ124" s="328"/>
      <c r="AR124" s="328"/>
    </row>
    <row r="125" spans="1:44">
      <c r="A125" s="117"/>
      <c r="F125" s="100" t="s">
        <v>478</v>
      </c>
      <c r="O125" s="104"/>
      <c r="P125" s="310"/>
      <c r="Q125" s="310">
        <v>2</v>
      </c>
      <c r="R125" s="310">
        <v>2</v>
      </c>
      <c r="S125" s="310">
        <v>2</v>
      </c>
      <c r="T125" s="310">
        <v>2</v>
      </c>
      <c r="U125" s="310">
        <v>2</v>
      </c>
      <c r="V125" s="310">
        <v>2</v>
      </c>
      <c r="W125" s="310">
        <v>2</v>
      </c>
      <c r="X125" s="310">
        <v>2</v>
      </c>
      <c r="Y125" s="310">
        <v>2</v>
      </c>
      <c r="Z125" s="310">
        <v>2</v>
      </c>
      <c r="AA125" s="310">
        <v>2</v>
      </c>
      <c r="AB125" s="310">
        <v>2</v>
      </c>
      <c r="AC125" s="310">
        <v>2</v>
      </c>
      <c r="AD125" s="310">
        <v>2</v>
      </c>
      <c r="AE125" s="310">
        <v>2</v>
      </c>
      <c r="AF125" s="310">
        <v>2</v>
      </c>
      <c r="AG125" s="310">
        <v>2</v>
      </c>
      <c r="AH125" s="310">
        <v>2</v>
      </c>
      <c r="AI125" s="310">
        <v>2</v>
      </c>
      <c r="AJ125" s="310">
        <v>2</v>
      </c>
      <c r="AK125" s="310">
        <v>2</v>
      </c>
      <c r="AL125" s="326"/>
      <c r="AM125" s="326"/>
      <c r="AN125" s="326"/>
      <c r="AO125" s="326"/>
      <c r="AP125" s="326"/>
      <c r="AQ125" s="326"/>
      <c r="AR125" s="326"/>
    </row>
    <row r="126" spans="1:44">
      <c r="A126" s="315"/>
      <c r="F126" s="100" t="s">
        <v>479</v>
      </c>
      <c r="O126" s="101"/>
      <c r="P126" s="101"/>
      <c r="Q126" s="101">
        <f>13*4*7</f>
        <v>364</v>
      </c>
      <c r="R126" s="101">
        <f t="shared" ref="R126:AK126" si="74">13*4*7</f>
        <v>364</v>
      </c>
      <c r="S126" s="101">
        <f t="shared" si="74"/>
        <v>364</v>
      </c>
      <c r="T126" s="101">
        <f t="shared" si="74"/>
        <v>364</v>
      </c>
      <c r="U126" s="101">
        <f t="shared" si="74"/>
        <v>364</v>
      </c>
      <c r="V126" s="101">
        <f t="shared" si="74"/>
        <v>364</v>
      </c>
      <c r="W126" s="101">
        <f t="shared" si="74"/>
        <v>364</v>
      </c>
      <c r="X126" s="101">
        <f t="shared" si="74"/>
        <v>364</v>
      </c>
      <c r="Y126" s="101">
        <f t="shared" si="74"/>
        <v>364</v>
      </c>
      <c r="Z126" s="101">
        <f t="shared" si="74"/>
        <v>364</v>
      </c>
      <c r="AA126" s="101">
        <f t="shared" si="74"/>
        <v>364</v>
      </c>
      <c r="AB126" s="101">
        <f t="shared" si="74"/>
        <v>364</v>
      </c>
      <c r="AC126" s="101">
        <f t="shared" si="74"/>
        <v>364</v>
      </c>
      <c r="AD126" s="101">
        <f t="shared" si="74"/>
        <v>364</v>
      </c>
      <c r="AE126" s="101">
        <f t="shared" si="74"/>
        <v>364</v>
      </c>
      <c r="AF126" s="101">
        <f t="shared" si="74"/>
        <v>364</v>
      </c>
      <c r="AG126" s="101">
        <f t="shared" si="74"/>
        <v>364</v>
      </c>
      <c r="AH126" s="101">
        <f t="shared" si="74"/>
        <v>364</v>
      </c>
      <c r="AI126" s="101">
        <f t="shared" si="74"/>
        <v>364</v>
      </c>
      <c r="AJ126" s="101">
        <f t="shared" si="74"/>
        <v>364</v>
      </c>
      <c r="AK126" s="101">
        <f t="shared" si="74"/>
        <v>364</v>
      </c>
      <c r="AL126" s="328"/>
      <c r="AM126" s="328"/>
      <c r="AN126" s="328"/>
      <c r="AO126" s="328"/>
      <c r="AP126" s="328"/>
      <c r="AQ126" s="328"/>
      <c r="AR126" s="328"/>
    </row>
    <row r="127" spans="1:44">
      <c r="A127" s="117"/>
      <c r="F127" s="100" t="s">
        <v>480</v>
      </c>
      <c r="O127" s="101"/>
      <c r="P127" s="101"/>
      <c r="Q127" s="101">
        <f>Q121*Q125*Q126</f>
        <v>0</v>
      </c>
      <c r="R127" s="101">
        <f t="shared" ref="R127:AK127" si="75">R121*R125*R126</f>
        <v>0</v>
      </c>
      <c r="S127" s="101">
        <f t="shared" si="75"/>
        <v>0</v>
      </c>
      <c r="T127" s="101">
        <f t="shared" si="75"/>
        <v>0</v>
      </c>
      <c r="U127" s="101">
        <f t="shared" si="75"/>
        <v>42.48112187475391</v>
      </c>
      <c r="V127" s="101">
        <f t="shared" si="75"/>
        <v>131.89028627172038</v>
      </c>
      <c r="W127" s="101">
        <f t="shared" si="75"/>
        <v>227.48729115385731</v>
      </c>
      <c r="X127" s="101">
        <f t="shared" si="75"/>
        <v>329.59510547364317</v>
      </c>
      <c r="Y127" s="101">
        <f t="shared" si="75"/>
        <v>438.55170313237096</v>
      </c>
      <c r="Z127" s="101">
        <f t="shared" si="75"/>
        <v>504.28246990562025</v>
      </c>
      <c r="AA127" s="101">
        <f t="shared" si="75"/>
        <v>521.87855359809157</v>
      </c>
      <c r="AB127" s="101">
        <f t="shared" si="75"/>
        <v>540.08862286370891</v>
      </c>
      <c r="AC127" s="101">
        <f t="shared" si="75"/>
        <v>558.93410169036747</v>
      </c>
      <c r="AD127" s="101">
        <f t="shared" si="75"/>
        <v>578.43716161977704</v>
      </c>
      <c r="AE127" s="101">
        <f t="shared" si="75"/>
        <v>598.62074783208811</v>
      </c>
      <c r="AF127" s="101">
        <f t="shared" si="75"/>
        <v>619.50860614069563</v>
      </c>
      <c r="AG127" s="101">
        <f t="shared" si="75"/>
        <v>641.12531092898269</v>
      </c>
      <c r="AH127" s="101">
        <f t="shared" si="75"/>
        <v>663.49629406186762</v>
      </c>
      <c r="AI127" s="101">
        <f t="shared" si="75"/>
        <v>686.64787480617213</v>
      </c>
      <c r="AJ127" s="101">
        <f t="shared" si="75"/>
        <v>710.60729079500936</v>
      </c>
      <c r="AK127" s="101">
        <f t="shared" si="75"/>
        <v>735.40273007262192</v>
      </c>
    </row>
    <row r="128" spans="1:44" s="326" customFormat="1">
      <c r="A128" s="116"/>
      <c r="B128" s="1"/>
      <c r="C128" s="1"/>
      <c r="D128" s="1"/>
      <c r="F128" s="334" t="s">
        <v>481</v>
      </c>
      <c r="G128" s="334"/>
      <c r="H128" s="334"/>
      <c r="I128" s="334"/>
      <c r="J128" s="334"/>
      <c r="K128" s="334"/>
      <c r="L128" s="334"/>
      <c r="M128" s="334"/>
      <c r="N128" s="334"/>
      <c r="O128" s="334"/>
      <c r="P128" s="94"/>
      <c r="Q128" s="94">
        <f>Q123*Q125*Q126*Q121*$G$45/1000</f>
        <v>0</v>
      </c>
      <c r="R128" s="94">
        <f t="shared" ref="R128:AK128" si="76">R123*R125*R126*R121*$G$45/1000</f>
        <v>0</v>
      </c>
      <c r="S128" s="94">
        <f t="shared" si="76"/>
        <v>0</v>
      </c>
      <c r="T128" s="94">
        <f t="shared" si="76"/>
        <v>0</v>
      </c>
      <c r="U128" s="94">
        <f t="shared" si="76"/>
        <v>2.5573597594388287</v>
      </c>
      <c r="V128" s="94">
        <f t="shared" si="76"/>
        <v>7.7015900006971121</v>
      </c>
      <c r="W128" s="94">
        <f t="shared" si="76"/>
        <v>12.885357060564109</v>
      </c>
      <c r="X128" s="94">
        <f t="shared" si="76"/>
        <v>18.108888984364096</v>
      </c>
      <c r="Y128" s="94">
        <f t="shared" si="76"/>
        <v>23.372414986805957</v>
      </c>
      <c r="Z128" s="94">
        <f t="shared" si="76"/>
        <v>24.187955868645425</v>
      </c>
      <c r="AA128" s="94">
        <f t="shared" si="76"/>
        <v>22.528758302915211</v>
      </c>
      <c r="AB128" s="94">
        <f t="shared" si="76"/>
        <v>20.983375090786229</v>
      </c>
      <c r="AC128" s="94">
        <f t="shared" si="76"/>
        <v>19.543999020294574</v>
      </c>
      <c r="AD128" s="94">
        <f t="shared" si="76"/>
        <v>18.203358423164097</v>
      </c>
      <c r="AE128" s="94">
        <f t="shared" si="76"/>
        <v>16.954680438639567</v>
      </c>
      <c r="AF128" s="94">
        <f t="shared" si="76"/>
        <v>15.791656797274708</v>
      </c>
      <c r="AG128" s="94">
        <f t="shared" si="76"/>
        <v>14.70841195181632</v>
      </c>
      <c r="AH128" s="94">
        <f t="shared" si="76"/>
        <v>13.699473394182951</v>
      </c>
      <c r="AI128" s="94">
        <f t="shared" si="76"/>
        <v>12.759744008580798</v>
      </c>
      <c r="AJ128" s="94">
        <f t="shared" si="76"/>
        <v>11.884476321085902</v>
      </c>
      <c r="AK128" s="94">
        <f t="shared" si="76"/>
        <v>11.069248515602544</v>
      </c>
      <c r="AL128" s="95"/>
      <c r="AM128" s="95"/>
      <c r="AN128" s="95"/>
      <c r="AO128" s="95"/>
      <c r="AP128" s="95"/>
      <c r="AQ128" s="95"/>
      <c r="AR128" s="95"/>
    </row>
    <row r="129" spans="1:44" s="89" customFormat="1">
      <c r="A129" s="315"/>
      <c r="B129" s="1"/>
      <c r="C129" s="1"/>
      <c r="D129" s="1"/>
      <c r="E129" s="102"/>
      <c r="F129" s="92" t="s">
        <v>434</v>
      </c>
      <c r="G129" s="309"/>
      <c r="H129" s="309"/>
      <c r="I129" s="309"/>
      <c r="J129" s="309"/>
      <c r="K129" s="309"/>
      <c r="L129" s="309"/>
      <c r="M129" s="309"/>
      <c r="N129" s="309"/>
      <c r="O129" s="309"/>
      <c r="P129" s="309"/>
      <c r="Q129" s="92" t="e">
        <f t="shared" ref="Q129:AK129" si="77">Q128/P128-1</f>
        <v>#DIV/0!</v>
      </c>
      <c r="R129" s="92" t="e">
        <f t="shared" si="77"/>
        <v>#DIV/0!</v>
      </c>
      <c r="S129" s="92" t="e">
        <f t="shared" si="77"/>
        <v>#DIV/0!</v>
      </c>
      <c r="T129" s="92" t="e">
        <f t="shared" si="77"/>
        <v>#DIV/0!</v>
      </c>
      <c r="U129" s="92" t="e">
        <f t="shared" si="77"/>
        <v>#DIV/0!</v>
      </c>
      <c r="V129" s="92">
        <f t="shared" si="77"/>
        <v>2.0115395271516676</v>
      </c>
      <c r="W129" s="92">
        <f t="shared" si="77"/>
        <v>0.67307751508426006</v>
      </c>
      <c r="X129" s="92">
        <f t="shared" si="77"/>
        <v>0.40538511267077815</v>
      </c>
      <c r="Y129" s="92">
        <f t="shared" si="77"/>
        <v>0.29065979735071479</v>
      </c>
      <c r="Z129" s="92">
        <f t="shared" si="77"/>
        <v>3.4893308299542403E-2</v>
      </c>
      <c r="AA129" s="92">
        <f t="shared" si="77"/>
        <v>-6.8596022530412082E-2</v>
      </c>
      <c r="AB129" s="92">
        <f t="shared" si="77"/>
        <v>-6.8596022530412193E-2</v>
      </c>
      <c r="AC129" s="92">
        <f t="shared" si="77"/>
        <v>-6.859602253041186E-2</v>
      </c>
      <c r="AD129" s="92">
        <f t="shared" si="77"/>
        <v>-6.8596022530411971E-2</v>
      </c>
      <c r="AE129" s="92">
        <f t="shared" si="77"/>
        <v>-6.8596022530412082E-2</v>
      </c>
      <c r="AF129" s="92">
        <f t="shared" si="77"/>
        <v>-6.8596022530412193E-2</v>
      </c>
      <c r="AG129" s="92">
        <f t="shared" si="77"/>
        <v>-6.859602253041186E-2</v>
      </c>
      <c r="AH129" s="92">
        <f t="shared" si="77"/>
        <v>-6.8596022530411749E-2</v>
      </c>
      <c r="AI129" s="92">
        <f t="shared" si="77"/>
        <v>-6.8596022530411971E-2</v>
      </c>
      <c r="AJ129" s="92">
        <f t="shared" si="77"/>
        <v>-6.859602253041186E-2</v>
      </c>
      <c r="AK129" s="92">
        <f t="shared" si="77"/>
        <v>-6.8596022530412193E-2</v>
      </c>
      <c r="AL129" s="95"/>
      <c r="AM129" s="95"/>
      <c r="AN129" s="95"/>
      <c r="AO129" s="95"/>
      <c r="AP129" s="95"/>
      <c r="AQ129" s="95"/>
      <c r="AR129" s="95"/>
    </row>
    <row r="130" spans="1:44">
      <c r="A130" s="315"/>
      <c r="F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326"/>
      <c r="AM130" s="326"/>
      <c r="AN130" s="326"/>
      <c r="AO130" s="326"/>
      <c r="AP130" s="326"/>
      <c r="AQ130" s="326"/>
      <c r="AR130" s="326"/>
    </row>
    <row r="131" spans="1:44" s="326" customFormat="1">
      <c r="A131" s="315"/>
      <c r="B131" s="1"/>
      <c r="C131" s="1"/>
      <c r="D131" s="1"/>
      <c r="F131" s="93" t="s">
        <v>485</v>
      </c>
      <c r="G131" s="93"/>
      <c r="H131" s="95"/>
      <c r="I131" s="95"/>
      <c r="J131" s="95"/>
      <c r="K131" s="95"/>
      <c r="L131" s="95"/>
      <c r="M131" s="95"/>
      <c r="N131" s="95"/>
      <c r="O131" s="95"/>
      <c r="P131" s="95"/>
      <c r="Q131" s="94">
        <f>Q123*Q125*Q126</f>
        <v>123760</v>
      </c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89"/>
      <c r="AM131" s="89"/>
      <c r="AN131" s="89"/>
      <c r="AO131" s="89"/>
      <c r="AP131" s="89"/>
      <c r="AQ131" s="89"/>
      <c r="AR131" s="89"/>
    </row>
    <row r="132" spans="1:44" s="328" customFormat="1">
      <c r="A132" s="315"/>
      <c r="B132" s="1"/>
      <c r="C132" s="1"/>
      <c r="D132" s="1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</row>
    <row r="133" spans="1:44" s="326" customFormat="1">
      <c r="A133" s="321"/>
      <c r="B133" s="1"/>
      <c r="C133" s="1"/>
      <c r="D133" s="1"/>
      <c r="F133" s="93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308"/>
      <c r="AM133" s="308"/>
      <c r="AN133" s="308"/>
      <c r="AO133" s="308"/>
      <c r="AP133" s="308"/>
      <c r="AQ133" s="308"/>
      <c r="AR133" s="308"/>
    </row>
    <row r="134" spans="1:44" s="328" customFormat="1">
      <c r="A134" s="95"/>
      <c r="B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98"/>
      <c r="AM134" s="98"/>
      <c r="AN134" s="98"/>
      <c r="AO134" s="98"/>
      <c r="AP134" s="98"/>
      <c r="AQ134" s="98"/>
      <c r="AR134" s="98"/>
    </row>
    <row r="135" spans="1:44">
      <c r="A135" s="95"/>
      <c r="F135" s="3" t="s">
        <v>506</v>
      </c>
      <c r="G135" s="175">
        <f t="shared" ref="G135:AK135" si="78">G53+G97+G128</f>
        <v>0</v>
      </c>
      <c r="H135" s="175">
        <f t="shared" si="78"/>
        <v>0</v>
      </c>
      <c r="I135" s="175">
        <f t="shared" si="78"/>
        <v>0</v>
      </c>
      <c r="J135" s="175">
        <f t="shared" si="78"/>
        <v>0</v>
      </c>
      <c r="K135" s="175">
        <f t="shared" si="78"/>
        <v>0</v>
      </c>
      <c r="L135" s="175">
        <f t="shared" si="78"/>
        <v>0</v>
      </c>
      <c r="M135" s="175">
        <f t="shared" si="78"/>
        <v>0</v>
      </c>
      <c r="N135" s="175">
        <f t="shared" si="78"/>
        <v>0</v>
      </c>
      <c r="O135" s="175">
        <f t="shared" si="78"/>
        <v>0</v>
      </c>
      <c r="P135" s="175">
        <f t="shared" si="78"/>
        <v>0</v>
      </c>
      <c r="Q135" s="175">
        <f t="shared" si="78"/>
        <v>0</v>
      </c>
      <c r="R135" s="175">
        <f t="shared" si="78"/>
        <v>0</v>
      </c>
      <c r="S135" s="175">
        <f t="shared" si="78"/>
        <v>0</v>
      </c>
      <c r="T135" s="175">
        <f t="shared" si="78"/>
        <v>0</v>
      </c>
      <c r="U135" s="175">
        <f t="shared" si="78"/>
        <v>30.668977212824018</v>
      </c>
      <c r="V135" s="175">
        <f t="shared" si="78"/>
        <v>94.391776613040804</v>
      </c>
      <c r="W135" s="175">
        <f t="shared" si="78"/>
        <v>161.45759180784026</v>
      </c>
      <c r="X135" s="175">
        <f t="shared" si="78"/>
        <v>232.06926800162577</v>
      </c>
      <c r="Y135" s="175">
        <f t="shared" si="78"/>
        <v>306.43786408050261</v>
      </c>
      <c r="Z135" s="175">
        <f t="shared" si="78"/>
        <v>324.55916753220492</v>
      </c>
      <c r="AA135" s="175">
        <f t="shared" si="78"/>
        <v>307.3282222215604</v>
      </c>
      <c r="AB135" s="175">
        <f t="shared" si="78"/>
        <v>291.06547348905031</v>
      </c>
      <c r="AC135" s="175">
        <f t="shared" si="78"/>
        <v>275.712114115497</v>
      </c>
      <c r="AD135" s="175">
        <f t="shared" si="78"/>
        <v>261.21322561833642</v>
      </c>
      <c r="AE135" s="175">
        <f t="shared" si="78"/>
        <v>247.51750128842863</v>
      </c>
      <c r="AF135" s="175">
        <f t="shared" si="78"/>
        <v>234.5769900232597</v>
      </c>
      <c r="AG135" s="175">
        <f t="shared" si="78"/>
        <v>222.34685934515954</v>
      </c>
      <c r="AH135" s="175">
        <f t="shared" si="78"/>
        <v>210.7851761199706</v>
      </c>
      <c r="AI135" s="175">
        <f t="shared" si="78"/>
        <v>199.85270360838911</v>
      </c>
      <c r="AJ135" s="175">
        <f t="shared" si="78"/>
        <v>189.51271358972417</v>
      </c>
      <c r="AK135" s="175">
        <f t="shared" si="78"/>
        <v>179.73081239684865</v>
      </c>
      <c r="AL135" s="311"/>
      <c r="AM135" s="311"/>
      <c r="AN135" s="311"/>
      <c r="AO135" s="311"/>
      <c r="AP135" s="311"/>
      <c r="AQ135" s="311"/>
      <c r="AR135" s="311"/>
    </row>
    <row r="136" spans="1:44">
      <c r="A136" s="9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311"/>
      <c r="AM136" s="311"/>
      <c r="AN136" s="311"/>
      <c r="AO136" s="311"/>
      <c r="AP136" s="311"/>
      <c r="AQ136" s="311"/>
      <c r="AR136" s="311"/>
    </row>
    <row r="137" spans="1:44">
      <c r="A137" s="95"/>
      <c r="F137" s="3" t="s">
        <v>507</v>
      </c>
      <c r="G137" s="175">
        <f t="shared" ref="G137:AK137" si="79">G46+G90+G121</f>
        <v>0</v>
      </c>
      <c r="H137" s="175">
        <f t="shared" si="79"/>
        <v>0</v>
      </c>
      <c r="I137" s="175">
        <f t="shared" si="79"/>
        <v>0</v>
      </c>
      <c r="J137" s="175">
        <f t="shared" si="79"/>
        <v>0</v>
      </c>
      <c r="K137" s="175">
        <f t="shared" si="79"/>
        <v>0</v>
      </c>
      <c r="L137" s="175">
        <f t="shared" si="79"/>
        <v>0</v>
      </c>
      <c r="M137" s="175">
        <f t="shared" si="79"/>
        <v>0</v>
      </c>
      <c r="N137" s="175">
        <f t="shared" si="79"/>
        <v>0</v>
      </c>
      <c r="O137" s="175">
        <f t="shared" si="79"/>
        <v>0</v>
      </c>
      <c r="P137" s="175">
        <f t="shared" si="79"/>
        <v>0</v>
      </c>
      <c r="Q137" s="175">
        <f t="shared" si="79"/>
        <v>0</v>
      </c>
      <c r="R137" s="175">
        <f t="shared" si="79"/>
        <v>0</v>
      </c>
      <c r="S137" s="175">
        <f t="shared" si="79"/>
        <v>0</v>
      </c>
      <c r="T137" s="175">
        <f t="shared" si="79"/>
        <v>0</v>
      </c>
      <c r="U137" s="175">
        <f t="shared" si="79"/>
        <v>0.69979697969483001</v>
      </c>
      <c r="V137" s="175">
        <f t="shared" si="79"/>
        <v>2.220420339858638</v>
      </c>
      <c r="W137" s="175">
        <f t="shared" si="79"/>
        <v>3.915504910289394</v>
      </c>
      <c r="X137" s="175">
        <f t="shared" si="79"/>
        <v>5.8019662810734074</v>
      </c>
      <c r="Y137" s="175">
        <f t="shared" si="79"/>
        <v>7.8982024294413025</v>
      </c>
      <c r="Z137" s="175">
        <f t="shared" si="79"/>
        <v>9.2947391297675992</v>
      </c>
      <c r="AA137" s="175">
        <f t="shared" si="79"/>
        <v>9.7791984346179195</v>
      </c>
      <c r="AB137" s="175">
        <f t="shared" si="79"/>
        <v>10.290796675293851</v>
      </c>
      <c r="AC137" s="175">
        <f t="shared" si="79"/>
        <v>10.83107702831272</v>
      </c>
      <c r="AD137" s="175">
        <f t="shared" si="79"/>
        <v>11.401669521859226</v>
      </c>
      <c r="AE137" s="175">
        <f t="shared" si="79"/>
        <v>12.004295825912607</v>
      </c>
      <c r="AF137" s="175">
        <f t="shared" si="79"/>
        <v>12.640774300058688</v>
      </c>
      <c r="AG137" s="175">
        <f t="shared" si="79"/>
        <v>13.313025312454108</v>
      </c>
      <c r="AH137" s="175">
        <f t="shared" si="79"/>
        <v>14.023076844089735</v>
      </c>
      <c r="AI137" s="175">
        <f t="shared" si="79"/>
        <v>14.773070393213089</v>
      </c>
      <c r="AJ137" s="175">
        <f t="shared" si="79"/>
        <v>15.565267195516386</v>
      </c>
      <c r="AK137" s="175">
        <f t="shared" si="79"/>
        <v>16.402054776479758</v>
      </c>
      <c r="AL137" s="311"/>
      <c r="AM137" s="311"/>
      <c r="AN137" s="311"/>
      <c r="AO137" s="311"/>
      <c r="AP137" s="311"/>
      <c r="AQ137" s="311"/>
      <c r="AR137" s="311"/>
    </row>
    <row r="138" spans="1:44" s="326" customFormat="1">
      <c r="A138" s="95"/>
      <c r="B138" s="1"/>
      <c r="C138" s="1"/>
      <c r="D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311"/>
      <c r="AM138" s="311"/>
      <c r="AN138" s="311"/>
      <c r="AO138" s="311"/>
      <c r="AP138" s="311"/>
      <c r="AQ138" s="311"/>
      <c r="AR138" s="311"/>
    </row>
    <row r="139" spans="1:44" s="89" customFormat="1">
      <c r="A139" s="95"/>
      <c r="B139" s="1"/>
      <c r="C139" s="1"/>
      <c r="D139" s="1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</row>
    <row r="140" spans="1:44">
      <c r="A140" s="95"/>
      <c r="AL140" s="326"/>
      <c r="AM140" s="326"/>
      <c r="AN140" s="326"/>
      <c r="AO140" s="326"/>
      <c r="AP140" s="326"/>
      <c r="AQ140" s="326"/>
      <c r="AR140" s="326"/>
    </row>
    <row r="141" spans="1:44" s="308" customFormat="1">
      <c r="A141" s="95"/>
      <c r="B141" s="1"/>
      <c r="C141" s="1"/>
      <c r="D141" s="1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328"/>
      <c r="AM141" s="328"/>
      <c r="AN141" s="328"/>
      <c r="AO141" s="328"/>
      <c r="AP141" s="328"/>
      <c r="AQ141" s="328"/>
      <c r="AR141" s="328"/>
    </row>
    <row r="142" spans="1:44" s="98" customFormat="1">
      <c r="A142" s="1"/>
      <c r="B142" s="1"/>
      <c r="C142" s="1"/>
      <c r="D142" s="1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326"/>
      <c r="AM142" s="326"/>
      <c r="AN142" s="326"/>
      <c r="AO142" s="326"/>
      <c r="AP142" s="326"/>
      <c r="AQ142" s="326"/>
      <c r="AR142" s="326"/>
    </row>
    <row r="143" spans="1:44" s="311" customFormat="1">
      <c r="A143" s="3"/>
      <c r="B143" s="3"/>
      <c r="C143" s="3"/>
      <c r="D143" s="3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328"/>
      <c r="AM143" s="328"/>
      <c r="AN143" s="328"/>
      <c r="AO143" s="328"/>
      <c r="AP143" s="328"/>
      <c r="AQ143" s="328"/>
      <c r="AR143" s="328"/>
    </row>
    <row r="144" spans="1:44" s="311" customFormat="1">
      <c r="A144" s="1"/>
      <c r="B144" s="1"/>
      <c r="C144" s="1"/>
      <c r="D144" s="1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</row>
    <row r="145" spans="1:44" s="311" customFormat="1">
      <c r="A145" s="1"/>
      <c r="B145" s="1"/>
      <c r="C145" s="1"/>
      <c r="D145" s="1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0"/>
      <c r="AM145" s="90"/>
      <c r="AN145" s="90"/>
      <c r="AO145" s="90"/>
      <c r="AP145" s="90"/>
      <c r="AQ145" s="90"/>
      <c r="AR145" s="90"/>
    </row>
    <row r="146" spans="1:44" s="311" customFormat="1">
      <c r="A146" s="315"/>
      <c r="B146" s="1"/>
      <c r="C146" s="1"/>
      <c r="D146" s="1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332"/>
      <c r="AM146" s="329"/>
      <c r="AN146" s="329"/>
      <c r="AO146" s="329"/>
      <c r="AP146" s="329"/>
      <c r="AQ146" s="329"/>
      <c r="AR146" s="329"/>
    </row>
    <row r="147" spans="1:44">
      <c r="A147" s="316"/>
      <c r="AL147" s="93"/>
    </row>
    <row r="148" spans="1:44" s="326" customFormat="1">
      <c r="A148" s="315"/>
      <c r="B148" s="1"/>
      <c r="C148" s="1"/>
      <c r="D148" s="1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</row>
    <row r="149" spans="1:44" s="328" customFormat="1">
      <c r="A149" s="315"/>
      <c r="B149" s="1"/>
      <c r="C149" s="1"/>
      <c r="D149" s="1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119"/>
      <c r="AM149" s="95"/>
      <c r="AN149" s="95"/>
      <c r="AO149" s="95"/>
      <c r="AP149" s="95"/>
      <c r="AQ149" s="95"/>
      <c r="AR149" s="95"/>
    </row>
    <row r="150" spans="1:44" s="326" customFormat="1">
      <c r="A150" s="315"/>
      <c r="B150" s="1"/>
      <c r="C150" s="1"/>
      <c r="D150" s="1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321"/>
      <c r="AM150" s="321"/>
      <c r="AN150" s="321"/>
      <c r="AO150" s="321"/>
      <c r="AP150" s="321"/>
      <c r="AQ150" s="321"/>
      <c r="AR150" s="321"/>
    </row>
    <row r="151" spans="1:44" s="328" customFormat="1">
      <c r="A151" s="315"/>
      <c r="B151" s="1"/>
      <c r="C151" s="1"/>
      <c r="D151" s="1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8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</row>
    <row r="152" spans="1:44">
      <c r="A152" s="315"/>
      <c r="S152" s="98"/>
    </row>
    <row r="153" spans="1:44" s="308" customFormat="1">
      <c r="A153" s="315"/>
      <c r="B153" s="1"/>
      <c r="C153" s="1"/>
      <c r="D153" s="1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</row>
    <row r="154" spans="1:44" s="329" customFormat="1">
      <c r="A154" s="315"/>
      <c r="B154" s="1"/>
      <c r="C154" s="1"/>
      <c r="D154" s="1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</row>
    <row r="155" spans="1:44">
      <c r="A155" s="315"/>
    </row>
    <row r="156" spans="1:44">
      <c r="A156" s="315"/>
    </row>
    <row r="157" spans="1:44">
      <c r="A157" s="315"/>
    </row>
    <row r="158" spans="1:44" s="321" customFormat="1">
      <c r="A158" s="315"/>
      <c r="B158" s="1"/>
      <c r="C158" s="1"/>
      <c r="D158" s="1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</row>
    <row r="159" spans="1:44">
      <c r="A159" s="117"/>
    </row>
    <row r="160" spans="1:44">
      <c r="A160" s="320"/>
      <c r="AL160" s="93"/>
      <c r="AM160" s="93"/>
      <c r="AN160" s="93"/>
      <c r="AO160" s="93"/>
      <c r="AP160" s="93"/>
      <c r="AQ160" s="93"/>
      <c r="AR160" s="93"/>
    </row>
    <row r="161" spans="1:44">
      <c r="A161" s="117"/>
    </row>
    <row r="162" spans="1:44">
      <c r="A162" s="116"/>
    </row>
    <row r="163" spans="1:44">
      <c r="A163" s="315"/>
      <c r="AL163" s="308"/>
      <c r="AM163" s="308"/>
      <c r="AN163" s="308"/>
      <c r="AO163" s="308"/>
      <c r="AP163" s="308"/>
      <c r="AQ163" s="308"/>
      <c r="AR163" s="308"/>
    </row>
    <row r="164" spans="1:44">
      <c r="A164" s="315"/>
      <c r="AL164" s="308"/>
      <c r="AM164" s="308"/>
      <c r="AN164" s="308"/>
      <c r="AO164" s="308"/>
      <c r="AP164" s="308"/>
      <c r="AQ164" s="308"/>
      <c r="AR164" s="308"/>
    </row>
    <row r="165" spans="1:44">
      <c r="A165" s="315"/>
      <c r="AL165" s="311"/>
      <c r="AM165" s="311"/>
      <c r="AN165" s="311"/>
      <c r="AO165" s="311"/>
      <c r="AP165" s="311"/>
      <c r="AQ165" s="311"/>
      <c r="AR165" s="311"/>
    </row>
    <row r="166" spans="1:44">
      <c r="A166" s="315"/>
      <c r="AL166" s="311"/>
      <c r="AM166" s="311"/>
      <c r="AN166" s="311"/>
      <c r="AO166" s="311"/>
      <c r="AP166" s="311"/>
      <c r="AQ166" s="311"/>
      <c r="AR166" s="311"/>
    </row>
    <row r="167" spans="1:44">
      <c r="A167" s="321"/>
      <c r="AL167" s="308"/>
      <c r="AM167" s="308"/>
      <c r="AN167" s="308"/>
      <c r="AO167" s="308"/>
      <c r="AP167" s="308"/>
      <c r="AQ167" s="308"/>
      <c r="AR167" s="308"/>
    </row>
    <row r="168" spans="1:44" s="93" customFormat="1">
      <c r="A168" s="95"/>
      <c r="B168" s="1"/>
      <c r="C168" s="1"/>
      <c r="D168" s="1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8"/>
      <c r="AM168" s="98"/>
      <c r="AN168" s="98"/>
      <c r="AO168" s="98"/>
      <c r="AP168" s="98"/>
      <c r="AQ168" s="98"/>
      <c r="AR168" s="98"/>
    </row>
    <row r="169" spans="1:44">
      <c r="A169" s="95"/>
      <c r="AL169" s="311"/>
      <c r="AM169" s="311"/>
      <c r="AN169" s="311"/>
      <c r="AO169" s="311"/>
      <c r="AP169" s="311"/>
      <c r="AQ169" s="311"/>
      <c r="AR169" s="311"/>
    </row>
    <row r="170" spans="1:44">
      <c r="A170" s="95"/>
      <c r="AL170" s="308"/>
      <c r="AM170" s="308"/>
      <c r="AN170" s="308"/>
      <c r="AO170" s="308"/>
      <c r="AP170" s="308"/>
      <c r="AQ170" s="308"/>
      <c r="AR170" s="308"/>
    </row>
    <row r="171" spans="1:44" s="308" customFormat="1">
      <c r="A171" s="95"/>
      <c r="B171" s="1"/>
      <c r="C171" s="1"/>
      <c r="D171" s="1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</row>
    <row r="172" spans="1:44" s="308" customFormat="1">
      <c r="A172" s="95"/>
      <c r="B172" s="1"/>
      <c r="C172" s="1"/>
      <c r="D172" s="1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311"/>
      <c r="AM172" s="311"/>
      <c r="AN172" s="311"/>
      <c r="AO172" s="311"/>
      <c r="AP172" s="311"/>
      <c r="AQ172" s="311"/>
      <c r="AR172" s="311"/>
    </row>
    <row r="173" spans="1:44" s="311" customFormat="1">
      <c r="A173" s="95"/>
      <c r="B173" s="1"/>
      <c r="C173" s="1"/>
      <c r="D173" s="1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8"/>
      <c r="AM173" s="98"/>
      <c r="AN173" s="98"/>
      <c r="AO173" s="98"/>
      <c r="AP173" s="98"/>
      <c r="AQ173" s="98"/>
      <c r="AR173" s="98"/>
    </row>
    <row r="174" spans="1:44" s="311" customFormat="1">
      <c r="A174" s="95"/>
      <c r="B174" s="1"/>
      <c r="C174" s="1"/>
      <c r="D174" s="1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</row>
    <row r="175" spans="1:44" s="308" customFormat="1">
      <c r="A175" s="95"/>
      <c r="B175" s="1"/>
      <c r="C175" s="1"/>
      <c r="D175" s="1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8"/>
      <c r="AM175" s="98"/>
      <c r="AN175" s="98"/>
      <c r="AO175" s="98"/>
      <c r="AP175" s="98"/>
      <c r="AQ175" s="98"/>
      <c r="AR175" s="98"/>
    </row>
    <row r="176" spans="1:44" s="98" customFormat="1">
      <c r="A176" s="315"/>
      <c r="B176" s="1"/>
      <c r="C176" s="1"/>
      <c r="D176" s="1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308"/>
      <c r="AM176" s="308"/>
      <c r="AN176" s="308"/>
      <c r="AO176" s="308"/>
      <c r="AP176" s="308"/>
      <c r="AQ176" s="308"/>
      <c r="AR176" s="308"/>
    </row>
    <row r="177" spans="1:44" s="311" customFormat="1">
      <c r="A177" s="315"/>
      <c r="B177" s="1"/>
      <c r="C177" s="1"/>
      <c r="D177" s="1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308"/>
      <c r="AM177" s="308"/>
      <c r="AN177" s="308"/>
      <c r="AO177" s="308"/>
      <c r="AP177" s="308"/>
      <c r="AQ177" s="308"/>
      <c r="AR177" s="308"/>
    </row>
    <row r="178" spans="1:44" s="308" customFormat="1">
      <c r="A178" s="1"/>
      <c r="B178" s="1"/>
      <c r="C178" s="1"/>
      <c r="D178" s="1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311"/>
      <c r="AM178" s="311"/>
      <c r="AN178" s="311"/>
      <c r="AO178" s="311"/>
      <c r="AP178" s="311"/>
      <c r="AQ178" s="311"/>
      <c r="AR178" s="311"/>
    </row>
    <row r="179" spans="1:44" s="308" customFormat="1">
      <c r="A179" s="316"/>
      <c r="B179" s="1"/>
      <c r="C179" s="1"/>
      <c r="D179" s="1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8"/>
      <c r="AM179" s="98"/>
      <c r="AN179" s="98"/>
      <c r="AO179" s="98"/>
      <c r="AP179" s="98"/>
      <c r="AQ179" s="98"/>
      <c r="AR179" s="98"/>
    </row>
    <row r="180" spans="1:44" s="311" customFormat="1">
      <c r="A180" s="315"/>
      <c r="B180" s="1"/>
      <c r="C180" s="1"/>
      <c r="D180" s="1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308"/>
      <c r="AM180" s="308"/>
      <c r="AN180" s="308"/>
      <c r="AO180" s="308"/>
      <c r="AP180" s="308"/>
      <c r="AQ180" s="308"/>
      <c r="AR180" s="308"/>
    </row>
    <row r="181" spans="1:44" s="98" customFormat="1">
      <c r="A181" s="315"/>
      <c r="B181" s="1"/>
      <c r="C181" s="1"/>
      <c r="D181" s="1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311"/>
      <c r="AM181" s="311"/>
      <c r="AN181" s="311"/>
      <c r="AO181" s="311"/>
      <c r="AP181" s="311"/>
      <c r="AQ181" s="311"/>
      <c r="AR181" s="311"/>
    </row>
    <row r="182" spans="1:44" s="311" customFormat="1">
      <c r="A182" s="315"/>
      <c r="B182" s="1"/>
      <c r="C182" s="1"/>
      <c r="D182" s="1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330"/>
      <c r="AM182" s="330"/>
      <c r="AN182" s="330"/>
      <c r="AO182" s="330"/>
      <c r="AP182" s="330"/>
      <c r="AQ182" s="330"/>
      <c r="AR182" s="330"/>
    </row>
    <row r="183" spans="1:44" s="98" customFormat="1">
      <c r="A183" s="315"/>
      <c r="B183" s="1"/>
      <c r="C183" s="1"/>
      <c r="D183" s="1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330"/>
      <c r="AM183" s="330"/>
      <c r="AN183" s="330"/>
      <c r="AO183" s="330"/>
      <c r="AP183" s="330"/>
      <c r="AQ183" s="330"/>
      <c r="AR183" s="330"/>
    </row>
    <row r="184" spans="1:44" s="308" customFormat="1">
      <c r="A184" s="315"/>
      <c r="B184" s="1"/>
      <c r="C184" s="1"/>
      <c r="D184" s="1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8"/>
      <c r="AM184" s="98"/>
      <c r="AN184" s="98"/>
      <c r="AO184" s="98"/>
      <c r="AP184" s="98"/>
      <c r="AQ184" s="98"/>
      <c r="AR184" s="98"/>
    </row>
    <row r="185" spans="1:44" s="308" customFormat="1">
      <c r="A185" s="315"/>
      <c r="B185" s="1"/>
      <c r="C185" s="1"/>
      <c r="D185" s="1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0"/>
      <c r="AM185" s="90"/>
      <c r="AN185" s="90"/>
      <c r="AO185" s="90"/>
      <c r="AP185" s="90"/>
      <c r="AQ185" s="90"/>
      <c r="AR185" s="90"/>
    </row>
    <row r="186" spans="1:44" s="311" customFormat="1">
      <c r="A186" s="315"/>
      <c r="B186" s="1"/>
      <c r="C186" s="1"/>
      <c r="D186" s="1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315"/>
      <c r="AM186" s="315"/>
      <c r="AN186" s="315"/>
      <c r="AO186" s="315"/>
      <c r="AP186" s="315"/>
      <c r="AQ186" s="315"/>
      <c r="AR186" s="315"/>
    </row>
    <row r="187" spans="1:44" s="98" customFormat="1">
      <c r="A187" s="315"/>
      <c r="B187" s="1"/>
      <c r="C187" s="1"/>
      <c r="D187" s="1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308"/>
      <c r="AM187" s="308"/>
      <c r="AN187" s="308"/>
      <c r="AO187" s="308"/>
      <c r="AP187" s="308"/>
      <c r="AQ187" s="308"/>
      <c r="AR187" s="308"/>
    </row>
    <row r="188" spans="1:44" s="308" customFormat="1">
      <c r="A188" s="315"/>
      <c r="B188" s="1"/>
      <c r="C188" s="1"/>
      <c r="D188" s="1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</row>
    <row r="189" spans="1:44" s="311" customFormat="1">
      <c r="A189" s="315"/>
      <c r="B189" s="1"/>
      <c r="C189" s="1"/>
      <c r="D189" s="1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3"/>
      <c r="AM189" s="93"/>
      <c r="AN189" s="93"/>
      <c r="AO189" s="93"/>
      <c r="AP189" s="93"/>
      <c r="AQ189" s="93"/>
      <c r="AR189" s="93"/>
    </row>
    <row r="190" spans="1:44" s="330" customFormat="1">
      <c r="A190" s="315"/>
      <c r="B190" s="1"/>
      <c r="C190" s="1"/>
      <c r="D190" s="1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1"/>
      <c r="AM190" s="1"/>
      <c r="AN190" s="1"/>
      <c r="AO190" s="1"/>
      <c r="AP190" s="1"/>
      <c r="AQ190" s="1"/>
      <c r="AR190" s="1"/>
    </row>
    <row r="191" spans="1:44" s="330" customFormat="1">
      <c r="A191" s="117"/>
      <c r="B191" s="1"/>
      <c r="C191" s="1"/>
      <c r="D191" s="1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116"/>
      <c r="AM191" s="1"/>
      <c r="AN191" s="1"/>
      <c r="AO191" s="1"/>
      <c r="AP191" s="1"/>
      <c r="AQ191" s="1"/>
      <c r="AR191" s="1"/>
    </row>
    <row r="192" spans="1:44" s="98" customFormat="1">
      <c r="A192" s="320"/>
      <c r="B192" s="1"/>
      <c r="C192" s="1"/>
      <c r="D192" s="1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409"/>
      <c r="AM192" s="5"/>
      <c r="AN192" s="5"/>
      <c r="AO192" s="5"/>
      <c r="AP192" s="5"/>
      <c r="AQ192" s="5"/>
      <c r="AR192" s="5"/>
    </row>
    <row r="193" spans="1:44" s="308" customFormat="1">
      <c r="A193" s="117"/>
      <c r="B193" s="1"/>
      <c r="C193" s="1"/>
      <c r="D193" s="1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116"/>
      <c r="AM193" s="1"/>
      <c r="AN193" s="1"/>
      <c r="AO193" s="1"/>
      <c r="AP193" s="1"/>
      <c r="AQ193" s="1"/>
      <c r="AR193" s="1"/>
    </row>
    <row r="194" spans="1:44" s="315" customFormat="1">
      <c r="A194" s="116"/>
      <c r="B194" s="1"/>
      <c r="C194" s="1"/>
      <c r="D194" s="1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116"/>
      <c r="AM194" s="95"/>
      <c r="AN194" s="95"/>
      <c r="AO194" s="95"/>
      <c r="AP194" s="95"/>
      <c r="AQ194" s="95"/>
      <c r="AR194" s="95"/>
    </row>
    <row r="195" spans="1:44" s="308" customFormat="1">
      <c r="A195" s="315"/>
      <c r="B195" s="1"/>
      <c r="C195" s="1"/>
      <c r="D195" s="1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1"/>
      <c r="AM195" s="95"/>
      <c r="AN195" s="95"/>
      <c r="AO195" s="95"/>
      <c r="AP195" s="95"/>
      <c r="AQ195" s="95"/>
      <c r="AR195" s="95"/>
    </row>
    <row r="196" spans="1:44" s="308" customFormat="1">
      <c r="A196" s="315"/>
      <c r="B196" s="1"/>
      <c r="C196" s="1"/>
      <c r="D196" s="1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1"/>
      <c r="AM196" s="95"/>
      <c r="AN196" s="95"/>
      <c r="AO196" s="95"/>
      <c r="AP196" s="95"/>
      <c r="AQ196" s="95"/>
      <c r="AR196" s="95"/>
    </row>
    <row r="197" spans="1:44" s="93" customFormat="1">
      <c r="A197" s="3"/>
      <c r="B197" s="3"/>
      <c r="C197" s="3"/>
      <c r="D197" s="3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1"/>
      <c r="AM197" s="95"/>
      <c r="AN197" s="95"/>
      <c r="AO197" s="95"/>
      <c r="AP197" s="95"/>
      <c r="AQ197" s="95"/>
      <c r="AR197" s="95"/>
    </row>
    <row r="198" spans="1:44" s="1" customFormat="1"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M198" s="95"/>
      <c r="AN198" s="95"/>
      <c r="AO198" s="95"/>
      <c r="AP198" s="95"/>
      <c r="AQ198" s="95"/>
      <c r="AR198" s="95"/>
    </row>
    <row r="199" spans="1:44" s="1" customFormat="1"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M199" s="95"/>
      <c r="AN199" s="95"/>
      <c r="AO199" s="95"/>
      <c r="AP199" s="95"/>
      <c r="AQ199" s="95"/>
      <c r="AR199" s="95"/>
    </row>
    <row r="200" spans="1:44" s="5" customFormat="1"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1"/>
      <c r="AM200" s="95"/>
      <c r="AN200" s="95"/>
      <c r="AO200" s="95"/>
      <c r="AP200" s="95"/>
      <c r="AQ200" s="95"/>
      <c r="AR200" s="95"/>
    </row>
    <row r="201" spans="1:44" s="1" customFormat="1"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M201" s="95"/>
      <c r="AN201" s="95"/>
      <c r="AO201" s="95"/>
      <c r="AP201" s="95"/>
      <c r="AQ201" s="95"/>
      <c r="AR201" s="95"/>
    </row>
    <row r="202" spans="1:44">
      <c r="AL202" s="1"/>
    </row>
    <row r="203" spans="1:44">
      <c r="AL203" s="1"/>
    </row>
    <row r="204" spans="1:44">
      <c r="AL204" s="407" t="s">
        <v>508</v>
      </c>
    </row>
    <row r="205" spans="1:44">
      <c r="AL205" s="318"/>
    </row>
    <row r="206" spans="1:44">
      <c r="AL206" s="1"/>
    </row>
    <row r="207" spans="1:44">
      <c r="AL207" s="1"/>
    </row>
    <row r="208" spans="1:44">
      <c r="AL208" s="311"/>
      <c r="AM208" s="311"/>
      <c r="AN208" s="311"/>
      <c r="AO208" s="311"/>
      <c r="AP208" s="311"/>
      <c r="AQ208" s="311"/>
      <c r="AR208" s="311"/>
    </row>
    <row r="209" spans="1:44">
      <c r="AL209" s="98"/>
      <c r="AM209" s="98"/>
      <c r="AN209" s="98"/>
      <c r="AO209" s="98"/>
      <c r="AP209" s="98"/>
      <c r="AQ209" s="98"/>
      <c r="AR209" s="98"/>
    </row>
    <row r="210" spans="1:44">
      <c r="AL210" s="308"/>
      <c r="AM210" s="308"/>
      <c r="AN210" s="308"/>
      <c r="AO210" s="308"/>
      <c r="AP210" s="308"/>
      <c r="AQ210" s="308"/>
      <c r="AR210" s="308"/>
    </row>
    <row r="211" spans="1:44">
      <c r="AL211" s="311"/>
      <c r="AM211" s="311"/>
      <c r="AN211" s="311"/>
      <c r="AO211" s="311"/>
      <c r="AP211" s="311"/>
      <c r="AQ211" s="311"/>
      <c r="AR211" s="311"/>
    </row>
    <row r="212" spans="1:44">
      <c r="AL212" s="330"/>
      <c r="AM212" s="330"/>
      <c r="AN212" s="330"/>
      <c r="AO212" s="330"/>
      <c r="AP212" s="330"/>
      <c r="AQ212" s="330"/>
      <c r="AR212" s="330"/>
    </row>
    <row r="213" spans="1:44">
      <c r="AL213" s="330"/>
      <c r="AM213" s="330"/>
      <c r="AN213" s="330"/>
      <c r="AO213" s="330"/>
      <c r="AP213" s="330"/>
      <c r="AQ213" s="330"/>
      <c r="AR213" s="330"/>
    </row>
    <row r="214" spans="1:44">
      <c r="AL214" s="98"/>
      <c r="AM214" s="98"/>
      <c r="AN214" s="98"/>
      <c r="AO214" s="98"/>
      <c r="AP214" s="98"/>
      <c r="AQ214" s="98"/>
      <c r="AR214" s="98"/>
    </row>
    <row r="215" spans="1:44">
      <c r="AL215" s="90"/>
      <c r="AM215" s="90"/>
      <c r="AN215" s="90"/>
      <c r="AO215" s="90"/>
      <c r="AP215" s="90"/>
      <c r="AQ215" s="90"/>
      <c r="AR215" s="90"/>
    </row>
    <row r="216" spans="1:44" s="311" customFormat="1">
      <c r="A216" s="315"/>
      <c r="B216" s="1"/>
      <c r="C216" s="1"/>
      <c r="D216" s="1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315"/>
      <c r="AM216" s="315"/>
      <c r="AN216" s="315"/>
      <c r="AO216" s="315"/>
      <c r="AP216" s="315"/>
      <c r="AQ216" s="315"/>
      <c r="AR216" s="315"/>
    </row>
    <row r="217" spans="1:44" s="98" customFormat="1">
      <c r="A217" s="315"/>
      <c r="B217" s="1"/>
      <c r="C217" s="1"/>
      <c r="D217" s="1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308"/>
      <c r="AM217" s="308"/>
      <c r="AN217" s="308"/>
      <c r="AO217" s="308"/>
      <c r="AP217" s="308"/>
      <c r="AQ217" s="308"/>
      <c r="AR217" s="308"/>
    </row>
    <row r="218" spans="1:44" s="308" customFormat="1">
      <c r="A218" s="315"/>
      <c r="B218" s="1"/>
      <c r="C218" s="1"/>
      <c r="D218" s="1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</row>
    <row r="219" spans="1:44" s="311" customFormat="1">
      <c r="A219" s="315"/>
      <c r="B219" s="1"/>
      <c r="C219" s="1"/>
      <c r="D219" s="1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</row>
    <row r="220" spans="1:44" s="330" customFormat="1">
      <c r="A220" s="315"/>
      <c r="B220" s="1"/>
      <c r="C220" s="1"/>
      <c r="D220" s="1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</row>
    <row r="221" spans="1:44" s="330" customFormat="1">
      <c r="A221" s="117"/>
      <c r="B221" s="1"/>
      <c r="C221" s="1"/>
      <c r="D221" s="1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3"/>
      <c r="AM221" s="93"/>
      <c r="AN221" s="93"/>
      <c r="AO221" s="93"/>
      <c r="AP221" s="93"/>
      <c r="AQ221" s="93"/>
      <c r="AR221" s="93"/>
    </row>
    <row r="222" spans="1:44" s="98" customFormat="1">
      <c r="A222" s="320"/>
      <c r="B222" s="1"/>
      <c r="C222" s="1"/>
      <c r="D222" s="1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1"/>
      <c r="AM222" s="1"/>
      <c r="AN222" s="1"/>
      <c r="AO222" s="1"/>
      <c r="AP222" s="1"/>
      <c r="AQ222" s="1"/>
      <c r="AR222" s="1"/>
    </row>
    <row r="223" spans="1:44" s="308" customFormat="1">
      <c r="A223" s="117"/>
      <c r="B223" s="1"/>
      <c r="C223" s="1"/>
      <c r="D223" s="1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3"/>
      <c r="AM223" s="3"/>
      <c r="AN223" s="3"/>
      <c r="AO223" s="3"/>
      <c r="AP223" s="3"/>
      <c r="AQ223" s="3"/>
      <c r="AR223" s="3"/>
    </row>
    <row r="224" spans="1:44" s="315" customFormat="1">
      <c r="A224" s="116"/>
      <c r="B224" s="1"/>
      <c r="C224" s="1"/>
      <c r="D224" s="1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1"/>
      <c r="AM224" s="1"/>
      <c r="AN224" s="1"/>
      <c r="AO224" s="1"/>
      <c r="AP224" s="1"/>
      <c r="AQ224" s="1"/>
      <c r="AR224" s="1"/>
    </row>
    <row r="225" spans="1:44" s="308" customFormat="1">
      <c r="A225" s="315"/>
      <c r="B225" s="1"/>
      <c r="C225" s="1"/>
      <c r="D225" s="1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3"/>
      <c r="AM225" s="3"/>
      <c r="AN225" s="3"/>
      <c r="AO225" s="3"/>
      <c r="AP225" s="3"/>
      <c r="AQ225" s="3"/>
      <c r="AR225" s="3"/>
    </row>
    <row r="226" spans="1:44" s="308" customFormat="1">
      <c r="A226" s="315"/>
      <c r="B226" s="1"/>
      <c r="C226" s="1"/>
      <c r="D226" s="1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1"/>
      <c r="AM226" s="1"/>
      <c r="AN226" s="1"/>
      <c r="AO226" s="1"/>
      <c r="AP226" s="1"/>
      <c r="AQ226" s="1"/>
      <c r="AR226" s="1"/>
    </row>
    <row r="229" spans="1:44" s="93" customFormat="1">
      <c r="A229" s="1"/>
      <c r="B229" s="1"/>
      <c r="C229" s="1"/>
      <c r="D229" s="1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</row>
    <row r="230" spans="1:44" s="1" customFormat="1"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</row>
    <row r="231" spans="1:44" s="3" customFormat="1">
      <c r="A231" s="1"/>
      <c r="B231" s="1"/>
      <c r="C231" s="1"/>
      <c r="D231" s="1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</row>
    <row r="232" spans="1:44" s="1" customFormat="1"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</row>
    <row r="233" spans="1:44" s="3" customFormat="1"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</row>
    <row r="234" spans="1:44" s="1" customFormat="1"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AC152"/>
  <sheetViews>
    <sheetView zoomScale="56" workbookViewId="0"/>
  </sheetViews>
  <sheetFormatPr baseColWidth="10" defaultColWidth="9" defaultRowHeight="16"/>
  <cols>
    <col min="1" max="1" width="9" style="126"/>
    <col min="2" max="2" width="31.5" style="139" customWidth="1"/>
    <col min="3" max="3" width="50.5" style="139" customWidth="1"/>
    <col min="4" max="5" width="9.5" style="126" hidden="1" customWidth="1"/>
    <col min="6" max="6" width="10.83203125" style="126" customWidth="1"/>
    <col min="7" max="7" width="10" style="126" customWidth="1"/>
    <col min="8" max="8" width="14.5" style="126" customWidth="1"/>
    <col min="9" max="9" width="13.33203125" style="126" customWidth="1"/>
    <col min="10" max="18" width="14.5" style="126" customWidth="1"/>
    <col min="19" max="29" width="14.83203125" style="126" customWidth="1"/>
    <col min="30" max="16384" width="9" style="126"/>
  </cols>
  <sheetData>
    <row r="4" spans="2:29" s="138" customFormat="1">
      <c r="B4" s="134"/>
      <c r="C4" s="135"/>
      <c r="D4" s="136"/>
      <c r="E4" s="136"/>
      <c r="F4" s="136"/>
      <c r="G4" s="136" t="s">
        <v>488</v>
      </c>
      <c r="H4" s="136" t="s">
        <v>171</v>
      </c>
      <c r="I4" s="136" t="s">
        <v>0</v>
      </c>
      <c r="J4" s="136" t="s">
        <v>1</v>
      </c>
      <c r="K4" s="136" t="s">
        <v>2</v>
      </c>
      <c r="L4" s="136" t="s">
        <v>99</v>
      </c>
      <c r="M4" s="136" t="s">
        <v>100</v>
      </c>
      <c r="N4" s="136" t="s">
        <v>101</v>
      </c>
      <c r="O4" s="136" t="s">
        <v>102</v>
      </c>
      <c r="P4" s="136" t="s">
        <v>103</v>
      </c>
      <c r="Q4" s="136" t="s">
        <v>104</v>
      </c>
      <c r="R4" s="136" t="s">
        <v>105</v>
      </c>
      <c r="S4" s="136" t="s">
        <v>106</v>
      </c>
      <c r="T4" s="137">
        <v>2031</v>
      </c>
      <c r="U4" s="137">
        <v>2032</v>
      </c>
      <c r="V4" s="137">
        <v>2033</v>
      </c>
      <c r="W4" s="137">
        <v>2034</v>
      </c>
      <c r="X4" s="137">
        <v>2035</v>
      </c>
      <c r="Y4" s="137">
        <v>2036</v>
      </c>
      <c r="Z4" s="137">
        <v>2037</v>
      </c>
      <c r="AA4" s="137">
        <v>2038</v>
      </c>
      <c r="AB4" s="137">
        <v>2039</v>
      </c>
      <c r="AC4" s="137">
        <v>2040</v>
      </c>
    </row>
    <row r="5" spans="2:29" ht="19">
      <c r="B5" s="139" t="s">
        <v>509</v>
      </c>
      <c r="C5" s="140" t="s">
        <v>510</v>
      </c>
      <c r="D5" s="141"/>
      <c r="E5" s="141"/>
      <c r="F5" s="141"/>
      <c r="G5" s="141"/>
      <c r="H5" s="142"/>
      <c r="I5" s="142"/>
      <c r="J5" s="142"/>
      <c r="K5" s="142"/>
      <c r="L5" s="142">
        <v>0.3</v>
      </c>
      <c r="M5" s="142">
        <v>0.25</v>
      </c>
      <c r="N5" s="142">
        <v>0.2</v>
      </c>
      <c r="O5" s="142">
        <v>0.15</v>
      </c>
      <c r="P5" s="142">
        <v>0.1</v>
      </c>
      <c r="Q5" s="142">
        <v>0.1</v>
      </c>
      <c r="R5" s="142">
        <v>0.1</v>
      </c>
      <c r="S5" s="142">
        <v>0.1</v>
      </c>
      <c r="T5" s="142">
        <v>0.09</v>
      </c>
      <c r="U5" s="142">
        <v>0.08</v>
      </c>
      <c r="V5" s="142">
        <v>7.0000000000000007E-2</v>
      </c>
      <c r="W5" s="142">
        <v>0.06</v>
      </c>
      <c r="X5" s="142">
        <v>0.05</v>
      </c>
      <c r="Y5" s="142">
        <v>0.04</v>
      </c>
      <c r="Z5" s="142">
        <v>0.03</v>
      </c>
      <c r="AA5" s="142">
        <v>0.02</v>
      </c>
      <c r="AB5" s="142">
        <v>0.01</v>
      </c>
      <c r="AC5" s="142">
        <v>0.01</v>
      </c>
    </row>
    <row r="6" spans="2:29" ht="19">
      <c r="B6" s="169" t="s">
        <v>511</v>
      </c>
      <c r="C6" s="140" t="s">
        <v>168</v>
      </c>
      <c r="D6" s="141"/>
      <c r="E6" s="141"/>
      <c r="F6" s="141"/>
      <c r="G6" s="141" t="e">
        <f>-ISBSCF!#REF!/ISBSCF!#REF!</f>
        <v>#REF!</v>
      </c>
      <c r="H6" s="141" t="e">
        <f>-ISBSCF!D11/ISBSCF!D6</f>
        <v>#DIV/0!</v>
      </c>
      <c r="I6" s="142">
        <v>30</v>
      </c>
      <c r="J6" s="142">
        <v>30</v>
      </c>
      <c r="K6" s="142">
        <v>2.5</v>
      </c>
      <c r="L6" s="142">
        <v>1.9</v>
      </c>
      <c r="M6" s="142">
        <v>1.3</v>
      </c>
      <c r="N6" s="142">
        <v>0.85</v>
      </c>
      <c r="O6" s="142">
        <v>0.65</v>
      </c>
      <c r="P6" s="142">
        <v>0.55000000000000004</v>
      </c>
      <c r="Q6" s="142">
        <v>0.5</v>
      </c>
      <c r="R6" s="142">
        <v>0.3</v>
      </c>
      <c r="S6" s="142">
        <v>0.25</v>
      </c>
      <c r="T6" s="142">
        <v>0.25</v>
      </c>
      <c r="U6" s="142">
        <v>0.25</v>
      </c>
      <c r="V6" s="142">
        <v>0.25</v>
      </c>
      <c r="W6" s="142">
        <v>0.25</v>
      </c>
      <c r="X6" s="142">
        <v>0.25</v>
      </c>
      <c r="Y6" s="142">
        <v>0.25</v>
      </c>
      <c r="Z6" s="142">
        <v>0.25</v>
      </c>
      <c r="AA6" s="142">
        <v>0.25</v>
      </c>
      <c r="AB6" s="142">
        <v>0.25</v>
      </c>
      <c r="AC6" s="142">
        <v>0.25</v>
      </c>
    </row>
    <row r="7" spans="2:29" ht="17" customHeight="1">
      <c r="B7" s="139" t="s">
        <v>512</v>
      </c>
      <c r="C7" s="140" t="s">
        <v>169</v>
      </c>
      <c r="D7" s="141"/>
      <c r="E7" s="141"/>
      <c r="F7" s="141"/>
      <c r="G7" s="141" t="e">
        <f>-ISBSCF!#REF!/ISBSCF!#REF!</f>
        <v>#REF!</v>
      </c>
      <c r="H7" s="141" t="e">
        <f>-ISBSCF!D12/ISBSCF!D6</f>
        <v>#DIV/0!</v>
      </c>
      <c r="I7" s="142"/>
      <c r="J7" s="142"/>
      <c r="K7" s="142"/>
      <c r="L7" s="142">
        <v>0.15</v>
      </c>
      <c r="M7" s="142">
        <v>0.15</v>
      </c>
      <c r="N7" s="142">
        <v>0.15</v>
      </c>
      <c r="O7" s="142">
        <v>0.15</v>
      </c>
      <c r="P7" s="142">
        <v>0.15</v>
      </c>
      <c r="Q7" s="142">
        <v>0.15</v>
      </c>
      <c r="R7" s="142">
        <v>0.15</v>
      </c>
      <c r="S7" s="142">
        <v>0.15</v>
      </c>
      <c r="T7" s="142">
        <v>0.15</v>
      </c>
      <c r="U7" s="142">
        <v>0.15</v>
      </c>
      <c r="V7" s="142">
        <v>0.15</v>
      </c>
      <c r="W7" s="142">
        <v>0.15</v>
      </c>
      <c r="X7" s="142">
        <v>0.15</v>
      </c>
      <c r="Y7" s="142">
        <v>0.15</v>
      </c>
      <c r="Z7" s="142">
        <v>0.15</v>
      </c>
      <c r="AA7" s="142">
        <v>0.15</v>
      </c>
      <c r="AB7" s="142">
        <v>0.15</v>
      </c>
      <c r="AC7" s="142">
        <v>0.15</v>
      </c>
    </row>
    <row r="8" spans="2:29" ht="19">
      <c r="B8" s="143" t="s">
        <v>513</v>
      </c>
      <c r="C8" s="140" t="s">
        <v>514</v>
      </c>
      <c r="D8" s="141"/>
      <c r="E8" s="141"/>
      <c r="F8" s="141"/>
      <c r="G8" s="141" t="e">
        <f>ISBSCF!#REF!/ISBSCF!#REF!</f>
        <v>#REF!</v>
      </c>
      <c r="H8" s="141">
        <f>ISBSCF!D23/ISBSCF!D22</f>
        <v>3.3441161042140231E-3</v>
      </c>
      <c r="I8" s="144">
        <f t="shared" ref="I8:AC8" si="0">H8</f>
        <v>3.3441161042140231E-3</v>
      </c>
      <c r="J8" s="144">
        <f t="shared" si="0"/>
        <v>3.3441161042140231E-3</v>
      </c>
      <c r="K8" s="144">
        <f t="shared" si="0"/>
        <v>3.3441161042140231E-3</v>
      </c>
      <c r="L8" s="144">
        <f t="shared" si="0"/>
        <v>3.3441161042140231E-3</v>
      </c>
      <c r="M8" s="144">
        <f t="shared" si="0"/>
        <v>3.3441161042140231E-3</v>
      </c>
      <c r="N8" s="144">
        <f t="shared" si="0"/>
        <v>3.3441161042140231E-3</v>
      </c>
      <c r="O8" s="144">
        <f t="shared" si="0"/>
        <v>3.3441161042140231E-3</v>
      </c>
      <c r="P8" s="144">
        <f t="shared" si="0"/>
        <v>3.3441161042140231E-3</v>
      </c>
      <c r="Q8" s="144">
        <f t="shared" si="0"/>
        <v>3.3441161042140231E-3</v>
      </c>
      <c r="R8" s="144">
        <f t="shared" si="0"/>
        <v>3.3441161042140231E-3</v>
      </c>
      <c r="S8" s="144">
        <f t="shared" si="0"/>
        <v>3.3441161042140231E-3</v>
      </c>
      <c r="T8" s="144">
        <f t="shared" si="0"/>
        <v>3.3441161042140231E-3</v>
      </c>
      <c r="U8" s="144">
        <f t="shared" si="0"/>
        <v>3.3441161042140231E-3</v>
      </c>
      <c r="V8" s="144">
        <f t="shared" si="0"/>
        <v>3.3441161042140231E-3</v>
      </c>
      <c r="W8" s="144">
        <f t="shared" si="0"/>
        <v>3.3441161042140231E-3</v>
      </c>
      <c r="X8" s="144">
        <f t="shared" si="0"/>
        <v>3.3441161042140231E-3</v>
      </c>
      <c r="Y8" s="144">
        <f t="shared" si="0"/>
        <v>3.3441161042140231E-3</v>
      </c>
      <c r="Z8" s="144">
        <f t="shared" si="0"/>
        <v>3.3441161042140231E-3</v>
      </c>
      <c r="AA8" s="144">
        <f t="shared" si="0"/>
        <v>3.3441161042140231E-3</v>
      </c>
      <c r="AB8" s="144">
        <f t="shared" si="0"/>
        <v>3.3441161042140231E-3</v>
      </c>
      <c r="AC8" s="144">
        <f t="shared" si="0"/>
        <v>3.3441161042140231E-3</v>
      </c>
    </row>
    <row r="12" spans="2:29">
      <c r="C12" s="139" t="e">
        <v>#NAME?</v>
      </c>
      <c r="D12" s="145"/>
      <c r="E12" s="145"/>
      <c r="F12" s="145"/>
      <c r="G12" s="297"/>
      <c r="H12" s="297">
        <v>0</v>
      </c>
      <c r="I12" s="145">
        <f t="shared" ref="I12:AC13" si="1">H12+I17*I$44*I$49</f>
        <v>0</v>
      </c>
      <c r="J12" s="145">
        <f t="shared" si="1"/>
        <v>0</v>
      </c>
      <c r="K12" s="145">
        <f t="shared" si="1"/>
        <v>0</v>
      </c>
      <c r="L12" s="145">
        <f t="shared" si="1"/>
        <v>0</v>
      </c>
      <c r="M12" s="145">
        <f t="shared" si="1"/>
        <v>0</v>
      </c>
      <c r="N12" s="145">
        <f t="shared" si="1"/>
        <v>0</v>
      </c>
      <c r="O12" s="145">
        <f t="shared" si="1"/>
        <v>0</v>
      </c>
      <c r="P12" s="145">
        <f t="shared" si="1"/>
        <v>0</v>
      </c>
      <c r="Q12" s="145">
        <f t="shared" si="1"/>
        <v>0</v>
      </c>
      <c r="R12" s="145">
        <f t="shared" si="1"/>
        <v>0</v>
      </c>
      <c r="S12" s="145">
        <f t="shared" si="1"/>
        <v>0</v>
      </c>
      <c r="T12" s="145">
        <f t="shared" si="1"/>
        <v>0</v>
      </c>
      <c r="U12" s="145">
        <f t="shared" si="1"/>
        <v>0</v>
      </c>
      <c r="V12" s="145">
        <f t="shared" si="1"/>
        <v>0</v>
      </c>
      <c r="W12" s="145">
        <f t="shared" si="1"/>
        <v>0</v>
      </c>
      <c r="X12" s="145">
        <f t="shared" si="1"/>
        <v>0</v>
      </c>
      <c r="Y12" s="145">
        <f t="shared" si="1"/>
        <v>0</v>
      </c>
      <c r="Z12" s="145">
        <f t="shared" si="1"/>
        <v>0</v>
      </c>
      <c r="AA12" s="145">
        <f t="shared" si="1"/>
        <v>0</v>
      </c>
      <c r="AB12" s="145">
        <f t="shared" si="1"/>
        <v>0</v>
      </c>
      <c r="AC12" s="145">
        <f t="shared" si="1"/>
        <v>0</v>
      </c>
    </row>
    <row r="13" spans="2:29">
      <c r="C13" s="139" t="e">
        <v>#NAME?</v>
      </c>
      <c r="D13" s="145"/>
      <c r="E13" s="145"/>
      <c r="F13" s="145"/>
      <c r="G13" s="297"/>
      <c r="H13" s="297">
        <v>0</v>
      </c>
      <c r="I13" s="145">
        <f t="shared" si="1"/>
        <v>0</v>
      </c>
      <c r="J13" s="145">
        <f t="shared" si="1"/>
        <v>0</v>
      </c>
      <c r="K13" s="145">
        <f t="shared" si="1"/>
        <v>0</v>
      </c>
      <c r="L13" s="145">
        <f t="shared" si="1"/>
        <v>0</v>
      </c>
      <c r="M13" s="145">
        <f t="shared" si="1"/>
        <v>0</v>
      </c>
      <c r="N13" s="145">
        <f t="shared" si="1"/>
        <v>0</v>
      </c>
      <c r="O13" s="145">
        <f t="shared" si="1"/>
        <v>0</v>
      </c>
      <c r="P13" s="145">
        <f t="shared" si="1"/>
        <v>0</v>
      </c>
      <c r="Q13" s="145">
        <f t="shared" si="1"/>
        <v>0</v>
      </c>
      <c r="R13" s="145">
        <f t="shared" si="1"/>
        <v>0</v>
      </c>
      <c r="S13" s="145">
        <f t="shared" si="1"/>
        <v>0</v>
      </c>
      <c r="T13" s="145">
        <f t="shared" si="1"/>
        <v>0</v>
      </c>
      <c r="U13" s="145">
        <f t="shared" si="1"/>
        <v>0</v>
      </c>
      <c r="V13" s="145">
        <f t="shared" si="1"/>
        <v>0</v>
      </c>
      <c r="W13" s="145">
        <f t="shared" si="1"/>
        <v>0</v>
      </c>
      <c r="X13" s="145">
        <f t="shared" si="1"/>
        <v>0</v>
      </c>
      <c r="Y13" s="145">
        <f t="shared" si="1"/>
        <v>0</v>
      </c>
      <c r="Z13" s="145">
        <f t="shared" si="1"/>
        <v>0</v>
      </c>
      <c r="AA13" s="145">
        <f t="shared" si="1"/>
        <v>0</v>
      </c>
      <c r="AB13" s="145">
        <f t="shared" si="1"/>
        <v>0</v>
      </c>
      <c r="AC13" s="145">
        <f t="shared" si="1"/>
        <v>0</v>
      </c>
    </row>
    <row r="14" spans="2:29" s="148" customFormat="1" ht="17">
      <c r="B14" s="146"/>
      <c r="C14" s="146" t="s">
        <v>515</v>
      </c>
      <c r="D14" s="147"/>
      <c r="E14" s="147"/>
      <c r="F14" s="147"/>
      <c r="G14" s="298">
        <v>0</v>
      </c>
      <c r="H14" s="298">
        <v>0</v>
      </c>
      <c r="I14" s="298">
        <v>0</v>
      </c>
      <c r="J14" s="298">
        <v>0</v>
      </c>
      <c r="K14" s="298">
        <v>0</v>
      </c>
      <c r="L14" s="298">
        <v>0</v>
      </c>
      <c r="M14" s="298">
        <v>0</v>
      </c>
      <c r="N14" s="298">
        <v>0</v>
      </c>
      <c r="O14" s="298">
        <v>0</v>
      </c>
      <c r="P14" s="298">
        <v>0</v>
      </c>
      <c r="Q14" s="298">
        <v>0</v>
      </c>
      <c r="R14" s="298">
        <v>0</v>
      </c>
      <c r="S14" s="298">
        <v>0</v>
      </c>
      <c r="T14" s="298">
        <v>0</v>
      </c>
      <c r="U14" s="298">
        <v>0</v>
      </c>
      <c r="V14" s="298">
        <v>0</v>
      </c>
      <c r="W14" s="298">
        <v>0</v>
      </c>
      <c r="X14" s="298">
        <v>0</v>
      </c>
      <c r="Y14" s="298">
        <v>0</v>
      </c>
      <c r="Z14" s="298">
        <v>0</v>
      </c>
      <c r="AA14" s="298">
        <v>0</v>
      </c>
      <c r="AB14" s="298">
        <v>0</v>
      </c>
      <c r="AC14" s="298">
        <v>0</v>
      </c>
    </row>
    <row r="15" spans="2:29">
      <c r="D15" s="145"/>
      <c r="E15" s="145"/>
      <c r="F15" s="145"/>
      <c r="G15" s="297"/>
      <c r="H15" s="297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</row>
    <row r="16" spans="2:29" ht="17">
      <c r="C16" s="139" t="s">
        <v>516</v>
      </c>
      <c r="D16" s="145"/>
      <c r="E16" s="145"/>
      <c r="F16" s="145"/>
      <c r="G16" s="297"/>
      <c r="H16" s="297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</row>
    <row r="17" spans="2:29">
      <c r="C17" s="139" t="e">
        <f>C12</f>
        <v>#NAME?</v>
      </c>
      <c r="D17" s="144"/>
      <c r="E17" s="144"/>
      <c r="F17" s="144"/>
      <c r="G17" s="299" t="str">
        <f>IFERROR(G12/G$14,"")</f>
        <v/>
      </c>
      <c r="H17" s="299">
        <v>0</v>
      </c>
      <c r="I17" s="144">
        <f>H17</f>
        <v>0</v>
      </c>
      <c r="J17" s="144">
        <f>I17</f>
        <v>0</v>
      </c>
      <c r="K17" s="144">
        <f t="shared" ref="K17:AC17" si="2">AVERAGE(H17:J17)</f>
        <v>0</v>
      </c>
      <c r="L17" s="144">
        <f t="shared" si="2"/>
        <v>0</v>
      </c>
      <c r="M17" s="144">
        <f t="shared" si="2"/>
        <v>0</v>
      </c>
      <c r="N17" s="144">
        <f t="shared" si="2"/>
        <v>0</v>
      </c>
      <c r="O17" s="144">
        <f t="shared" si="2"/>
        <v>0</v>
      </c>
      <c r="P17" s="144">
        <f t="shared" si="2"/>
        <v>0</v>
      </c>
      <c r="Q17" s="144">
        <f t="shared" si="2"/>
        <v>0</v>
      </c>
      <c r="R17" s="144">
        <f t="shared" si="2"/>
        <v>0</v>
      </c>
      <c r="S17" s="144">
        <f t="shared" si="2"/>
        <v>0</v>
      </c>
      <c r="T17" s="144">
        <f t="shared" si="2"/>
        <v>0</v>
      </c>
      <c r="U17" s="144">
        <f t="shared" si="2"/>
        <v>0</v>
      </c>
      <c r="V17" s="144">
        <f t="shared" si="2"/>
        <v>0</v>
      </c>
      <c r="W17" s="144">
        <f t="shared" si="2"/>
        <v>0</v>
      </c>
      <c r="X17" s="144">
        <f t="shared" si="2"/>
        <v>0</v>
      </c>
      <c r="Y17" s="144">
        <f t="shared" si="2"/>
        <v>0</v>
      </c>
      <c r="Z17" s="144">
        <f t="shared" si="2"/>
        <v>0</v>
      </c>
      <c r="AA17" s="144">
        <f t="shared" si="2"/>
        <v>0</v>
      </c>
      <c r="AB17" s="144">
        <f t="shared" si="2"/>
        <v>0</v>
      </c>
      <c r="AC17" s="144">
        <f t="shared" si="2"/>
        <v>0</v>
      </c>
    </row>
    <row r="18" spans="2:29">
      <c r="C18" s="139" t="e">
        <f>C13</f>
        <v>#NAME?</v>
      </c>
      <c r="D18" s="144"/>
      <c r="E18" s="144"/>
      <c r="F18" s="144"/>
      <c r="G18" s="299" t="str">
        <f>IFERROR(G13/G$14,"")</f>
        <v/>
      </c>
      <c r="H18" s="299">
        <v>0</v>
      </c>
      <c r="I18" s="144">
        <v>0</v>
      </c>
      <c r="J18" s="144">
        <f>I18</f>
        <v>0</v>
      </c>
      <c r="K18" s="144">
        <f t="shared" ref="K18:AC18" si="3">J18</f>
        <v>0</v>
      </c>
      <c r="L18" s="144">
        <f t="shared" si="3"/>
        <v>0</v>
      </c>
      <c r="M18" s="144">
        <f t="shared" si="3"/>
        <v>0</v>
      </c>
      <c r="N18" s="144">
        <f t="shared" si="3"/>
        <v>0</v>
      </c>
      <c r="O18" s="144">
        <f t="shared" si="3"/>
        <v>0</v>
      </c>
      <c r="P18" s="144">
        <f t="shared" si="3"/>
        <v>0</v>
      </c>
      <c r="Q18" s="144">
        <f t="shared" si="3"/>
        <v>0</v>
      </c>
      <c r="R18" s="144">
        <f t="shared" si="3"/>
        <v>0</v>
      </c>
      <c r="S18" s="144">
        <f t="shared" si="3"/>
        <v>0</v>
      </c>
      <c r="T18" s="144">
        <f t="shared" si="3"/>
        <v>0</v>
      </c>
      <c r="U18" s="144">
        <f t="shared" si="3"/>
        <v>0</v>
      </c>
      <c r="V18" s="144">
        <f t="shared" si="3"/>
        <v>0</v>
      </c>
      <c r="W18" s="144">
        <f t="shared" si="3"/>
        <v>0</v>
      </c>
      <c r="X18" s="144">
        <f t="shared" si="3"/>
        <v>0</v>
      </c>
      <c r="Y18" s="144">
        <f t="shared" si="3"/>
        <v>0</v>
      </c>
      <c r="Z18" s="144">
        <f t="shared" si="3"/>
        <v>0</v>
      </c>
      <c r="AA18" s="144">
        <f t="shared" si="3"/>
        <v>0</v>
      </c>
      <c r="AB18" s="144">
        <f t="shared" si="3"/>
        <v>0</v>
      </c>
      <c r="AC18" s="144">
        <f t="shared" si="3"/>
        <v>0</v>
      </c>
    </row>
    <row r="19" spans="2:29">
      <c r="D19" s="145"/>
      <c r="E19" s="145"/>
      <c r="F19" s="145"/>
      <c r="G19" s="297"/>
      <c r="H19" s="297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</row>
    <row r="20" spans="2:29">
      <c r="D20" s="145"/>
      <c r="E20" s="145"/>
      <c r="F20" s="145"/>
      <c r="G20" s="297"/>
      <c r="H20" s="297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</row>
    <row r="21" spans="2:29" ht="34">
      <c r="B21" s="139" t="s">
        <v>517</v>
      </c>
      <c r="C21" s="139" t="s">
        <v>518</v>
      </c>
      <c r="D21" s="145"/>
      <c r="E21" s="145"/>
      <c r="F21" s="145"/>
      <c r="G21" s="297" t="e">
        <f>ISBSCF!#REF!</f>
        <v>#REF!</v>
      </c>
      <c r="H21" s="297" t="e">
        <f>ISBSCF!#REF!</f>
        <v>#REF!</v>
      </c>
      <c r="I21" s="145">
        <f t="shared" ref="I21:AC21" si="4">H12</f>
        <v>0</v>
      </c>
      <c r="J21" s="145">
        <f>I12</f>
        <v>0</v>
      </c>
      <c r="K21" s="145">
        <f t="shared" si="4"/>
        <v>0</v>
      </c>
      <c r="L21" s="145">
        <f t="shared" si="4"/>
        <v>0</v>
      </c>
      <c r="M21" s="145">
        <f t="shared" si="4"/>
        <v>0</v>
      </c>
      <c r="N21" s="145">
        <f t="shared" si="4"/>
        <v>0</v>
      </c>
      <c r="O21" s="145">
        <f t="shared" si="4"/>
        <v>0</v>
      </c>
      <c r="P21" s="145">
        <f t="shared" si="4"/>
        <v>0</v>
      </c>
      <c r="Q21" s="145">
        <f t="shared" si="4"/>
        <v>0</v>
      </c>
      <c r="R21" s="145">
        <f t="shared" si="4"/>
        <v>0</v>
      </c>
      <c r="S21" s="145">
        <f t="shared" si="4"/>
        <v>0</v>
      </c>
      <c r="T21" s="145">
        <f t="shared" si="4"/>
        <v>0</v>
      </c>
      <c r="U21" s="145">
        <f t="shared" si="4"/>
        <v>0</v>
      </c>
      <c r="V21" s="145">
        <f t="shared" si="4"/>
        <v>0</v>
      </c>
      <c r="W21" s="145">
        <f t="shared" si="4"/>
        <v>0</v>
      </c>
      <c r="X21" s="145">
        <f t="shared" si="4"/>
        <v>0</v>
      </c>
      <c r="Y21" s="145">
        <f t="shared" si="4"/>
        <v>0</v>
      </c>
      <c r="Z21" s="145">
        <f t="shared" si="4"/>
        <v>0</v>
      </c>
      <c r="AA21" s="145">
        <f t="shared" si="4"/>
        <v>0</v>
      </c>
      <c r="AB21" s="145">
        <f t="shared" si="4"/>
        <v>0</v>
      </c>
      <c r="AC21" s="145">
        <f t="shared" si="4"/>
        <v>0</v>
      </c>
    </row>
    <row r="22" spans="2:29" ht="17">
      <c r="B22" s="139" t="s">
        <v>519</v>
      </c>
      <c r="C22" s="139" t="s">
        <v>520</v>
      </c>
      <c r="D22" s="145"/>
      <c r="E22" s="145"/>
      <c r="F22" s="145"/>
      <c r="G22" s="297"/>
      <c r="H22" s="297" t="e">
        <f>H21+H14-G14</f>
        <v>#REF!</v>
      </c>
      <c r="I22" s="145">
        <f t="shared" ref="I22:AC22" si="5">I21+I14-H14</f>
        <v>0</v>
      </c>
      <c r="J22" s="145">
        <f t="shared" si="5"/>
        <v>0</v>
      </c>
      <c r="K22" s="145">
        <f t="shared" si="5"/>
        <v>0</v>
      </c>
      <c r="L22" s="145">
        <f t="shared" si="5"/>
        <v>0</v>
      </c>
      <c r="M22" s="145">
        <f t="shared" si="5"/>
        <v>0</v>
      </c>
      <c r="N22" s="145">
        <f t="shared" si="5"/>
        <v>0</v>
      </c>
      <c r="O22" s="145">
        <f t="shared" si="5"/>
        <v>0</v>
      </c>
      <c r="P22" s="145">
        <f t="shared" si="5"/>
        <v>0</v>
      </c>
      <c r="Q22" s="145">
        <f t="shared" si="5"/>
        <v>0</v>
      </c>
      <c r="R22" s="145">
        <f t="shared" si="5"/>
        <v>0</v>
      </c>
      <c r="S22" s="145">
        <f t="shared" si="5"/>
        <v>0</v>
      </c>
      <c r="T22" s="145">
        <f t="shared" si="5"/>
        <v>0</v>
      </c>
      <c r="U22" s="145">
        <f t="shared" si="5"/>
        <v>0</v>
      </c>
      <c r="V22" s="145">
        <f t="shared" si="5"/>
        <v>0</v>
      </c>
      <c r="W22" s="145">
        <f t="shared" si="5"/>
        <v>0</v>
      </c>
      <c r="X22" s="145">
        <f t="shared" si="5"/>
        <v>0</v>
      </c>
      <c r="Y22" s="145">
        <f t="shared" si="5"/>
        <v>0</v>
      </c>
      <c r="Z22" s="145">
        <f t="shared" si="5"/>
        <v>0</v>
      </c>
      <c r="AA22" s="145">
        <f t="shared" si="5"/>
        <v>0</v>
      </c>
      <c r="AB22" s="145">
        <f t="shared" si="5"/>
        <v>0</v>
      </c>
      <c r="AC22" s="145">
        <f t="shared" si="5"/>
        <v>0</v>
      </c>
    </row>
    <row r="23" spans="2:29">
      <c r="D23" s="145"/>
      <c r="E23" s="145"/>
      <c r="F23" s="145"/>
      <c r="G23" s="297"/>
      <c r="H23" s="297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</row>
    <row r="24" spans="2:29" ht="17">
      <c r="C24" s="139" t="s">
        <v>193</v>
      </c>
      <c r="D24" s="145"/>
      <c r="E24" s="144"/>
      <c r="F24" s="144"/>
      <c r="G24" s="299" t="e">
        <f>G34/AVERAGE(F14,G14)</f>
        <v>#REF!</v>
      </c>
      <c r="H24" s="299" t="e">
        <f>H34/AVERAGE(G14,H14)</f>
        <v>#DIV/0!</v>
      </c>
      <c r="I24" s="144">
        <v>0</v>
      </c>
      <c r="J24" s="144">
        <v>0.02</v>
      </c>
      <c r="K24" s="144">
        <v>0.02</v>
      </c>
      <c r="L24" s="144">
        <f t="shared" ref="L24:AC24" si="6">K24</f>
        <v>0.02</v>
      </c>
      <c r="M24" s="144">
        <f t="shared" si="6"/>
        <v>0.02</v>
      </c>
      <c r="N24" s="144">
        <f t="shared" si="6"/>
        <v>0.02</v>
      </c>
      <c r="O24" s="144">
        <f t="shared" si="6"/>
        <v>0.02</v>
      </c>
      <c r="P24" s="144">
        <f t="shared" si="6"/>
        <v>0.02</v>
      </c>
      <c r="Q24" s="144">
        <f t="shared" si="6"/>
        <v>0.02</v>
      </c>
      <c r="R24" s="144">
        <f t="shared" si="6"/>
        <v>0.02</v>
      </c>
      <c r="S24" s="144">
        <f t="shared" si="6"/>
        <v>0.02</v>
      </c>
      <c r="T24" s="144">
        <f t="shared" si="6"/>
        <v>0.02</v>
      </c>
      <c r="U24" s="144">
        <f t="shared" si="6"/>
        <v>0.02</v>
      </c>
      <c r="V24" s="144">
        <f t="shared" si="6"/>
        <v>0.02</v>
      </c>
      <c r="W24" s="144">
        <f t="shared" si="6"/>
        <v>0.02</v>
      </c>
      <c r="X24" s="144">
        <f t="shared" si="6"/>
        <v>0.02</v>
      </c>
      <c r="Y24" s="144">
        <f t="shared" si="6"/>
        <v>0.02</v>
      </c>
      <c r="Z24" s="144">
        <f t="shared" si="6"/>
        <v>0.02</v>
      </c>
      <c r="AA24" s="144">
        <f t="shared" si="6"/>
        <v>0.02</v>
      </c>
      <c r="AB24" s="144">
        <f t="shared" si="6"/>
        <v>0.02</v>
      </c>
      <c r="AC24" s="144">
        <f t="shared" si="6"/>
        <v>0.02</v>
      </c>
    </row>
    <row r="25" spans="2:29" ht="17">
      <c r="C25" s="139" t="s">
        <v>521</v>
      </c>
      <c r="D25" s="145"/>
      <c r="E25" s="144"/>
      <c r="F25" s="144"/>
      <c r="G25" s="299" t="e">
        <f>G35/AVERAGE(ISBSCF!#REF!)</f>
        <v>#REF!</v>
      </c>
      <c r="H25" s="299">
        <f>H35/AVERAGE(ISBSCF!D32:D33)</f>
        <v>0</v>
      </c>
      <c r="I25" s="142">
        <v>0.02</v>
      </c>
      <c r="J25" s="142">
        <v>0.02</v>
      </c>
      <c r="K25" s="142">
        <v>0.02</v>
      </c>
      <c r="L25" s="142">
        <v>0.02</v>
      </c>
      <c r="M25" s="142">
        <v>0.02</v>
      </c>
      <c r="N25" s="142">
        <v>0.02</v>
      </c>
      <c r="O25" s="142">
        <v>0.02</v>
      </c>
      <c r="P25" s="142">
        <v>0.02</v>
      </c>
      <c r="Q25" s="142">
        <v>0.02</v>
      </c>
      <c r="R25" s="142">
        <v>0.02</v>
      </c>
      <c r="S25" s="142">
        <v>0.02</v>
      </c>
      <c r="T25" s="142">
        <v>0.02</v>
      </c>
      <c r="U25" s="142">
        <v>0.02</v>
      </c>
      <c r="V25" s="142">
        <v>0.02</v>
      </c>
      <c r="W25" s="142">
        <v>0.02</v>
      </c>
      <c r="X25" s="142">
        <v>0.02</v>
      </c>
      <c r="Y25" s="142">
        <v>0.02</v>
      </c>
      <c r="Z25" s="142">
        <v>0.02</v>
      </c>
      <c r="AA25" s="142">
        <v>0.02</v>
      </c>
      <c r="AB25" s="142">
        <v>0.02</v>
      </c>
      <c r="AC25" s="142">
        <v>0.02</v>
      </c>
    </row>
    <row r="26" spans="2:29"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</row>
    <row r="27" spans="2:29" ht="17">
      <c r="C27" s="139" t="s">
        <v>522</v>
      </c>
      <c r="D27" s="145"/>
      <c r="E27" s="145"/>
      <c r="F27" s="145"/>
      <c r="G27" s="145" t="e">
        <f>ISBSCF!#REF!</f>
        <v>#REF!</v>
      </c>
      <c r="H27" s="145">
        <f>ISBSCF!D38</f>
        <v>38.487000000000002</v>
      </c>
      <c r="I27" s="145" t="e">
        <f>ISBSCF!E38</f>
        <v>#REF!</v>
      </c>
      <c r="J27" s="145" t="e">
        <f>ISBSCF!F38</f>
        <v>#REF!</v>
      </c>
      <c r="K27" s="145" t="e">
        <f>ISBSCF!G38</f>
        <v>#REF!</v>
      </c>
      <c r="L27" s="145" t="e">
        <f>ISBSCF!H38</f>
        <v>#REF!</v>
      </c>
      <c r="M27" s="145" t="e">
        <f>ISBSCF!I38</f>
        <v>#REF!</v>
      </c>
      <c r="N27" s="145" t="e">
        <f>ISBSCF!J38</f>
        <v>#REF!</v>
      </c>
      <c r="O27" s="145" t="e">
        <f>ISBSCF!K38</f>
        <v>#REF!</v>
      </c>
      <c r="P27" s="145" t="e">
        <f>ISBSCF!L38</f>
        <v>#REF!</v>
      </c>
      <c r="Q27" s="145" t="e">
        <f>ISBSCF!M38</f>
        <v>#REF!</v>
      </c>
      <c r="R27" s="145" t="e">
        <f>ISBSCF!N38</f>
        <v>#REF!</v>
      </c>
      <c r="S27" s="145" t="e">
        <f>ISBSCF!O38</f>
        <v>#REF!</v>
      </c>
      <c r="T27" s="145" t="e">
        <f>ISBSCF!P38</f>
        <v>#REF!</v>
      </c>
      <c r="U27" s="145" t="e">
        <f>ISBSCF!Q38</f>
        <v>#REF!</v>
      </c>
      <c r="V27" s="145" t="e">
        <f>ISBSCF!R38</f>
        <v>#REF!</v>
      </c>
      <c r="W27" s="145" t="e">
        <f>ISBSCF!S38</f>
        <v>#REF!</v>
      </c>
      <c r="X27" s="145" t="e">
        <f>ISBSCF!T38</f>
        <v>#REF!</v>
      </c>
      <c r="Y27" s="145" t="e">
        <f>ISBSCF!U38</f>
        <v>#REF!</v>
      </c>
      <c r="Z27" s="145" t="e">
        <f>ISBSCF!V38</f>
        <v>#REF!</v>
      </c>
      <c r="AA27" s="145" t="e">
        <f>ISBSCF!W38</f>
        <v>#REF!</v>
      </c>
      <c r="AB27" s="145" t="e">
        <f>ISBSCF!X38</f>
        <v>#REF!</v>
      </c>
      <c r="AC27" s="145" t="e">
        <f>ISBSCF!Y38</f>
        <v>#REF!</v>
      </c>
    </row>
    <row r="28" spans="2:29" ht="34">
      <c r="B28" s="139" t="s">
        <v>523</v>
      </c>
      <c r="C28" s="139" t="s">
        <v>524</v>
      </c>
      <c r="D28" s="144"/>
      <c r="E28" s="144"/>
      <c r="F28" s="144"/>
      <c r="G28" s="144" t="e">
        <f>G27/ISBSCF!#REF!</f>
        <v>#REF!</v>
      </c>
      <c r="H28" s="144" t="e">
        <f>H27/ISBSCF!D6</f>
        <v>#DIV/0!</v>
      </c>
      <c r="I28" s="144" t="e">
        <f>H28</f>
        <v>#DIV/0!</v>
      </c>
      <c r="J28" s="144" t="e">
        <f t="shared" ref="J28:AC28" si="7">I28</f>
        <v>#DIV/0!</v>
      </c>
      <c r="K28" s="144" t="e">
        <f t="shared" si="7"/>
        <v>#DIV/0!</v>
      </c>
      <c r="L28" s="144" t="e">
        <f t="shared" si="7"/>
        <v>#DIV/0!</v>
      </c>
      <c r="M28" s="144" t="e">
        <f t="shared" si="7"/>
        <v>#DIV/0!</v>
      </c>
      <c r="N28" s="144" t="e">
        <f t="shared" si="7"/>
        <v>#DIV/0!</v>
      </c>
      <c r="O28" s="144" t="e">
        <f t="shared" si="7"/>
        <v>#DIV/0!</v>
      </c>
      <c r="P28" s="144" t="e">
        <f t="shared" si="7"/>
        <v>#DIV/0!</v>
      </c>
      <c r="Q28" s="144" t="e">
        <f t="shared" si="7"/>
        <v>#DIV/0!</v>
      </c>
      <c r="R28" s="144" t="e">
        <f t="shared" si="7"/>
        <v>#DIV/0!</v>
      </c>
      <c r="S28" s="144" t="e">
        <f t="shared" si="7"/>
        <v>#DIV/0!</v>
      </c>
      <c r="T28" s="144" t="e">
        <f t="shared" si="7"/>
        <v>#DIV/0!</v>
      </c>
      <c r="U28" s="144" t="e">
        <f t="shared" si="7"/>
        <v>#DIV/0!</v>
      </c>
      <c r="V28" s="144" t="e">
        <f t="shared" si="7"/>
        <v>#DIV/0!</v>
      </c>
      <c r="W28" s="144" t="e">
        <f t="shared" si="7"/>
        <v>#DIV/0!</v>
      </c>
      <c r="X28" s="144" t="e">
        <f t="shared" si="7"/>
        <v>#DIV/0!</v>
      </c>
      <c r="Y28" s="144" t="e">
        <f t="shared" si="7"/>
        <v>#DIV/0!</v>
      </c>
      <c r="Z28" s="144" t="e">
        <f t="shared" si="7"/>
        <v>#DIV/0!</v>
      </c>
      <c r="AA28" s="144" t="e">
        <f t="shared" si="7"/>
        <v>#DIV/0!</v>
      </c>
      <c r="AB28" s="144" t="e">
        <f t="shared" si="7"/>
        <v>#DIV/0!</v>
      </c>
      <c r="AC28" s="144" t="e">
        <f t="shared" si="7"/>
        <v>#DIV/0!</v>
      </c>
    </row>
    <row r="29" spans="2:29" ht="17">
      <c r="C29" s="139" t="s">
        <v>525</v>
      </c>
      <c r="D29" s="145"/>
      <c r="E29" s="145"/>
      <c r="F29" s="145"/>
      <c r="G29" s="145"/>
      <c r="H29" s="145" t="e">
        <f>H28*ISBSCF!D6</f>
        <v>#DIV/0!</v>
      </c>
      <c r="I29" s="145" t="e">
        <f>I28*ISBSCF!E6</f>
        <v>#DIV/0!</v>
      </c>
      <c r="J29" s="145" t="e">
        <f>J28*ISBSCF!F6</f>
        <v>#DIV/0!</v>
      </c>
      <c r="K29" s="145" t="e">
        <f>K28*ISBSCF!G6</f>
        <v>#DIV/0!</v>
      </c>
      <c r="L29" s="145" t="e">
        <f>L28*ISBSCF!H6</f>
        <v>#DIV/0!</v>
      </c>
      <c r="M29" s="145" t="e">
        <f>M28*ISBSCF!I6</f>
        <v>#DIV/0!</v>
      </c>
      <c r="N29" s="145" t="e">
        <f>N28*ISBSCF!J6</f>
        <v>#DIV/0!</v>
      </c>
      <c r="O29" s="145" t="e">
        <f>O28*ISBSCF!K6</f>
        <v>#DIV/0!</v>
      </c>
      <c r="P29" s="145" t="e">
        <f>P28*ISBSCF!L6</f>
        <v>#DIV/0!</v>
      </c>
      <c r="Q29" s="145" t="e">
        <f>Q28*ISBSCF!M6</f>
        <v>#DIV/0!</v>
      </c>
      <c r="R29" s="145" t="e">
        <f>R28*ISBSCF!N6</f>
        <v>#DIV/0!</v>
      </c>
      <c r="S29" s="145" t="e">
        <f>S28*ISBSCF!O6</f>
        <v>#DIV/0!</v>
      </c>
      <c r="T29" s="145" t="e">
        <f>T28*ISBSCF!P6</f>
        <v>#DIV/0!</v>
      </c>
      <c r="U29" s="145" t="e">
        <f>U28*ISBSCF!Q6</f>
        <v>#DIV/0!</v>
      </c>
      <c r="V29" s="145" t="e">
        <f>V28*ISBSCF!R6</f>
        <v>#DIV/0!</v>
      </c>
      <c r="W29" s="145" t="e">
        <f>W28*ISBSCF!S6</f>
        <v>#DIV/0!</v>
      </c>
      <c r="X29" s="145" t="e">
        <f>X28*ISBSCF!T6</f>
        <v>#DIV/0!</v>
      </c>
      <c r="Y29" s="145" t="e">
        <f>Y28*ISBSCF!U6</f>
        <v>#DIV/0!</v>
      </c>
      <c r="Z29" s="145" t="e">
        <f>Z28*ISBSCF!V6</f>
        <v>#DIV/0!</v>
      </c>
      <c r="AA29" s="145" t="e">
        <f>AA28*ISBSCF!W6</f>
        <v>#DIV/0!</v>
      </c>
      <c r="AB29" s="145" t="e">
        <f>AB28*ISBSCF!X6</f>
        <v>#DIV/0!</v>
      </c>
      <c r="AC29" s="145" t="e">
        <f>AC28*ISBSCF!Y6</f>
        <v>#DIV/0!</v>
      </c>
    </row>
    <row r="30" spans="2:29"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</row>
    <row r="31" spans="2:29"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</row>
    <row r="32" spans="2:29"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</row>
    <row r="33" spans="2:29" ht="17">
      <c r="B33" s="149" t="s">
        <v>526</v>
      </c>
      <c r="C33" s="150" t="s">
        <v>527</v>
      </c>
      <c r="E33" s="151"/>
      <c r="F33" s="151"/>
      <c r="G33" s="151"/>
    </row>
    <row r="34" spans="2:29" ht="17">
      <c r="B34" s="139" t="s">
        <v>528</v>
      </c>
      <c r="C34" s="139" t="s">
        <v>529</v>
      </c>
      <c r="E34" s="152"/>
      <c r="F34" s="152"/>
      <c r="G34" s="153" t="e">
        <f>ISBSCF!#REF!</f>
        <v>#REF!</v>
      </c>
      <c r="H34" s="153">
        <f>ISBSCF!D19</f>
        <v>-4.5999999999999999E-2</v>
      </c>
      <c r="I34" s="126">
        <f>AVERAGE(H14,I14)*I24</f>
        <v>0</v>
      </c>
      <c r="J34" s="154">
        <f t="shared" ref="J34:AC34" si="8">AVERAGE(I14,J14)*J24</f>
        <v>0</v>
      </c>
      <c r="K34" s="154">
        <f t="shared" si="8"/>
        <v>0</v>
      </c>
      <c r="L34" s="154">
        <f t="shared" si="8"/>
        <v>0</v>
      </c>
      <c r="M34" s="154">
        <f t="shared" si="8"/>
        <v>0</v>
      </c>
      <c r="N34" s="154">
        <f t="shared" si="8"/>
        <v>0</v>
      </c>
      <c r="O34" s="154">
        <f t="shared" si="8"/>
        <v>0</v>
      </c>
      <c r="P34" s="154">
        <f t="shared" si="8"/>
        <v>0</v>
      </c>
      <c r="Q34" s="154">
        <f t="shared" si="8"/>
        <v>0</v>
      </c>
      <c r="R34" s="154">
        <f t="shared" si="8"/>
        <v>0</v>
      </c>
      <c r="S34" s="154">
        <f t="shared" si="8"/>
        <v>0</v>
      </c>
      <c r="T34" s="154">
        <f t="shared" si="8"/>
        <v>0</v>
      </c>
      <c r="U34" s="154">
        <f t="shared" si="8"/>
        <v>0</v>
      </c>
      <c r="V34" s="154">
        <f t="shared" si="8"/>
        <v>0</v>
      </c>
      <c r="W34" s="154">
        <f t="shared" si="8"/>
        <v>0</v>
      </c>
      <c r="X34" s="154">
        <f t="shared" si="8"/>
        <v>0</v>
      </c>
      <c r="Y34" s="154">
        <f t="shared" si="8"/>
        <v>0</v>
      </c>
      <c r="Z34" s="154">
        <f t="shared" si="8"/>
        <v>0</v>
      </c>
      <c r="AA34" s="154">
        <f t="shared" si="8"/>
        <v>0</v>
      </c>
      <c r="AB34" s="154">
        <f t="shared" si="8"/>
        <v>0</v>
      </c>
      <c r="AC34" s="154">
        <f t="shared" si="8"/>
        <v>0</v>
      </c>
    </row>
    <row r="35" spans="2:29" ht="17">
      <c r="B35" s="139" t="s">
        <v>530</v>
      </c>
      <c r="C35" s="139" t="s">
        <v>316</v>
      </c>
      <c r="E35" s="152"/>
      <c r="F35" s="152"/>
      <c r="G35" s="153" t="e">
        <f>ISBSCF!#REF!</f>
        <v>#REF!</v>
      </c>
      <c r="H35" s="153">
        <f>ISBSCF!D20</f>
        <v>0</v>
      </c>
      <c r="I35" s="154">
        <f t="shared" ref="I35:AC35" si="9">H27*I25</f>
        <v>0.76974000000000009</v>
      </c>
      <c r="J35" s="341" t="e">
        <f t="shared" si="9"/>
        <v>#REF!</v>
      </c>
      <c r="K35" s="341" t="e">
        <f t="shared" si="9"/>
        <v>#REF!</v>
      </c>
      <c r="L35" s="341" t="e">
        <f t="shared" si="9"/>
        <v>#REF!</v>
      </c>
      <c r="M35" s="341" t="e">
        <f t="shared" si="9"/>
        <v>#REF!</v>
      </c>
      <c r="N35" s="341" t="e">
        <f t="shared" si="9"/>
        <v>#REF!</v>
      </c>
      <c r="O35" s="341" t="e">
        <f t="shared" si="9"/>
        <v>#REF!</v>
      </c>
      <c r="P35" s="341" t="e">
        <f t="shared" si="9"/>
        <v>#REF!</v>
      </c>
      <c r="Q35" s="341" t="e">
        <f t="shared" si="9"/>
        <v>#REF!</v>
      </c>
      <c r="R35" s="341" t="e">
        <f t="shared" si="9"/>
        <v>#REF!</v>
      </c>
      <c r="S35" s="341" t="e">
        <f t="shared" si="9"/>
        <v>#REF!</v>
      </c>
      <c r="T35" s="341" t="e">
        <f t="shared" si="9"/>
        <v>#REF!</v>
      </c>
      <c r="U35" s="341" t="e">
        <f t="shared" si="9"/>
        <v>#REF!</v>
      </c>
      <c r="V35" s="341" t="e">
        <f t="shared" si="9"/>
        <v>#REF!</v>
      </c>
      <c r="W35" s="341" t="e">
        <f t="shared" si="9"/>
        <v>#REF!</v>
      </c>
      <c r="X35" s="341" t="e">
        <f t="shared" si="9"/>
        <v>#REF!</v>
      </c>
      <c r="Y35" s="341" t="e">
        <f t="shared" si="9"/>
        <v>#REF!</v>
      </c>
      <c r="Z35" s="341" t="e">
        <f t="shared" si="9"/>
        <v>#REF!</v>
      </c>
      <c r="AA35" s="341" t="e">
        <f t="shared" si="9"/>
        <v>#REF!</v>
      </c>
      <c r="AB35" s="341" t="e">
        <f t="shared" si="9"/>
        <v>#REF!</v>
      </c>
      <c r="AC35" s="341" t="e">
        <f t="shared" si="9"/>
        <v>#REF!</v>
      </c>
    </row>
    <row r="36" spans="2:29" ht="17">
      <c r="B36" s="155" t="s">
        <v>531</v>
      </c>
      <c r="C36" s="139" t="s">
        <v>4</v>
      </c>
      <c r="E36" s="152"/>
      <c r="F36" s="152"/>
      <c r="G36" s="153">
        <v>0</v>
      </c>
      <c r="H36" s="153">
        <v>0</v>
      </c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</row>
    <row r="37" spans="2:29" s="148" customFormat="1" ht="17">
      <c r="B37" s="146" t="s">
        <v>532</v>
      </c>
      <c r="C37" s="146" t="s">
        <v>533</v>
      </c>
      <c r="E37" s="156"/>
      <c r="F37" s="156"/>
      <c r="G37" s="156" t="e">
        <f t="shared" ref="G37:AC37" si="10">G34+G35+G36</f>
        <v>#REF!</v>
      </c>
      <c r="H37" s="156">
        <f t="shared" si="10"/>
        <v>-4.5999999999999999E-2</v>
      </c>
      <c r="I37" s="156">
        <f t="shared" si="10"/>
        <v>0.76974000000000009</v>
      </c>
      <c r="J37" s="156" t="e">
        <f t="shared" si="10"/>
        <v>#REF!</v>
      </c>
      <c r="K37" s="156" t="e">
        <f t="shared" si="10"/>
        <v>#REF!</v>
      </c>
      <c r="L37" s="156" t="e">
        <f t="shared" si="10"/>
        <v>#REF!</v>
      </c>
      <c r="M37" s="156" t="e">
        <f t="shared" si="10"/>
        <v>#REF!</v>
      </c>
      <c r="N37" s="156" t="e">
        <f t="shared" si="10"/>
        <v>#REF!</v>
      </c>
      <c r="O37" s="156" t="e">
        <f t="shared" si="10"/>
        <v>#REF!</v>
      </c>
      <c r="P37" s="156" t="e">
        <f t="shared" si="10"/>
        <v>#REF!</v>
      </c>
      <c r="Q37" s="156" t="e">
        <f t="shared" si="10"/>
        <v>#REF!</v>
      </c>
      <c r="R37" s="156" t="e">
        <f t="shared" si="10"/>
        <v>#REF!</v>
      </c>
      <c r="S37" s="156" t="e">
        <f t="shared" si="10"/>
        <v>#REF!</v>
      </c>
      <c r="T37" s="156" t="e">
        <f t="shared" si="10"/>
        <v>#REF!</v>
      </c>
      <c r="U37" s="156" t="e">
        <f t="shared" si="10"/>
        <v>#REF!</v>
      </c>
      <c r="V37" s="156" t="e">
        <f t="shared" si="10"/>
        <v>#REF!</v>
      </c>
      <c r="W37" s="156" t="e">
        <f t="shared" si="10"/>
        <v>#REF!</v>
      </c>
      <c r="X37" s="156" t="e">
        <f t="shared" si="10"/>
        <v>#REF!</v>
      </c>
      <c r="Y37" s="156" t="e">
        <f t="shared" si="10"/>
        <v>#REF!</v>
      </c>
      <c r="Z37" s="156" t="e">
        <f t="shared" si="10"/>
        <v>#REF!</v>
      </c>
      <c r="AA37" s="156" t="e">
        <f t="shared" si="10"/>
        <v>#REF!</v>
      </c>
      <c r="AB37" s="156" t="e">
        <f t="shared" si="10"/>
        <v>#REF!</v>
      </c>
      <c r="AC37" s="156" t="e">
        <f t="shared" si="10"/>
        <v>#REF!</v>
      </c>
    </row>
    <row r="38" spans="2:29"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</row>
    <row r="39" spans="2:29"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</row>
    <row r="40" spans="2:29"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</row>
    <row r="41" spans="2:29"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</row>
    <row r="42" spans="2:29"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</row>
    <row r="43" spans="2:29"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</row>
    <row r="44" spans="2:29" ht="17">
      <c r="C44" s="139" t="s">
        <v>177</v>
      </c>
      <c r="D44" s="145"/>
      <c r="E44" s="145"/>
      <c r="F44" s="145"/>
      <c r="G44" s="145" t="e">
        <f>-ISBSCF!#REF!</f>
        <v>#REF!</v>
      </c>
      <c r="H44" s="145">
        <f>-(ISBSCF!D97+ISBSCF!D96)</f>
        <v>0.85699999999999998</v>
      </c>
      <c r="I44" s="145">
        <f>-(ISBSCF!E97+ISBSCF!E96)</f>
        <v>10.313000000000001</v>
      </c>
      <c r="J44" s="145">
        <f>-(ISBSCF!F97+ISBSCF!F96)</f>
        <v>10.356999999999999</v>
      </c>
      <c r="K44" s="145">
        <f>-(ISBSCF!G97+ISBSCF!G96)</f>
        <v>10.356999999999999</v>
      </c>
      <c r="L44" s="145">
        <f>-(ISBSCF!H97+ISBSCF!H96)</f>
        <v>10.356999999999999</v>
      </c>
      <c r="M44" s="145">
        <f>-(ISBSCF!I97+ISBSCF!I96)</f>
        <v>10.356999999999999</v>
      </c>
      <c r="N44" s="145">
        <f>-(ISBSCF!J97+ISBSCF!J96)</f>
        <v>10.356999999999999</v>
      </c>
      <c r="O44" s="145">
        <f>-(ISBSCF!K97+ISBSCF!K96)</f>
        <v>10.356999999999999</v>
      </c>
      <c r="P44" s="145">
        <f>-(ISBSCF!L97+ISBSCF!L96)</f>
        <v>10.356999999999999</v>
      </c>
      <c r="Q44" s="145">
        <f>-(ISBSCF!M97+ISBSCF!M96)</f>
        <v>10.356999999999999</v>
      </c>
      <c r="R44" s="145">
        <f>-(ISBSCF!N97+ISBSCF!N96)</f>
        <v>10.356999999999999</v>
      </c>
      <c r="S44" s="145">
        <f>-(ISBSCF!O97+ISBSCF!O96)</f>
        <v>10.357000000000001</v>
      </c>
      <c r="T44" s="145">
        <f>-(ISBSCF!P97+ISBSCF!P96)</f>
        <v>10.356999999999999</v>
      </c>
      <c r="U44" s="145">
        <f>-(ISBSCF!Q97+ISBSCF!Q96)</f>
        <v>10.356999999999999</v>
      </c>
      <c r="V44" s="145">
        <f>-(ISBSCF!R97+ISBSCF!R96)</f>
        <v>10.356999999999999</v>
      </c>
      <c r="W44" s="145">
        <f>-(ISBSCF!S97+ISBSCF!S96)</f>
        <v>10.356999999999999</v>
      </c>
      <c r="X44" s="145">
        <f>-(ISBSCF!T97+ISBSCF!T96)</f>
        <v>10.356999999999999</v>
      </c>
      <c r="Y44" s="145">
        <f>-(ISBSCF!U97+ISBSCF!U96)</f>
        <v>10.356999999999999</v>
      </c>
      <c r="Z44" s="145">
        <f>-(ISBSCF!V97+ISBSCF!V96)</f>
        <v>10.356999999999999</v>
      </c>
      <c r="AA44" s="145">
        <f>-(ISBSCF!W97+ISBSCF!W96)</f>
        <v>10.356999999999999</v>
      </c>
      <c r="AB44" s="145">
        <f>-(ISBSCF!X97+ISBSCF!X96)</f>
        <v>10.356999999999999</v>
      </c>
      <c r="AC44" s="145">
        <f>-(ISBSCF!Y97+ISBSCF!Y96)</f>
        <v>10.356999999999999</v>
      </c>
    </row>
    <row r="45" spans="2:29" ht="34">
      <c r="C45" s="139" t="s">
        <v>534</v>
      </c>
      <c r="F45" s="144"/>
      <c r="G45" s="144" t="e">
        <f>G44/SUM(G68,G95)</f>
        <v>#REF!</v>
      </c>
      <c r="H45" s="144">
        <f>H44/SUM(H68,H95)</f>
        <v>0.95434298440979948</v>
      </c>
      <c r="I45" s="144">
        <f t="shared" ref="I45:AC45" si="11">I44/SUM(I68,I95)</f>
        <v>6.1606929510155313</v>
      </c>
      <c r="J45" s="144">
        <f t="shared" si="11"/>
        <v>0.94205930507549551</v>
      </c>
      <c r="K45" s="144">
        <f t="shared" si="11"/>
        <v>0.53624313969141546</v>
      </c>
      <c r="L45" s="144">
        <f t="shared" si="11"/>
        <v>0.38886385822632719</v>
      </c>
      <c r="M45" s="144">
        <f t="shared" si="11"/>
        <v>0.31428658129513859</v>
      </c>
      <c r="N45" s="144">
        <f t="shared" si="11"/>
        <v>0.27060145268328362</v>
      </c>
      <c r="O45" s="144">
        <f t="shared" si="11"/>
        <v>0.24315631309574112</v>
      </c>
      <c r="P45" s="144">
        <f t="shared" si="11"/>
        <v>0.22557389902861866</v>
      </c>
      <c r="Q45" s="144">
        <f t="shared" si="11"/>
        <v>0.21472405357216895</v>
      </c>
      <c r="R45" s="144">
        <f t="shared" si="11"/>
        <v>0.20900431852120913</v>
      </c>
      <c r="S45" s="144">
        <f t="shared" si="11"/>
        <v>0.20766331154509363</v>
      </c>
      <c r="T45" s="144">
        <f t="shared" si="11"/>
        <v>0.2105338049355612</v>
      </c>
      <c r="U45" s="144">
        <f t="shared" si="11"/>
        <v>0.20917316314577689</v>
      </c>
      <c r="V45" s="144">
        <f t="shared" si="11"/>
        <v>0.19981093490758953</v>
      </c>
      <c r="W45" s="144">
        <f t="shared" si="11"/>
        <v>0.18121216362809245</v>
      </c>
      <c r="X45" s="144">
        <f t="shared" si="11"/>
        <v>0.15580527725125609</v>
      </c>
      <c r="Y45" s="144">
        <f t="shared" si="11"/>
        <v>0.12819021214446616</v>
      </c>
      <c r="Z45" s="144">
        <f t="shared" si="11"/>
        <v>0.10242894159067982</v>
      </c>
      <c r="AA45" s="144">
        <f t="shared" si="11"/>
        <v>8.0640640328884877E-2</v>
      </c>
      <c r="AB45" s="144">
        <f t="shared" si="11"/>
        <v>6.3247309989374306E-2</v>
      </c>
      <c r="AC45" s="144">
        <f t="shared" si="11"/>
        <v>4.9775560617857109E-2</v>
      </c>
    </row>
    <row r="46" spans="2:29" ht="17">
      <c r="C46" s="139" t="s">
        <v>535</v>
      </c>
      <c r="D46" s="144"/>
      <c r="E46" s="144"/>
      <c r="F46" s="144"/>
      <c r="G46" s="144" t="e">
        <f>G44/ISBSCF!#REF!</f>
        <v>#REF!</v>
      </c>
      <c r="H46" s="144" t="e">
        <f>H44/ISBSCF!D6</f>
        <v>#DIV/0!</v>
      </c>
      <c r="I46" s="144" t="e">
        <f>I44/ISBSCF!E6</f>
        <v>#REF!</v>
      </c>
      <c r="J46" s="144" t="e">
        <f>J44/ISBSCF!F6</f>
        <v>#REF!</v>
      </c>
      <c r="K46" s="144" t="e">
        <f>K44/ISBSCF!G6</f>
        <v>#REF!</v>
      </c>
      <c r="L46" s="144" t="e">
        <f>L44/ISBSCF!H6</f>
        <v>#REF!</v>
      </c>
      <c r="M46" s="144" t="e">
        <f>M44/ISBSCF!I6</f>
        <v>#REF!</v>
      </c>
      <c r="N46" s="144" t="e">
        <f>N44/ISBSCF!J6</f>
        <v>#REF!</v>
      </c>
      <c r="O46" s="144" t="e">
        <f>O44/ISBSCF!K6</f>
        <v>#REF!</v>
      </c>
      <c r="P46" s="144" t="e">
        <f>P44/ISBSCF!L6</f>
        <v>#REF!</v>
      </c>
      <c r="Q46" s="144" t="e">
        <f>Q44/ISBSCF!M6</f>
        <v>#REF!</v>
      </c>
      <c r="R46" s="144" t="e">
        <f>R44/ISBSCF!N6</f>
        <v>#REF!</v>
      </c>
      <c r="S46" s="144" t="e">
        <f>S44/ISBSCF!O6</f>
        <v>#REF!</v>
      </c>
      <c r="T46" s="144" t="e">
        <f>T44/ISBSCF!P6</f>
        <v>#REF!</v>
      </c>
      <c r="U46" s="144" t="e">
        <f>U44/ISBSCF!Q6</f>
        <v>#REF!</v>
      </c>
      <c r="V46" s="144" t="e">
        <f>V44/ISBSCF!R6</f>
        <v>#REF!</v>
      </c>
      <c r="W46" s="144" t="e">
        <f>W44/ISBSCF!S6</f>
        <v>#REF!</v>
      </c>
      <c r="X46" s="144" t="e">
        <f>X44/ISBSCF!T6</f>
        <v>#REF!</v>
      </c>
      <c r="Y46" s="144" t="e">
        <f>Y44/ISBSCF!U6</f>
        <v>#REF!</v>
      </c>
      <c r="Z46" s="144" t="e">
        <f>Z44/ISBSCF!V6</f>
        <v>#REF!</v>
      </c>
      <c r="AA46" s="144" t="e">
        <f>AA44/ISBSCF!W6</f>
        <v>#REF!</v>
      </c>
      <c r="AB46" s="144" t="e">
        <f>AB44/ISBSCF!X6</f>
        <v>#REF!</v>
      </c>
      <c r="AC46" s="144" t="e">
        <f>AC44/ISBSCF!Y6</f>
        <v>#REF!</v>
      </c>
    </row>
    <row r="48" spans="2:29" ht="17">
      <c r="C48" s="139" t="s">
        <v>536</v>
      </c>
      <c r="H48" s="157">
        <v>0.95</v>
      </c>
      <c r="I48" s="158">
        <f>H48</f>
        <v>0.95</v>
      </c>
      <c r="J48" s="158">
        <f>I48</f>
        <v>0.95</v>
      </c>
      <c r="K48" s="159">
        <f>J48-10%</f>
        <v>0.85</v>
      </c>
      <c r="L48" s="159">
        <f>K48-10%</f>
        <v>0.75</v>
      </c>
      <c r="M48" s="158">
        <f>L48</f>
        <v>0.75</v>
      </c>
      <c r="N48" s="158">
        <f t="shared" ref="N48:AC48" si="12">M48</f>
        <v>0.75</v>
      </c>
      <c r="O48" s="158">
        <f t="shared" si="12"/>
        <v>0.75</v>
      </c>
      <c r="P48" s="158">
        <f t="shared" si="12"/>
        <v>0.75</v>
      </c>
      <c r="Q48" s="158">
        <f t="shared" si="12"/>
        <v>0.75</v>
      </c>
      <c r="R48" s="158">
        <f t="shared" si="12"/>
        <v>0.75</v>
      </c>
      <c r="S48" s="158">
        <f t="shared" si="12"/>
        <v>0.75</v>
      </c>
      <c r="T48" s="158">
        <f t="shared" si="12"/>
        <v>0.75</v>
      </c>
      <c r="U48" s="158">
        <f t="shared" si="12"/>
        <v>0.75</v>
      </c>
      <c r="V48" s="158">
        <f t="shared" si="12"/>
        <v>0.75</v>
      </c>
      <c r="W48" s="158">
        <f t="shared" si="12"/>
        <v>0.75</v>
      </c>
      <c r="X48" s="158">
        <f t="shared" si="12"/>
        <v>0.75</v>
      </c>
      <c r="Y48" s="158">
        <f t="shared" si="12"/>
        <v>0.75</v>
      </c>
      <c r="Z48" s="158">
        <f t="shared" si="12"/>
        <v>0.75</v>
      </c>
      <c r="AA48" s="158">
        <f t="shared" si="12"/>
        <v>0.75</v>
      </c>
      <c r="AB48" s="158">
        <f t="shared" si="12"/>
        <v>0.75</v>
      </c>
      <c r="AC48" s="158">
        <f t="shared" si="12"/>
        <v>0.75</v>
      </c>
    </row>
    <row r="49" spans="2:29" ht="17">
      <c r="C49" s="139" t="s">
        <v>537</v>
      </c>
      <c r="H49" s="157">
        <f>1-H48</f>
        <v>5.0000000000000044E-2</v>
      </c>
      <c r="I49" s="158">
        <f t="shared" ref="I49:AC49" si="13">1-I48</f>
        <v>5.0000000000000044E-2</v>
      </c>
      <c r="J49" s="158">
        <f t="shared" si="13"/>
        <v>5.0000000000000044E-2</v>
      </c>
      <c r="K49" s="158">
        <f t="shared" si="13"/>
        <v>0.15000000000000002</v>
      </c>
      <c r="L49" s="158">
        <f t="shared" si="13"/>
        <v>0.25</v>
      </c>
      <c r="M49" s="158">
        <f t="shared" si="13"/>
        <v>0.25</v>
      </c>
      <c r="N49" s="158">
        <f t="shared" si="13"/>
        <v>0.25</v>
      </c>
      <c r="O49" s="158">
        <f t="shared" si="13"/>
        <v>0.25</v>
      </c>
      <c r="P49" s="158">
        <f t="shared" si="13"/>
        <v>0.25</v>
      </c>
      <c r="Q49" s="158">
        <f t="shared" si="13"/>
        <v>0.25</v>
      </c>
      <c r="R49" s="158">
        <f t="shared" si="13"/>
        <v>0.25</v>
      </c>
      <c r="S49" s="158">
        <f t="shared" si="13"/>
        <v>0.25</v>
      </c>
      <c r="T49" s="158">
        <f t="shared" si="13"/>
        <v>0.25</v>
      </c>
      <c r="U49" s="158">
        <f t="shared" si="13"/>
        <v>0.25</v>
      </c>
      <c r="V49" s="158">
        <f t="shared" si="13"/>
        <v>0.25</v>
      </c>
      <c r="W49" s="158">
        <f t="shared" si="13"/>
        <v>0.25</v>
      </c>
      <c r="X49" s="158">
        <f t="shared" si="13"/>
        <v>0.25</v>
      </c>
      <c r="Y49" s="158">
        <f t="shared" si="13"/>
        <v>0.25</v>
      </c>
      <c r="Z49" s="158">
        <f t="shared" si="13"/>
        <v>0.25</v>
      </c>
      <c r="AA49" s="158">
        <f t="shared" si="13"/>
        <v>0.25</v>
      </c>
      <c r="AB49" s="158">
        <f t="shared" si="13"/>
        <v>0.25</v>
      </c>
      <c r="AC49" s="158">
        <f t="shared" si="13"/>
        <v>0.25</v>
      </c>
    </row>
    <row r="51" spans="2:29" ht="17">
      <c r="C51" s="139" t="s">
        <v>538</v>
      </c>
      <c r="D51" s="145"/>
      <c r="E51" s="145"/>
      <c r="F51" s="145"/>
      <c r="G51" s="145"/>
      <c r="H51" s="145" t="e">
        <f>AVERAGE(ISBSCF!D31:D31)/ISBSCF!D6*365</f>
        <v>#DIV/0!</v>
      </c>
      <c r="I51" s="145">
        <v>150</v>
      </c>
      <c r="J51" s="145">
        <f t="shared" ref="J51:M52" si="14">I51-5</f>
        <v>145</v>
      </c>
      <c r="K51" s="145">
        <f t="shared" si="14"/>
        <v>140</v>
      </c>
      <c r="L51" s="145">
        <f t="shared" si="14"/>
        <v>135</v>
      </c>
      <c r="M51" s="145">
        <f t="shared" si="14"/>
        <v>130</v>
      </c>
      <c r="N51" s="145">
        <f>M51</f>
        <v>130</v>
      </c>
      <c r="O51" s="145">
        <f t="shared" ref="O51:AC51" si="15">N51</f>
        <v>130</v>
      </c>
      <c r="P51" s="145">
        <f t="shared" si="15"/>
        <v>130</v>
      </c>
      <c r="Q51" s="145">
        <f t="shared" si="15"/>
        <v>130</v>
      </c>
      <c r="R51" s="145">
        <f t="shared" si="15"/>
        <v>130</v>
      </c>
      <c r="S51" s="145">
        <f t="shared" si="15"/>
        <v>130</v>
      </c>
      <c r="T51" s="145">
        <f t="shared" si="15"/>
        <v>130</v>
      </c>
      <c r="U51" s="145">
        <f t="shared" si="15"/>
        <v>130</v>
      </c>
      <c r="V51" s="145">
        <f t="shared" si="15"/>
        <v>130</v>
      </c>
      <c r="W51" s="145">
        <f t="shared" si="15"/>
        <v>130</v>
      </c>
      <c r="X51" s="145">
        <f t="shared" si="15"/>
        <v>130</v>
      </c>
      <c r="Y51" s="145">
        <f t="shared" si="15"/>
        <v>130</v>
      </c>
      <c r="Z51" s="145">
        <f t="shared" si="15"/>
        <v>130</v>
      </c>
      <c r="AA51" s="145">
        <f t="shared" si="15"/>
        <v>130</v>
      </c>
      <c r="AB51" s="145">
        <f t="shared" si="15"/>
        <v>130</v>
      </c>
      <c r="AC51" s="145">
        <f t="shared" si="15"/>
        <v>130</v>
      </c>
    </row>
    <row r="52" spans="2:29" ht="17">
      <c r="C52" s="139" t="s">
        <v>539</v>
      </c>
      <c r="D52" s="145"/>
      <c r="E52" s="145"/>
      <c r="F52" s="145"/>
      <c r="G52" s="145"/>
      <c r="H52" s="145" t="e">
        <f>AVERAGE(ISBSCF!D32:D32)/ISBSCF!D6*365</f>
        <v>#DIV/0!</v>
      </c>
      <c r="I52" s="145">
        <v>200</v>
      </c>
      <c r="J52" s="145">
        <f t="shared" si="14"/>
        <v>195</v>
      </c>
      <c r="K52" s="145">
        <f t="shared" si="14"/>
        <v>190</v>
      </c>
      <c r="L52" s="145">
        <f t="shared" si="14"/>
        <v>185</v>
      </c>
      <c r="M52" s="145">
        <f t="shared" si="14"/>
        <v>180</v>
      </c>
      <c r="N52" s="145">
        <f t="shared" ref="N52:S52" si="16">M52-5</f>
        <v>175</v>
      </c>
      <c r="O52" s="145">
        <f t="shared" si="16"/>
        <v>170</v>
      </c>
      <c r="P52" s="145">
        <f t="shared" si="16"/>
        <v>165</v>
      </c>
      <c r="Q52" s="145">
        <f t="shared" si="16"/>
        <v>160</v>
      </c>
      <c r="R52" s="145">
        <f t="shared" si="16"/>
        <v>155</v>
      </c>
      <c r="S52" s="145">
        <f t="shared" si="16"/>
        <v>150</v>
      </c>
      <c r="T52" s="145">
        <f t="shared" ref="T52:AC52" si="17">S52</f>
        <v>150</v>
      </c>
      <c r="U52" s="145">
        <f t="shared" si="17"/>
        <v>150</v>
      </c>
      <c r="V52" s="145">
        <f t="shared" si="17"/>
        <v>150</v>
      </c>
      <c r="W52" s="145">
        <f t="shared" si="17"/>
        <v>150</v>
      </c>
      <c r="X52" s="145">
        <f t="shared" si="17"/>
        <v>150</v>
      </c>
      <c r="Y52" s="145">
        <f t="shared" si="17"/>
        <v>150</v>
      </c>
      <c r="Z52" s="145">
        <f t="shared" si="17"/>
        <v>150</v>
      </c>
      <c r="AA52" s="145">
        <f t="shared" si="17"/>
        <v>150</v>
      </c>
      <c r="AB52" s="145">
        <f t="shared" si="17"/>
        <v>150</v>
      </c>
      <c r="AC52" s="145">
        <f t="shared" si="17"/>
        <v>150</v>
      </c>
    </row>
    <row r="53" spans="2:29" ht="17">
      <c r="C53" s="139" t="s">
        <v>540</v>
      </c>
      <c r="D53" s="145"/>
      <c r="E53" s="145"/>
      <c r="F53" s="145"/>
      <c r="G53" s="145"/>
      <c r="H53" s="145" t="e">
        <f>AVERAGE(ISBSCF!D52:D52)/ISBSCF!D6*365</f>
        <v>#DIV/0!</v>
      </c>
      <c r="I53" s="164">
        <v>180</v>
      </c>
      <c r="J53" s="164">
        <f t="shared" ref="J53:T53" si="18">I53+3</f>
        <v>183</v>
      </c>
      <c r="K53" s="164">
        <f t="shared" si="18"/>
        <v>186</v>
      </c>
      <c r="L53" s="164">
        <f t="shared" si="18"/>
        <v>189</v>
      </c>
      <c r="M53" s="164">
        <f t="shared" si="18"/>
        <v>192</v>
      </c>
      <c r="N53" s="164">
        <f t="shared" si="18"/>
        <v>195</v>
      </c>
      <c r="O53" s="164">
        <f t="shared" si="18"/>
        <v>198</v>
      </c>
      <c r="P53" s="164">
        <f t="shared" si="18"/>
        <v>201</v>
      </c>
      <c r="Q53" s="164">
        <f t="shared" si="18"/>
        <v>204</v>
      </c>
      <c r="R53" s="164">
        <f t="shared" si="18"/>
        <v>207</v>
      </c>
      <c r="S53" s="164">
        <f t="shared" si="18"/>
        <v>210</v>
      </c>
      <c r="T53" s="164">
        <f t="shared" si="18"/>
        <v>213</v>
      </c>
      <c r="U53" s="164">
        <f t="shared" ref="U53:AC53" si="19">T53</f>
        <v>213</v>
      </c>
      <c r="V53" s="164">
        <f t="shared" si="19"/>
        <v>213</v>
      </c>
      <c r="W53" s="164">
        <f t="shared" si="19"/>
        <v>213</v>
      </c>
      <c r="X53" s="164">
        <f t="shared" si="19"/>
        <v>213</v>
      </c>
      <c r="Y53" s="164">
        <f t="shared" si="19"/>
        <v>213</v>
      </c>
      <c r="Z53" s="164">
        <f t="shared" si="19"/>
        <v>213</v>
      </c>
      <c r="AA53" s="164">
        <f t="shared" si="19"/>
        <v>213</v>
      </c>
      <c r="AB53" s="164">
        <f t="shared" si="19"/>
        <v>213</v>
      </c>
      <c r="AC53" s="164">
        <f t="shared" si="19"/>
        <v>213</v>
      </c>
    </row>
    <row r="54" spans="2:29" s="148" customFormat="1" ht="17">
      <c r="B54" s="146"/>
      <c r="C54" s="146" t="s">
        <v>541</v>
      </c>
      <c r="D54" s="147"/>
      <c r="E54" s="147"/>
      <c r="F54" s="147"/>
      <c r="G54" s="147"/>
      <c r="H54" s="147" t="e">
        <f t="shared" ref="H54:AC54" si="20">H51+H52-H53</f>
        <v>#DIV/0!</v>
      </c>
      <c r="I54" s="147">
        <f t="shared" si="20"/>
        <v>170</v>
      </c>
      <c r="J54" s="147">
        <f t="shared" si="20"/>
        <v>157</v>
      </c>
      <c r="K54" s="147">
        <f t="shared" si="20"/>
        <v>144</v>
      </c>
      <c r="L54" s="147">
        <f t="shared" si="20"/>
        <v>131</v>
      </c>
      <c r="M54" s="147">
        <f t="shared" si="20"/>
        <v>118</v>
      </c>
      <c r="N54" s="147">
        <f t="shared" si="20"/>
        <v>110</v>
      </c>
      <c r="O54" s="147">
        <f t="shared" si="20"/>
        <v>102</v>
      </c>
      <c r="P54" s="147">
        <f t="shared" si="20"/>
        <v>94</v>
      </c>
      <c r="Q54" s="147">
        <f t="shared" si="20"/>
        <v>86</v>
      </c>
      <c r="R54" s="147">
        <f t="shared" si="20"/>
        <v>78</v>
      </c>
      <c r="S54" s="147">
        <f t="shared" si="20"/>
        <v>70</v>
      </c>
      <c r="T54" s="147">
        <f t="shared" si="20"/>
        <v>67</v>
      </c>
      <c r="U54" s="147">
        <f t="shared" si="20"/>
        <v>67</v>
      </c>
      <c r="V54" s="147">
        <f t="shared" si="20"/>
        <v>67</v>
      </c>
      <c r="W54" s="147">
        <f t="shared" si="20"/>
        <v>67</v>
      </c>
      <c r="X54" s="147">
        <f t="shared" si="20"/>
        <v>67</v>
      </c>
      <c r="Y54" s="147">
        <f t="shared" si="20"/>
        <v>67</v>
      </c>
      <c r="Z54" s="147">
        <f t="shared" si="20"/>
        <v>67</v>
      </c>
      <c r="AA54" s="147">
        <f t="shared" si="20"/>
        <v>67</v>
      </c>
      <c r="AB54" s="147">
        <f t="shared" si="20"/>
        <v>67</v>
      </c>
      <c r="AC54" s="147">
        <f t="shared" si="20"/>
        <v>67</v>
      </c>
    </row>
    <row r="66" spans="2:29" ht="17">
      <c r="B66" s="149" t="s">
        <v>542</v>
      </c>
      <c r="C66" s="150" t="s">
        <v>543</v>
      </c>
      <c r="E66" s="151"/>
      <c r="F66" s="151"/>
      <c r="G66" s="151"/>
    </row>
    <row r="67" spans="2:29" ht="17">
      <c r="B67" s="146" t="s">
        <v>544</v>
      </c>
      <c r="C67" s="126" t="s">
        <v>545</v>
      </c>
      <c r="E67" s="153"/>
      <c r="F67" s="153"/>
      <c r="G67" s="153"/>
    </row>
    <row r="68" spans="2:29" ht="17">
      <c r="B68" s="160" t="s">
        <v>546</v>
      </c>
      <c r="C68" s="161" t="s">
        <v>547</v>
      </c>
      <c r="E68" s="162"/>
      <c r="F68" s="162"/>
      <c r="G68" s="162"/>
      <c r="H68" s="162">
        <v>2.3E-2</v>
      </c>
      <c r="I68" s="145">
        <f>H87</f>
        <v>0.33600000000000002</v>
      </c>
      <c r="J68" s="145">
        <f t="shared" ref="J68:AC68" si="21">I76</f>
        <v>0.69300000000000006</v>
      </c>
      <c r="K68" s="145">
        <f t="shared" si="21"/>
        <v>1.05</v>
      </c>
      <c r="L68" s="145">
        <f t="shared" si="21"/>
        <v>1.407</v>
      </c>
      <c r="M68" s="145">
        <f t="shared" si="21"/>
        <v>1.764</v>
      </c>
      <c r="N68" s="145">
        <f t="shared" si="21"/>
        <v>2.121</v>
      </c>
      <c r="O68" s="145">
        <f t="shared" si="21"/>
        <v>2.4779999999999998</v>
      </c>
      <c r="P68" s="145">
        <f t="shared" si="21"/>
        <v>2.835</v>
      </c>
      <c r="Q68" s="145">
        <f t="shared" si="21"/>
        <v>3.1920000000000002</v>
      </c>
      <c r="R68" s="145">
        <f t="shared" si="21"/>
        <v>3.5490000000000004</v>
      </c>
      <c r="S68" s="145">
        <f t="shared" si="21"/>
        <v>3.9060000000000006</v>
      </c>
      <c r="T68" s="145">
        <f t="shared" si="21"/>
        <v>4.2630000000000008</v>
      </c>
      <c r="U68" s="145">
        <f t="shared" si="21"/>
        <v>4.620000000000001</v>
      </c>
      <c r="V68" s="145">
        <f t="shared" si="21"/>
        <v>4.9770000000000012</v>
      </c>
      <c r="W68" s="145">
        <f t="shared" si="21"/>
        <v>5.3340000000000014</v>
      </c>
      <c r="X68" s="145">
        <f t="shared" si="21"/>
        <v>5.6910000000000016</v>
      </c>
      <c r="Y68" s="145">
        <f t="shared" si="21"/>
        <v>6.0480000000000018</v>
      </c>
      <c r="Z68" s="145">
        <f t="shared" si="21"/>
        <v>6.405000000000002</v>
      </c>
      <c r="AA68" s="145">
        <f t="shared" si="21"/>
        <v>6.7620000000000022</v>
      </c>
      <c r="AB68" s="145">
        <f t="shared" si="21"/>
        <v>7.1190000000000024</v>
      </c>
      <c r="AC68" s="145">
        <f t="shared" si="21"/>
        <v>7.4760000000000026</v>
      </c>
    </row>
    <row r="69" spans="2:29" ht="17">
      <c r="B69" s="160" t="s">
        <v>548</v>
      </c>
      <c r="C69" s="161" t="s">
        <v>549</v>
      </c>
      <c r="E69" s="162"/>
      <c r="F69" s="162"/>
      <c r="G69" s="162"/>
      <c r="H69" s="163">
        <v>0.35699999999999998</v>
      </c>
      <c r="I69" s="163">
        <f>H69</f>
        <v>0.35699999999999998</v>
      </c>
      <c r="J69" s="163">
        <f t="shared" ref="J69:AC69" si="22">I69</f>
        <v>0.35699999999999998</v>
      </c>
      <c r="K69" s="163">
        <f t="shared" si="22"/>
        <v>0.35699999999999998</v>
      </c>
      <c r="L69" s="163">
        <f t="shared" si="22"/>
        <v>0.35699999999999998</v>
      </c>
      <c r="M69" s="163">
        <f t="shared" si="22"/>
        <v>0.35699999999999998</v>
      </c>
      <c r="N69" s="163">
        <f t="shared" si="22"/>
        <v>0.35699999999999998</v>
      </c>
      <c r="O69" s="163">
        <f t="shared" si="22"/>
        <v>0.35699999999999998</v>
      </c>
      <c r="P69" s="163">
        <f t="shared" si="22"/>
        <v>0.35699999999999998</v>
      </c>
      <c r="Q69" s="163">
        <f t="shared" si="22"/>
        <v>0.35699999999999998</v>
      </c>
      <c r="R69" s="163">
        <f t="shared" si="22"/>
        <v>0.35699999999999998</v>
      </c>
      <c r="S69" s="163">
        <f t="shared" si="22"/>
        <v>0.35699999999999998</v>
      </c>
      <c r="T69" s="163">
        <f t="shared" si="22"/>
        <v>0.35699999999999998</v>
      </c>
      <c r="U69" s="163">
        <f t="shared" si="22"/>
        <v>0.35699999999999998</v>
      </c>
      <c r="V69" s="163">
        <f t="shared" si="22"/>
        <v>0.35699999999999998</v>
      </c>
      <c r="W69" s="163">
        <f t="shared" si="22"/>
        <v>0.35699999999999998</v>
      </c>
      <c r="X69" s="163">
        <f t="shared" si="22"/>
        <v>0.35699999999999998</v>
      </c>
      <c r="Y69" s="163">
        <f t="shared" si="22"/>
        <v>0.35699999999999998</v>
      </c>
      <c r="Z69" s="163">
        <f t="shared" si="22"/>
        <v>0.35699999999999998</v>
      </c>
      <c r="AA69" s="163">
        <f t="shared" si="22"/>
        <v>0.35699999999999998</v>
      </c>
      <c r="AB69" s="163">
        <f t="shared" si="22"/>
        <v>0.35699999999999998</v>
      </c>
      <c r="AC69" s="163">
        <f t="shared" si="22"/>
        <v>0.35699999999999998</v>
      </c>
    </row>
    <row r="70" spans="2:29" ht="17">
      <c r="B70" s="139" t="s">
        <v>550</v>
      </c>
      <c r="C70" s="126" t="s">
        <v>551</v>
      </c>
      <c r="E70" s="153"/>
      <c r="F70" s="153"/>
      <c r="G70" s="153"/>
      <c r="H70" s="145"/>
      <c r="I70" s="145">
        <f>H70</f>
        <v>0</v>
      </c>
      <c r="J70" s="145">
        <f t="shared" ref="J70:AC70" si="23">I70</f>
        <v>0</v>
      </c>
      <c r="K70" s="145">
        <f t="shared" si="23"/>
        <v>0</v>
      </c>
      <c r="L70" s="145">
        <f t="shared" si="23"/>
        <v>0</v>
      </c>
      <c r="M70" s="145">
        <f t="shared" si="23"/>
        <v>0</v>
      </c>
      <c r="N70" s="145">
        <f t="shared" si="23"/>
        <v>0</v>
      </c>
      <c r="O70" s="145">
        <f t="shared" si="23"/>
        <v>0</v>
      </c>
      <c r="P70" s="145">
        <f t="shared" si="23"/>
        <v>0</v>
      </c>
      <c r="Q70" s="145">
        <f t="shared" si="23"/>
        <v>0</v>
      </c>
      <c r="R70" s="145">
        <f t="shared" si="23"/>
        <v>0</v>
      </c>
      <c r="S70" s="145">
        <f t="shared" si="23"/>
        <v>0</v>
      </c>
      <c r="T70" s="145">
        <f t="shared" si="23"/>
        <v>0</v>
      </c>
      <c r="U70" s="145">
        <f t="shared" si="23"/>
        <v>0</v>
      </c>
      <c r="V70" s="145">
        <f t="shared" si="23"/>
        <v>0</v>
      </c>
      <c r="W70" s="145">
        <f t="shared" si="23"/>
        <v>0</v>
      </c>
      <c r="X70" s="145">
        <f t="shared" si="23"/>
        <v>0</v>
      </c>
      <c r="Y70" s="145">
        <f t="shared" si="23"/>
        <v>0</v>
      </c>
      <c r="Z70" s="145">
        <f t="shared" si="23"/>
        <v>0</v>
      </c>
      <c r="AA70" s="145">
        <f t="shared" si="23"/>
        <v>0</v>
      </c>
      <c r="AB70" s="145">
        <f t="shared" si="23"/>
        <v>0</v>
      </c>
      <c r="AC70" s="145">
        <f t="shared" si="23"/>
        <v>0</v>
      </c>
    </row>
    <row r="71" spans="2:29" ht="17">
      <c r="B71" s="139" t="s">
        <v>552</v>
      </c>
      <c r="C71" s="126" t="s">
        <v>553</v>
      </c>
      <c r="E71" s="153"/>
      <c r="F71" s="153"/>
      <c r="G71" s="153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</row>
    <row r="72" spans="2:29" ht="17">
      <c r="B72" s="139" t="s">
        <v>554</v>
      </c>
      <c r="C72" s="126" t="s">
        <v>555</v>
      </c>
      <c r="E72" s="153"/>
      <c r="F72" s="153"/>
      <c r="G72" s="153"/>
      <c r="H72" s="145"/>
      <c r="I72" s="145">
        <v>0</v>
      </c>
      <c r="J72" s="145">
        <v>0</v>
      </c>
      <c r="K72" s="145">
        <v>0</v>
      </c>
      <c r="L72" s="145">
        <v>0</v>
      </c>
      <c r="M72" s="145">
        <v>0</v>
      </c>
      <c r="N72" s="145">
        <v>0</v>
      </c>
      <c r="O72" s="145">
        <v>0</v>
      </c>
      <c r="P72" s="145">
        <v>0</v>
      </c>
      <c r="Q72" s="145">
        <v>0</v>
      </c>
      <c r="R72" s="145">
        <v>0</v>
      </c>
      <c r="S72" s="145">
        <v>0</v>
      </c>
      <c r="T72" s="145">
        <v>0</v>
      </c>
      <c r="U72" s="145">
        <v>0</v>
      </c>
      <c r="V72" s="145">
        <v>0</v>
      </c>
      <c r="W72" s="145">
        <v>0</v>
      </c>
      <c r="X72" s="145">
        <v>0</v>
      </c>
      <c r="Y72" s="145">
        <v>0</v>
      </c>
      <c r="Z72" s="145">
        <v>0</v>
      </c>
      <c r="AA72" s="145">
        <v>0</v>
      </c>
      <c r="AB72" s="145">
        <v>0</v>
      </c>
      <c r="AC72" s="145">
        <v>0</v>
      </c>
    </row>
    <row r="73" spans="2:29" ht="17">
      <c r="B73" s="139" t="s">
        <v>556</v>
      </c>
      <c r="C73" s="126" t="s">
        <v>557</v>
      </c>
      <c r="E73" s="153"/>
      <c r="F73" s="153"/>
      <c r="G73" s="153"/>
      <c r="H73" s="145"/>
      <c r="I73" s="145">
        <v>0</v>
      </c>
      <c r="J73" s="145">
        <v>0</v>
      </c>
      <c r="K73" s="145">
        <v>0</v>
      </c>
      <c r="L73" s="145">
        <v>0</v>
      </c>
      <c r="M73" s="145">
        <v>0</v>
      </c>
      <c r="N73" s="145">
        <v>0</v>
      </c>
      <c r="O73" s="145">
        <v>0</v>
      </c>
      <c r="P73" s="145">
        <v>0</v>
      </c>
      <c r="Q73" s="145">
        <v>0</v>
      </c>
      <c r="R73" s="145">
        <v>0</v>
      </c>
      <c r="S73" s="145">
        <v>0</v>
      </c>
      <c r="T73" s="145">
        <v>0</v>
      </c>
      <c r="U73" s="145">
        <v>0</v>
      </c>
      <c r="V73" s="145">
        <v>0</v>
      </c>
      <c r="W73" s="145">
        <v>0</v>
      </c>
      <c r="X73" s="145">
        <v>0</v>
      </c>
      <c r="Y73" s="145">
        <v>0</v>
      </c>
      <c r="Z73" s="145">
        <v>0</v>
      </c>
      <c r="AA73" s="145">
        <v>0</v>
      </c>
      <c r="AB73" s="145">
        <v>0</v>
      </c>
      <c r="AC73" s="145">
        <v>0</v>
      </c>
    </row>
    <row r="74" spans="2:29" ht="17">
      <c r="B74" s="160" t="s">
        <v>558</v>
      </c>
      <c r="C74" s="161" t="s">
        <v>559</v>
      </c>
      <c r="E74" s="162"/>
      <c r="F74" s="162"/>
      <c r="G74" s="162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</row>
    <row r="75" spans="2:29" ht="17">
      <c r="B75" s="139" t="s">
        <v>560</v>
      </c>
      <c r="C75" s="126" t="s">
        <v>561</v>
      </c>
      <c r="E75" s="153"/>
      <c r="F75" s="153"/>
      <c r="G75" s="153"/>
      <c r="H75" s="145"/>
      <c r="I75" s="145">
        <f t="shared" ref="I75:AC75" si="24">H75</f>
        <v>0</v>
      </c>
      <c r="J75" s="145">
        <f t="shared" si="24"/>
        <v>0</v>
      </c>
      <c r="K75" s="145">
        <f t="shared" si="24"/>
        <v>0</v>
      </c>
      <c r="L75" s="145">
        <f t="shared" si="24"/>
        <v>0</v>
      </c>
      <c r="M75" s="145">
        <f t="shared" si="24"/>
        <v>0</v>
      </c>
      <c r="N75" s="145">
        <f t="shared" si="24"/>
        <v>0</v>
      </c>
      <c r="O75" s="145">
        <f t="shared" si="24"/>
        <v>0</v>
      </c>
      <c r="P75" s="145">
        <f t="shared" si="24"/>
        <v>0</v>
      </c>
      <c r="Q75" s="145">
        <f t="shared" si="24"/>
        <v>0</v>
      </c>
      <c r="R75" s="145">
        <f t="shared" si="24"/>
        <v>0</v>
      </c>
      <c r="S75" s="145">
        <f t="shared" si="24"/>
        <v>0</v>
      </c>
      <c r="T75" s="145">
        <f t="shared" si="24"/>
        <v>0</v>
      </c>
      <c r="U75" s="145">
        <f t="shared" si="24"/>
        <v>0</v>
      </c>
      <c r="V75" s="145">
        <f t="shared" si="24"/>
        <v>0</v>
      </c>
      <c r="W75" s="145">
        <f t="shared" si="24"/>
        <v>0</v>
      </c>
      <c r="X75" s="145">
        <f t="shared" si="24"/>
        <v>0</v>
      </c>
      <c r="Y75" s="145">
        <f t="shared" si="24"/>
        <v>0</v>
      </c>
      <c r="Z75" s="145">
        <f t="shared" si="24"/>
        <v>0</v>
      </c>
      <c r="AA75" s="145">
        <f t="shared" si="24"/>
        <v>0</v>
      </c>
      <c r="AB75" s="145">
        <f t="shared" si="24"/>
        <v>0</v>
      </c>
      <c r="AC75" s="145">
        <f t="shared" si="24"/>
        <v>0</v>
      </c>
    </row>
    <row r="76" spans="2:29" ht="17">
      <c r="B76" s="160" t="s">
        <v>562</v>
      </c>
      <c r="C76" s="161" t="s">
        <v>563</v>
      </c>
      <c r="E76" s="162"/>
      <c r="F76" s="162"/>
      <c r="G76" s="163"/>
      <c r="H76" s="163">
        <f>SUM(H68:H75)</f>
        <v>0.38</v>
      </c>
      <c r="I76" s="163">
        <f>SUM(I68:I75)</f>
        <v>0.69300000000000006</v>
      </c>
      <c r="J76" s="163">
        <f t="shared" ref="J76:AC76" si="25">SUM(J68:J75)</f>
        <v>1.05</v>
      </c>
      <c r="K76" s="163">
        <f t="shared" si="25"/>
        <v>1.407</v>
      </c>
      <c r="L76" s="163">
        <f t="shared" si="25"/>
        <v>1.764</v>
      </c>
      <c r="M76" s="163">
        <f t="shared" si="25"/>
        <v>2.121</v>
      </c>
      <c r="N76" s="163">
        <f t="shared" si="25"/>
        <v>2.4779999999999998</v>
      </c>
      <c r="O76" s="163">
        <f t="shared" si="25"/>
        <v>2.835</v>
      </c>
      <c r="P76" s="163">
        <f t="shared" si="25"/>
        <v>3.1920000000000002</v>
      </c>
      <c r="Q76" s="163">
        <f t="shared" si="25"/>
        <v>3.5490000000000004</v>
      </c>
      <c r="R76" s="163">
        <f t="shared" si="25"/>
        <v>3.9060000000000006</v>
      </c>
      <c r="S76" s="163">
        <f t="shared" si="25"/>
        <v>4.2630000000000008</v>
      </c>
      <c r="T76" s="163">
        <f t="shared" si="25"/>
        <v>4.620000000000001</v>
      </c>
      <c r="U76" s="163">
        <f t="shared" si="25"/>
        <v>4.9770000000000012</v>
      </c>
      <c r="V76" s="163">
        <f t="shared" si="25"/>
        <v>5.3340000000000014</v>
      </c>
      <c r="W76" s="163">
        <f t="shared" si="25"/>
        <v>5.6910000000000016</v>
      </c>
      <c r="X76" s="163">
        <f t="shared" si="25"/>
        <v>6.0480000000000018</v>
      </c>
      <c r="Y76" s="163">
        <f t="shared" si="25"/>
        <v>6.405000000000002</v>
      </c>
      <c r="Z76" s="163">
        <f t="shared" si="25"/>
        <v>6.7620000000000022</v>
      </c>
      <c r="AA76" s="163">
        <f t="shared" si="25"/>
        <v>7.1190000000000024</v>
      </c>
      <c r="AB76" s="163">
        <f t="shared" si="25"/>
        <v>7.4760000000000026</v>
      </c>
      <c r="AC76" s="163">
        <f t="shared" si="25"/>
        <v>7.8330000000000028</v>
      </c>
    </row>
    <row r="77" spans="2:29" ht="17">
      <c r="B77" s="146" t="s">
        <v>564</v>
      </c>
      <c r="C77" s="126" t="s">
        <v>565</v>
      </c>
      <c r="E77" s="153"/>
      <c r="F77" s="153"/>
      <c r="G77" s="153"/>
      <c r="H77" s="153">
        <f>H78+H79</f>
        <v>4.3999999999999997E-2</v>
      </c>
      <c r="I77" s="153">
        <f t="shared" ref="I77:AC77" si="26">I78+I79</f>
        <v>4.3999999999999997E-2</v>
      </c>
      <c r="J77" s="153">
        <f t="shared" si="26"/>
        <v>4.3999999999999997E-2</v>
      </c>
      <c r="K77" s="153">
        <f t="shared" si="26"/>
        <v>4.3999999999999997E-2</v>
      </c>
      <c r="L77" s="153">
        <f t="shared" si="26"/>
        <v>4.3999999999999997E-2</v>
      </c>
      <c r="M77" s="153">
        <f t="shared" si="26"/>
        <v>4.3999999999999997E-2</v>
      </c>
      <c r="N77" s="153">
        <f t="shared" si="26"/>
        <v>4.3999999999999997E-2</v>
      </c>
      <c r="O77" s="153">
        <f t="shared" si="26"/>
        <v>4.3999999999999997E-2</v>
      </c>
      <c r="P77" s="153">
        <f t="shared" si="26"/>
        <v>4.3999999999999997E-2</v>
      </c>
      <c r="Q77" s="153">
        <f t="shared" si="26"/>
        <v>4.3999999999999997E-2</v>
      </c>
      <c r="R77" s="153">
        <f t="shared" si="26"/>
        <v>4.3999999999999997E-2</v>
      </c>
      <c r="S77" s="153">
        <f t="shared" si="26"/>
        <v>4.3999999999999997E-2</v>
      </c>
      <c r="T77" s="153">
        <f t="shared" si="26"/>
        <v>4.3999999999999997E-2</v>
      </c>
      <c r="U77" s="153">
        <f t="shared" si="26"/>
        <v>4.3999999999999997E-2</v>
      </c>
      <c r="V77" s="153">
        <f t="shared" si="26"/>
        <v>4.3999999999999997E-2</v>
      </c>
      <c r="W77" s="153">
        <f t="shared" si="26"/>
        <v>4.3999999999999997E-2</v>
      </c>
      <c r="X77" s="153">
        <f t="shared" si="26"/>
        <v>4.3999999999999997E-2</v>
      </c>
      <c r="Y77" s="153">
        <f t="shared" si="26"/>
        <v>4.3999999999999997E-2</v>
      </c>
      <c r="Z77" s="153">
        <f t="shared" si="26"/>
        <v>4.3999999999999997E-2</v>
      </c>
      <c r="AA77" s="153">
        <f t="shared" si="26"/>
        <v>4.3999999999999997E-2</v>
      </c>
      <c r="AB77" s="153">
        <f t="shared" si="26"/>
        <v>4.3999999999999997E-2</v>
      </c>
      <c r="AC77" s="153">
        <f t="shared" si="26"/>
        <v>4.3999999999999997E-2</v>
      </c>
    </row>
    <row r="78" spans="2:29" ht="37" customHeight="1">
      <c r="B78" s="160" t="s">
        <v>546</v>
      </c>
      <c r="C78" s="161" t="s">
        <v>547</v>
      </c>
      <c r="E78" s="162"/>
      <c r="F78" s="162"/>
      <c r="G78" s="162"/>
      <c r="H78" s="162">
        <v>5.0000000000000001E-3</v>
      </c>
      <c r="I78" s="145">
        <f>H78</f>
        <v>5.0000000000000001E-3</v>
      </c>
      <c r="J78" s="145">
        <f t="shared" ref="J78:AC78" si="27">I78</f>
        <v>5.0000000000000001E-3</v>
      </c>
      <c r="K78" s="145">
        <f t="shared" si="27"/>
        <v>5.0000000000000001E-3</v>
      </c>
      <c r="L78" s="145">
        <f t="shared" si="27"/>
        <v>5.0000000000000001E-3</v>
      </c>
      <c r="M78" s="145">
        <f t="shared" si="27"/>
        <v>5.0000000000000001E-3</v>
      </c>
      <c r="N78" s="145">
        <f t="shared" si="27"/>
        <v>5.0000000000000001E-3</v>
      </c>
      <c r="O78" s="145">
        <f t="shared" si="27"/>
        <v>5.0000000000000001E-3</v>
      </c>
      <c r="P78" s="145">
        <f t="shared" si="27"/>
        <v>5.0000000000000001E-3</v>
      </c>
      <c r="Q78" s="145">
        <f t="shared" si="27"/>
        <v>5.0000000000000001E-3</v>
      </c>
      <c r="R78" s="145">
        <f t="shared" si="27"/>
        <v>5.0000000000000001E-3</v>
      </c>
      <c r="S78" s="145">
        <f t="shared" si="27"/>
        <v>5.0000000000000001E-3</v>
      </c>
      <c r="T78" s="145">
        <f t="shared" si="27"/>
        <v>5.0000000000000001E-3</v>
      </c>
      <c r="U78" s="145">
        <f t="shared" si="27"/>
        <v>5.0000000000000001E-3</v>
      </c>
      <c r="V78" s="145">
        <f t="shared" si="27"/>
        <v>5.0000000000000001E-3</v>
      </c>
      <c r="W78" s="145">
        <f t="shared" si="27"/>
        <v>5.0000000000000001E-3</v>
      </c>
      <c r="X78" s="145">
        <f t="shared" si="27"/>
        <v>5.0000000000000001E-3</v>
      </c>
      <c r="Y78" s="145">
        <f t="shared" si="27"/>
        <v>5.0000000000000001E-3</v>
      </c>
      <c r="Z78" s="145">
        <f t="shared" si="27"/>
        <v>5.0000000000000001E-3</v>
      </c>
      <c r="AA78" s="145">
        <f t="shared" si="27"/>
        <v>5.0000000000000001E-3</v>
      </c>
      <c r="AB78" s="145">
        <f t="shared" si="27"/>
        <v>5.0000000000000001E-3</v>
      </c>
      <c r="AC78" s="145">
        <f t="shared" si="27"/>
        <v>5.0000000000000001E-3</v>
      </c>
    </row>
    <row r="79" spans="2:29" ht="17">
      <c r="B79" s="160" t="s">
        <v>566</v>
      </c>
      <c r="C79" s="161" t="s">
        <v>549</v>
      </c>
      <c r="E79" s="162"/>
      <c r="F79" s="162"/>
      <c r="G79" s="162"/>
      <c r="H79" s="145">
        <v>3.9E-2</v>
      </c>
      <c r="I79" s="145">
        <f>AVERAGE(G79:H79)</f>
        <v>3.9E-2</v>
      </c>
      <c r="J79" s="145">
        <f>AVERAGE(H79:I79)</f>
        <v>3.9E-2</v>
      </c>
      <c r="K79" s="145">
        <f t="shared" ref="K79:AC79" si="28">J79</f>
        <v>3.9E-2</v>
      </c>
      <c r="L79" s="145">
        <f t="shared" si="28"/>
        <v>3.9E-2</v>
      </c>
      <c r="M79" s="145">
        <f t="shared" si="28"/>
        <v>3.9E-2</v>
      </c>
      <c r="N79" s="145">
        <f t="shared" si="28"/>
        <v>3.9E-2</v>
      </c>
      <c r="O79" s="145">
        <f t="shared" si="28"/>
        <v>3.9E-2</v>
      </c>
      <c r="P79" s="145">
        <f t="shared" si="28"/>
        <v>3.9E-2</v>
      </c>
      <c r="Q79" s="145">
        <f t="shared" si="28"/>
        <v>3.9E-2</v>
      </c>
      <c r="R79" s="145">
        <f t="shared" si="28"/>
        <v>3.9E-2</v>
      </c>
      <c r="S79" s="145">
        <f t="shared" si="28"/>
        <v>3.9E-2</v>
      </c>
      <c r="T79" s="145">
        <f t="shared" si="28"/>
        <v>3.9E-2</v>
      </c>
      <c r="U79" s="145">
        <f t="shared" si="28"/>
        <v>3.9E-2</v>
      </c>
      <c r="V79" s="145">
        <f t="shared" si="28"/>
        <v>3.9E-2</v>
      </c>
      <c r="W79" s="145">
        <f t="shared" si="28"/>
        <v>3.9E-2</v>
      </c>
      <c r="X79" s="145">
        <f t="shared" si="28"/>
        <v>3.9E-2</v>
      </c>
      <c r="Y79" s="145">
        <f t="shared" si="28"/>
        <v>3.9E-2</v>
      </c>
      <c r="Z79" s="145">
        <f t="shared" si="28"/>
        <v>3.9E-2</v>
      </c>
      <c r="AA79" s="145">
        <f t="shared" si="28"/>
        <v>3.9E-2</v>
      </c>
      <c r="AB79" s="145">
        <f t="shared" si="28"/>
        <v>3.9E-2</v>
      </c>
      <c r="AC79" s="145">
        <f t="shared" si="28"/>
        <v>3.9E-2</v>
      </c>
    </row>
    <row r="80" spans="2:29" ht="17">
      <c r="B80" s="139" t="s">
        <v>567</v>
      </c>
      <c r="C80" s="126" t="s">
        <v>568</v>
      </c>
      <c r="E80" s="153"/>
      <c r="F80" s="153"/>
      <c r="G80" s="153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</row>
    <row r="81" spans="2:29" ht="17">
      <c r="B81" s="139" t="s">
        <v>569</v>
      </c>
      <c r="C81" s="126" t="s">
        <v>557</v>
      </c>
      <c r="E81" s="153"/>
      <c r="F81" s="153"/>
      <c r="G81" s="153"/>
      <c r="H81" s="145"/>
      <c r="I81" s="145">
        <v>0</v>
      </c>
      <c r="J81" s="145">
        <v>0</v>
      </c>
      <c r="K81" s="145">
        <v>0</v>
      </c>
      <c r="L81" s="145">
        <v>0</v>
      </c>
      <c r="M81" s="145">
        <v>0</v>
      </c>
      <c r="N81" s="145">
        <v>0</v>
      </c>
      <c r="O81" s="145">
        <v>0</v>
      </c>
      <c r="P81" s="145">
        <v>0</v>
      </c>
      <c r="Q81" s="145">
        <v>0</v>
      </c>
      <c r="R81" s="145">
        <v>0</v>
      </c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</row>
    <row r="82" spans="2:29" ht="17">
      <c r="B82" s="160" t="s">
        <v>558</v>
      </c>
      <c r="C82" s="161" t="s">
        <v>559</v>
      </c>
      <c r="E82" s="162"/>
      <c r="F82" s="162"/>
      <c r="G82" s="162"/>
      <c r="H82" s="145"/>
      <c r="I82" s="145">
        <f t="shared" ref="I82:AC82" si="29">I83</f>
        <v>0</v>
      </c>
      <c r="J82" s="145">
        <f t="shared" si="29"/>
        <v>0</v>
      </c>
      <c r="K82" s="145">
        <f t="shared" si="29"/>
        <v>0</v>
      </c>
      <c r="L82" s="145">
        <f t="shared" si="29"/>
        <v>0</v>
      </c>
      <c r="M82" s="145">
        <f t="shared" si="29"/>
        <v>0</v>
      </c>
      <c r="N82" s="145">
        <f t="shared" si="29"/>
        <v>0</v>
      </c>
      <c r="O82" s="145">
        <f t="shared" si="29"/>
        <v>0</v>
      </c>
      <c r="P82" s="145">
        <f t="shared" si="29"/>
        <v>0</v>
      </c>
      <c r="Q82" s="145">
        <f t="shared" si="29"/>
        <v>0</v>
      </c>
      <c r="R82" s="145">
        <f t="shared" si="29"/>
        <v>0</v>
      </c>
      <c r="S82" s="145">
        <f t="shared" si="29"/>
        <v>0</v>
      </c>
      <c r="T82" s="145">
        <f t="shared" si="29"/>
        <v>0</v>
      </c>
      <c r="U82" s="145">
        <f t="shared" si="29"/>
        <v>0</v>
      </c>
      <c r="V82" s="145">
        <f t="shared" si="29"/>
        <v>0</v>
      </c>
      <c r="W82" s="145">
        <f t="shared" si="29"/>
        <v>0</v>
      </c>
      <c r="X82" s="145">
        <f t="shared" si="29"/>
        <v>0</v>
      </c>
      <c r="Y82" s="145">
        <f t="shared" si="29"/>
        <v>0</v>
      </c>
      <c r="Z82" s="145">
        <f t="shared" si="29"/>
        <v>0</v>
      </c>
      <c r="AA82" s="145">
        <f t="shared" si="29"/>
        <v>0</v>
      </c>
      <c r="AB82" s="145">
        <f t="shared" si="29"/>
        <v>0</v>
      </c>
      <c r="AC82" s="145">
        <f t="shared" si="29"/>
        <v>0</v>
      </c>
    </row>
    <row r="83" spans="2:29" ht="17">
      <c r="B83" s="139" t="s">
        <v>560</v>
      </c>
      <c r="C83" s="126" t="s">
        <v>561</v>
      </c>
      <c r="E83" s="153"/>
      <c r="F83" s="153"/>
      <c r="G83" s="153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</row>
    <row r="84" spans="2:29" ht="17">
      <c r="B84" s="160" t="s">
        <v>562</v>
      </c>
      <c r="C84" s="161" t="s">
        <v>563</v>
      </c>
      <c r="E84" s="162"/>
      <c r="F84" s="162"/>
      <c r="G84" s="162"/>
      <c r="H84" s="162">
        <f>H76-H77</f>
        <v>0.33600000000000002</v>
      </c>
      <c r="I84" s="162">
        <f t="shared" ref="I84:AC84" si="30">I76-I77</f>
        <v>0.64900000000000002</v>
      </c>
      <c r="J84" s="162">
        <f t="shared" si="30"/>
        <v>1.006</v>
      </c>
      <c r="K84" s="162">
        <f t="shared" si="30"/>
        <v>1.363</v>
      </c>
      <c r="L84" s="162">
        <f t="shared" si="30"/>
        <v>1.72</v>
      </c>
      <c r="M84" s="162">
        <f t="shared" si="30"/>
        <v>2.077</v>
      </c>
      <c r="N84" s="162">
        <f t="shared" si="30"/>
        <v>2.4339999999999997</v>
      </c>
      <c r="O84" s="162">
        <f t="shared" si="30"/>
        <v>2.7909999999999999</v>
      </c>
      <c r="P84" s="162">
        <f t="shared" si="30"/>
        <v>3.1480000000000001</v>
      </c>
      <c r="Q84" s="162">
        <f t="shared" si="30"/>
        <v>3.5050000000000003</v>
      </c>
      <c r="R84" s="162">
        <f t="shared" si="30"/>
        <v>3.8620000000000005</v>
      </c>
      <c r="S84" s="162">
        <f t="shared" si="30"/>
        <v>4.2190000000000012</v>
      </c>
      <c r="T84" s="162">
        <f t="shared" si="30"/>
        <v>4.5760000000000014</v>
      </c>
      <c r="U84" s="162">
        <f t="shared" si="30"/>
        <v>4.9330000000000016</v>
      </c>
      <c r="V84" s="162">
        <f t="shared" si="30"/>
        <v>5.2900000000000018</v>
      </c>
      <c r="W84" s="162">
        <f t="shared" si="30"/>
        <v>5.647000000000002</v>
      </c>
      <c r="X84" s="162">
        <f t="shared" si="30"/>
        <v>6.0040000000000022</v>
      </c>
      <c r="Y84" s="162">
        <f t="shared" si="30"/>
        <v>6.3610000000000024</v>
      </c>
      <c r="Z84" s="162">
        <f t="shared" si="30"/>
        <v>6.7180000000000026</v>
      </c>
      <c r="AA84" s="162">
        <f t="shared" si="30"/>
        <v>7.0750000000000028</v>
      </c>
      <c r="AB84" s="162">
        <f t="shared" si="30"/>
        <v>7.432000000000003</v>
      </c>
      <c r="AC84" s="162">
        <f t="shared" si="30"/>
        <v>7.7890000000000033</v>
      </c>
    </row>
    <row r="85" spans="2:29" ht="17">
      <c r="B85" s="146" t="s">
        <v>570</v>
      </c>
      <c r="C85" s="126" t="s">
        <v>571</v>
      </c>
      <c r="E85" s="153"/>
      <c r="F85" s="153"/>
      <c r="G85" s="153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</row>
    <row r="86" spans="2:29" ht="28.75" customHeight="1">
      <c r="B86" s="146" t="s">
        <v>572</v>
      </c>
      <c r="C86" s="126" t="s">
        <v>573</v>
      </c>
      <c r="E86" s="153"/>
      <c r="F86" s="153"/>
      <c r="G86" s="153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</row>
    <row r="87" spans="2:29" ht="28.75" customHeight="1">
      <c r="B87" s="139" t="s">
        <v>574</v>
      </c>
      <c r="C87" s="126" t="s">
        <v>575</v>
      </c>
      <c r="E87" s="153"/>
      <c r="F87" s="153"/>
      <c r="G87" s="153" t="e">
        <f>ISBSCF!#REF!</f>
        <v>#REF!</v>
      </c>
      <c r="H87" s="153">
        <f>ISBSCF!D40</f>
        <v>0.33600000000000002</v>
      </c>
      <c r="I87" s="153">
        <f>I76-I77</f>
        <v>0.64900000000000002</v>
      </c>
      <c r="J87" s="153">
        <f t="shared" ref="J87:AC87" si="31">J76-J77</f>
        <v>1.006</v>
      </c>
      <c r="K87" s="153">
        <f t="shared" si="31"/>
        <v>1.363</v>
      </c>
      <c r="L87" s="153">
        <f t="shared" si="31"/>
        <v>1.72</v>
      </c>
      <c r="M87" s="153">
        <f t="shared" si="31"/>
        <v>2.077</v>
      </c>
      <c r="N87" s="153">
        <f t="shared" si="31"/>
        <v>2.4339999999999997</v>
      </c>
      <c r="O87" s="153">
        <f t="shared" si="31"/>
        <v>2.7909999999999999</v>
      </c>
      <c r="P87" s="153">
        <f t="shared" si="31"/>
        <v>3.1480000000000001</v>
      </c>
      <c r="Q87" s="153">
        <f t="shared" si="31"/>
        <v>3.5050000000000003</v>
      </c>
      <c r="R87" s="153">
        <f t="shared" si="31"/>
        <v>3.8620000000000005</v>
      </c>
      <c r="S87" s="153">
        <f t="shared" si="31"/>
        <v>4.2190000000000012</v>
      </c>
      <c r="T87" s="153">
        <f t="shared" si="31"/>
        <v>4.5760000000000014</v>
      </c>
      <c r="U87" s="153">
        <f t="shared" si="31"/>
        <v>4.9330000000000016</v>
      </c>
      <c r="V87" s="153">
        <f t="shared" si="31"/>
        <v>5.2900000000000018</v>
      </c>
      <c r="W87" s="153">
        <f t="shared" si="31"/>
        <v>5.647000000000002</v>
      </c>
      <c r="X87" s="153">
        <f t="shared" si="31"/>
        <v>6.0040000000000022</v>
      </c>
      <c r="Y87" s="153">
        <f t="shared" si="31"/>
        <v>6.3610000000000024</v>
      </c>
      <c r="Z87" s="153">
        <f t="shared" si="31"/>
        <v>6.7180000000000026</v>
      </c>
      <c r="AA87" s="153">
        <f t="shared" si="31"/>
        <v>7.0750000000000028</v>
      </c>
      <c r="AB87" s="153">
        <f t="shared" si="31"/>
        <v>7.432000000000003</v>
      </c>
      <c r="AC87" s="153">
        <f t="shared" si="31"/>
        <v>7.7890000000000033</v>
      </c>
    </row>
    <row r="88" spans="2:29" ht="17">
      <c r="B88" s="139" t="s">
        <v>576</v>
      </c>
      <c r="C88" s="126" t="s">
        <v>577</v>
      </c>
      <c r="E88" s="153"/>
      <c r="F88" s="153"/>
      <c r="G88" s="153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</row>
    <row r="89" spans="2:29">
      <c r="C89" s="126"/>
      <c r="E89" s="153"/>
      <c r="F89" s="153"/>
      <c r="G89" s="153"/>
    </row>
    <row r="90" spans="2:29">
      <c r="C90" s="126" t="s">
        <v>578</v>
      </c>
      <c r="E90" s="153"/>
      <c r="F90" s="153"/>
      <c r="G90" s="144" t="e">
        <f>G79/F76</f>
        <v>#DIV/0!</v>
      </c>
      <c r="H90" s="144" t="e">
        <f>H79/G76</f>
        <v>#DIV/0!</v>
      </c>
      <c r="I90" s="144">
        <f>I79/H76</f>
        <v>0.10263157894736842</v>
      </c>
      <c r="J90" s="144">
        <f t="shared" ref="J90:AC90" si="32">I90</f>
        <v>0.10263157894736842</v>
      </c>
      <c r="K90" s="144">
        <f t="shared" si="32"/>
        <v>0.10263157894736842</v>
      </c>
      <c r="L90" s="144">
        <f t="shared" si="32"/>
        <v>0.10263157894736842</v>
      </c>
      <c r="M90" s="144">
        <f t="shared" si="32"/>
        <v>0.10263157894736842</v>
      </c>
      <c r="N90" s="144">
        <f t="shared" si="32"/>
        <v>0.10263157894736842</v>
      </c>
      <c r="O90" s="144">
        <f t="shared" si="32"/>
        <v>0.10263157894736842</v>
      </c>
      <c r="P90" s="144">
        <f t="shared" si="32"/>
        <v>0.10263157894736842</v>
      </c>
      <c r="Q90" s="144">
        <f t="shared" si="32"/>
        <v>0.10263157894736842</v>
      </c>
      <c r="R90" s="144">
        <f t="shared" si="32"/>
        <v>0.10263157894736842</v>
      </c>
      <c r="S90" s="144">
        <f t="shared" si="32"/>
        <v>0.10263157894736842</v>
      </c>
      <c r="T90" s="144">
        <f t="shared" si="32"/>
        <v>0.10263157894736842</v>
      </c>
      <c r="U90" s="144">
        <f t="shared" si="32"/>
        <v>0.10263157894736842</v>
      </c>
      <c r="V90" s="144">
        <f t="shared" si="32"/>
        <v>0.10263157894736842</v>
      </c>
      <c r="W90" s="144">
        <f t="shared" si="32"/>
        <v>0.10263157894736842</v>
      </c>
      <c r="X90" s="144">
        <f t="shared" si="32"/>
        <v>0.10263157894736842</v>
      </c>
      <c r="Y90" s="144">
        <f t="shared" si="32"/>
        <v>0.10263157894736842</v>
      </c>
      <c r="Z90" s="144">
        <f t="shared" si="32"/>
        <v>0.10263157894736842</v>
      </c>
      <c r="AA90" s="144">
        <f t="shared" si="32"/>
        <v>0.10263157894736842</v>
      </c>
      <c r="AB90" s="144">
        <f t="shared" si="32"/>
        <v>0.10263157894736842</v>
      </c>
      <c r="AC90" s="144">
        <f t="shared" si="32"/>
        <v>0.10263157894736842</v>
      </c>
    </row>
    <row r="91" spans="2:29">
      <c r="C91" s="126"/>
      <c r="E91" s="153"/>
      <c r="F91" s="153"/>
      <c r="G91" s="153"/>
    </row>
    <row r="92" spans="2:29">
      <c r="C92" s="126"/>
      <c r="E92" s="171"/>
      <c r="F92" s="171"/>
      <c r="G92" s="171"/>
    </row>
    <row r="93" spans="2:29" ht="17">
      <c r="B93" s="149" t="s">
        <v>579</v>
      </c>
      <c r="C93" s="150" t="s">
        <v>580</v>
      </c>
      <c r="E93" s="151"/>
      <c r="F93" s="151"/>
      <c r="G93" s="151"/>
    </row>
    <row r="94" spans="2:29" ht="17">
      <c r="B94" s="146" t="s">
        <v>544</v>
      </c>
      <c r="C94" s="126" t="s">
        <v>545</v>
      </c>
      <c r="E94" s="153"/>
      <c r="F94" s="153"/>
      <c r="G94" s="153"/>
    </row>
    <row r="95" spans="2:29" ht="17">
      <c r="B95" s="160" t="s">
        <v>546</v>
      </c>
      <c r="C95" s="161" t="s">
        <v>547</v>
      </c>
      <c r="E95" s="162"/>
      <c r="F95" s="162"/>
      <c r="G95" s="162"/>
      <c r="H95" s="162">
        <v>0.875</v>
      </c>
      <c r="I95" s="162">
        <f t="shared" ref="I95:AC95" si="33">H118</f>
        <v>1.3380000000000001</v>
      </c>
      <c r="J95" s="162">
        <f t="shared" si="33"/>
        <v>10.301000000000002</v>
      </c>
      <c r="K95" s="162">
        <f t="shared" si="33"/>
        <v>18.264000000000003</v>
      </c>
      <c r="L95" s="162">
        <f t="shared" si="33"/>
        <v>25.227000000000004</v>
      </c>
      <c r="M95" s="162">
        <f t="shared" si="33"/>
        <v>31.190000000000005</v>
      </c>
      <c r="N95" s="162">
        <f t="shared" si="33"/>
        <v>36.153000000000006</v>
      </c>
      <c r="O95" s="162">
        <f t="shared" si="33"/>
        <v>40.116000000000007</v>
      </c>
      <c r="P95" s="162">
        <f t="shared" si="33"/>
        <v>43.079000000000008</v>
      </c>
      <c r="Q95" s="162">
        <f t="shared" si="33"/>
        <v>45.042000000000009</v>
      </c>
      <c r="R95" s="162">
        <f t="shared" si="33"/>
        <v>46.00500000000001</v>
      </c>
      <c r="S95" s="162">
        <f t="shared" si="33"/>
        <v>45.968000000000011</v>
      </c>
      <c r="T95" s="162">
        <f t="shared" si="33"/>
        <v>44.931000000000012</v>
      </c>
      <c r="U95" s="162">
        <f t="shared" si="33"/>
        <v>44.894000000000013</v>
      </c>
      <c r="V95" s="162">
        <f t="shared" si="33"/>
        <v>46.857000000000014</v>
      </c>
      <c r="W95" s="162">
        <f t="shared" si="33"/>
        <v>51.820000000000014</v>
      </c>
      <c r="X95" s="162">
        <f t="shared" si="33"/>
        <v>60.783000000000023</v>
      </c>
      <c r="Y95" s="162">
        <f t="shared" si="33"/>
        <v>74.746000000000009</v>
      </c>
      <c r="Z95" s="162">
        <f t="shared" si="33"/>
        <v>94.709000000000003</v>
      </c>
      <c r="AA95" s="162">
        <f t="shared" si="33"/>
        <v>121.672</v>
      </c>
      <c r="AB95" s="162">
        <f t="shared" si="33"/>
        <v>156.63499999999999</v>
      </c>
      <c r="AC95" s="162">
        <f t="shared" si="33"/>
        <v>200.59799999999998</v>
      </c>
    </row>
    <row r="96" spans="2:29" ht="17">
      <c r="B96" s="160" t="s">
        <v>548</v>
      </c>
      <c r="C96" s="161" t="s">
        <v>549</v>
      </c>
      <c r="E96" s="162"/>
      <c r="F96" s="162"/>
      <c r="G96" s="162"/>
      <c r="H96" s="162">
        <v>0.5</v>
      </c>
      <c r="I96" s="162">
        <f>SUM(I97:I101)</f>
        <v>10</v>
      </c>
      <c r="J96" s="162">
        <f t="shared" ref="J96:AC96" si="34">SUM(J97:J101)</f>
        <v>10</v>
      </c>
      <c r="K96" s="162">
        <f t="shared" si="34"/>
        <v>10</v>
      </c>
      <c r="L96" s="162">
        <f t="shared" si="34"/>
        <v>10</v>
      </c>
      <c r="M96" s="162">
        <f t="shared" si="34"/>
        <v>10</v>
      </c>
      <c r="N96" s="162">
        <f t="shared" si="34"/>
        <v>10</v>
      </c>
      <c r="O96" s="162">
        <f t="shared" si="34"/>
        <v>10</v>
      </c>
      <c r="P96" s="162">
        <f t="shared" si="34"/>
        <v>10</v>
      </c>
      <c r="Q96" s="162">
        <f t="shared" si="34"/>
        <v>10</v>
      </c>
      <c r="R96" s="162">
        <f t="shared" si="34"/>
        <v>10</v>
      </c>
      <c r="S96" s="162">
        <f t="shared" si="34"/>
        <v>10</v>
      </c>
      <c r="T96" s="162">
        <f t="shared" si="34"/>
        <v>12</v>
      </c>
      <c r="U96" s="162">
        <f t="shared" si="34"/>
        <v>14</v>
      </c>
      <c r="V96" s="162">
        <f t="shared" si="34"/>
        <v>16</v>
      </c>
      <c r="W96" s="162">
        <f t="shared" si="34"/>
        <v>18</v>
      </c>
      <c r="X96" s="162">
        <f t="shared" si="34"/>
        <v>20</v>
      </c>
      <c r="Y96" s="162">
        <f t="shared" si="34"/>
        <v>22</v>
      </c>
      <c r="Z96" s="162">
        <f t="shared" si="34"/>
        <v>24</v>
      </c>
      <c r="AA96" s="162">
        <f t="shared" si="34"/>
        <v>26</v>
      </c>
      <c r="AB96" s="162">
        <f t="shared" si="34"/>
        <v>28</v>
      </c>
      <c r="AC96" s="162">
        <f t="shared" si="34"/>
        <v>30</v>
      </c>
    </row>
    <row r="97" spans="2:29" ht="17">
      <c r="B97" s="139" t="s">
        <v>550</v>
      </c>
      <c r="C97" s="126" t="s">
        <v>551</v>
      </c>
      <c r="E97" s="153"/>
      <c r="F97" s="153"/>
      <c r="G97" s="153"/>
      <c r="H97" s="162"/>
      <c r="I97" s="253">
        <v>10</v>
      </c>
      <c r="J97" s="253">
        <f t="shared" ref="J97:AC97" si="35">I97</f>
        <v>10</v>
      </c>
      <c r="K97" s="253">
        <f t="shared" si="35"/>
        <v>10</v>
      </c>
      <c r="L97" s="253">
        <f t="shared" si="35"/>
        <v>10</v>
      </c>
      <c r="M97" s="253">
        <f t="shared" si="35"/>
        <v>10</v>
      </c>
      <c r="N97" s="253">
        <f t="shared" si="35"/>
        <v>10</v>
      </c>
      <c r="O97" s="253">
        <f t="shared" si="35"/>
        <v>10</v>
      </c>
      <c r="P97" s="253">
        <f t="shared" si="35"/>
        <v>10</v>
      </c>
      <c r="Q97" s="253">
        <f t="shared" si="35"/>
        <v>10</v>
      </c>
      <c r="R97" s="253">
        <f t="shared" si="35"/>
        <v>10</v>
      </c>
      <c r="S97" s="253">
        <f t="shared" si="35"/>
        <v>10</v>
      </c>
      <c r="T97" s="253">
        <f t="shared" si="35"/>
        <v>10</v>
      </c>
      <c r="U97" s="253">
        <f t="shared" si="35"/>
        <v>10</v>
      </c>
      <c r="V97" s="253">
        <f t="shared" si="35"/>
        <v>10</v>
      </c>
      <c r="W97" s="253">
        <f t="shared" si="35"/>
        <v>10</v>
      </c>
      <c r="X97" s="253">
        <f t="shared" si="35"/>
        <v>10</v>
      </c>
      <c r="Y97" s="253">
        <f t="shared" si="35"/>
        <v>10</v>
      </c>
      <c r="Z97" s="253">
        <f t="shared" si="35"/>
        <v>10</v>
      </c>
      <c r="AA97" s="253">
        <f t="shared" si="35"/>
        <v>10</v>
      </c>
      <c r="AB97" s="253">
        <f t="shared" si="35"/>
        <v>10</v>
      </c>
      <c r="AC97" s="253">
        <f t="shared" si="35"/>
        <v>10</v>
      </c>
    </row>
    <row r="98" spans="2:29" ht="17">
      <c r="B98" s="139" t="s">
        <v>581</v>
      </c>
      <c r="C98" s="126" t="s">
        <v>582</v>
      </c>
      <c r="E98" s="153"/>
      <c r="F98" s="153"/>
      <c r="G98" s="165"/>
      <c r="I98" s="126">
        <v>0</v>
      </c>
      <c r="J98" s="126">
        <v>0</v>
      </c>
      <c r="K98" s="126">
        <v>0</v>
      </c>
      <c r="L98" s="126">
        <v>0</v>
      </c>
      <c r="M98" s="126">
        <v>0</v>
      </c>
      <c r="N98" s="126">
        <v>0</v>
      </c>
      <c r="O98" s="126">
        <v>0</v>
      </c>
      <c r="P98" s="126">
        <v>0</v>
      </c>
      <c r="Q98" s="126">
        <v>0</v>
      </c>
      <c r="R98" s="126">
        <v>0</v>
      </c>
      <c r="S98" s="126">
        <v>0</v>
      </c>
      <c r="T98" s="126">
        <v>0</v>
      </c>
      <c r="U98" s="126">
        <v>0</v>
      </c>
      <c r="V98" s="126">
        <v>0</v>
      </c>
      <c r="W98" s="126">
        <v>0</v>
      </c>
      <c r="X98" s="126">
        <v>0</v>
      </c>
      <c r="Y98" s="126">
        <v>0</v>
      </c>
      <c r="Z98" s="126">
        <v>0</v>
      </c>
      <c r="AA98" s="126">
        <v>0</v>
      </c>
      <c r="AB98" s="126">
        <v>0</v>
      </c>
      <c r="AC98" s="126">
        <v>0</v>
      </c>
    </row>
    <row r="99" spans="2:29" ht="17">
      <c r="B99" s="139" t="s">
        <v>554</v>
      </c>
      <c r="C99" s="126" t="s">
        <v>583</v>
      </c>
      <c r="E99" s="153"/>
      <c r="F99" s="153"/>
      <c r="G99" s="153"/>
      <c r="H99" s="253"/>
      <c r="I99" s="126">
        <v>0</v>
      </c>
      <c r="J99" s="126">
        <v>0</v>
      </c>
      <c r="K99" s="126">
        <v>0</v>
      </c>
      <c r="L99" s="126">
        <v>0</v>
      </c>
      <c r="M99" s="126">
        <v>0</v>
      </c>
      <c r="N99" s="126">
        <v>0</v>
      </c>
      <c r="O99" s="126">
        <v>0</v>
      </c>
      <c r="P99" s="126">
        <v>0</v>
      </c>
      <c r="Q99" s="126">
        <v>0</v>
      </c>
      <c r="R99" s="126">
        <v>0</v>
      </c>
      <c r="S99" s="126">
        <v>0</v>
      </c>
      <c r="T99" s="126">
        <v>0</v>
      </c>
      <c r="U99" s="126">
        <v>0</v>
      </c>
      <c r="V99" s="126">
        <v>0</v>
      </c>
      <c r="W99" s="126">
        <v>0</v>
      </c>
      <c r="X99" s="126">
        <v>0</v>
      </c>
      <c r="Y99" s="126">
        <v>0</v>
      </c>
      <c r="Z99" s="126">
        <v>0</v>
      </c>
      <c r="AA99" s="126">
        <v>0</v>
      </c>
      <c r="AB99" s="126">
        <v>0</v>
      </c>
      <c r="AC99" s="126">
        <v>0</v>
      </c>
    </row>
    <row r="100" spans="2:29" ht="17">
      <c r="B100" s="160" t="s">
        <v>558</v>
      </c>
      <c r="C100" s="161" t="s">
        <v>559</v>
      </c>
      <c r="E100" s="162"/>
      <c r="F100" s="162"/>
      <c r="G100" s="162"/>
      <c r="I100" s="126">
        <f>I101</f>
        <v>0</v>
      </c>
      <c r="J100" s="126">
        <f t="shared" ref="J100:AC100" si="36">J101</f>
        <v>0</v>
      </c>
      <c r="K100" s="126">
        <f t="shared" si="36"/>
        <v>0</v>
      </c>
      <c r="L100" s="126">
        <f t="shared" si="36"/>
        <v>0</v>
      </c>
      <c r="M100" s="126">
        <f t="shared" si="36"/>
        <v>0</v>
      </c>
      <c r="N100" s="126">
        <f t="shared" si="36"/>
        <v>0</v>
      </c>
      <c r="O100" s="126">
        <f t="shared" si="36"/>
        <v>0</v>
      </c>
      <c r="P100" s="126">
        <f t="shared" si="36"/>
        <v>0</v>
      </c>
      <c r="Q100" s="126">
        <f t="shared" si="36"/>
        <v>0</v>
      </c>
      <c r="R100" s="126">
        <f t="shared" si="36"/>
        <v>0</v>
      </c>
      <c r="S100" s="126">
        <f t="shared" si="36"/>
        <v>0</v>
      </c>
      <c r="T100" s="126">
        <f t="shared" si="36"/>
        <v>1</v>
      </c>
      <c r="U100" s="126">
        <f t="shared" si="36"/>
        <v>2</v>
      </c>
      <c r="V100" s="126">
        <f t="shared" si="36"/>
        <v>3</v>
      </c>
      <c r="W100" s="126">
        <f t="shared" si="36"/>
        <v>4</v>
      </c>
      <c r="X100" s="126">
        <f t="shared" si="36"/>
        <v>5</v>
      </c>
      <c r="Y100" s="126">
        <f t="shared" si="36"/>
        <v>6</v>
      </c>
      <c r="Z100" s="126">
        <f t="shared" si="36"/>
        <v>7</v>
      </c>
      <c r="AA100" s="126">
        <f t="shared" si="36"/>
        <v>8</v>
      </c>
      <c r="AB100" s="126">
        <f t="shared" si="36"/>
        <v>9</v>
      </c>
      <c r="AC100" s="126">
        <f t="shared" si="36"/>
        <v>10</v>
      </c>
    </row>
    <row r="101" spans="2:29" ht="17">
      <c r="B101" s="139" t="s">
        <v>584</v>
      </c>
      <c r="C101" s="126" t="s">
        <v>585</v>
      </c>
      <c r="E101" s="153"/>
      <c r="F101" s="153"/>
      <c r="G101" s="153"/>
      <c r="I101" s="126">
        <v>0</v>
      </c>
      <c r="J101" s="126">
        <v>0</v>
      </c>
      <c r="K101" s="126">
        <v>0</v>
      </c>
      <c r="L101" s="126">
        <v>0</v>
      </c>
      <c r="M101" s="126">
        <v>0</v>
      </c>
      <c r="N101" s="126">
        <v>0</v>
      </c>
      <c r="O101" s="126">
        <v>0</v>
      </c>
      <c r="P101" s="126">
        <v>0</v>
      </c>
      <c r="Q101" s="126">
        <v>0</v>
      </c>
      <c r="R101" s="126">
        <v>0</v>
      </c>
      <c r="S101" s="126">
        <v>0</v>
      </c>
      <c r="T101" s="126">
        <v>1</v>
      </c>
      <c r="U101" s="126">
        <v>2</v>
      </c>
      <c r="V101" s="126">
        <v>3</v>
      </c>
      <c r="W101" s="126">
        <v>4</v>
      </c>
      <c r="X101" s="126">
        <v>5</v>
      </c>
      <c r="Y101" s="126">
        <v>6</v>
      </c>
      <c r="Z101" s="126">
        <v>7</v>
      </c>
      <c r="AA101" s="126">
        <v>8</v>
      </c>
      <c r="AB101" s="126">
        <v>9</v>
      </c>
      <c r="AC101" s="126">
        <v>10</v>
      </c>
    </row>
    <row r="102" spans="2:29" ht="17">
      <c r="B102" s="160" t="s">
        <v>562</v>
      </c>
      <c r="C102" s="161" t="s">
        <v>563</v>
      </c>
      <c r="E102" s="162"/>
      <c r="F102" s="162"/>
      <c r="G102" s="162"/>
      <c r="H102" s="162">
        <f>SUM(H95:H101)</f>
        <v>1.375</v>
      </c>
      <c r="I102" s="162">
        <f t="shared" ref="I102:AC102" si="37">I95+I96</f>
        <v>11.338000000000001</v>
      </c>
      <c r="J102" s="162">
        <f t="shared" si="37"/>
        <v>20.301000000000002</v>
      </c>
      <c r="K102" s="162">
        <f t="shared" si="37"/>
        <v>28.264000000000003</v>
      </c>
      <c r="L102" s="162">
        <f t="shared" si="37"/>
        <v>35.227000000000004</v>
      </c>
      <c r="M102" s="162">
        <f t="shared" si="37"/>
        <v>41.190000000000005</v>
      </c>
      <c r="N102" s="162">
        <f t="shared" si="37"/>
        <v>46.153000000000006</v>
      </c>
      <c r="O102" s="162">
        <f t="shared" si="37"/>
        <v>50.116000000000007</v>
      </c>
      <c r="P102" s="162">
        <f t="shared" si="37"/>
        <v>53.079000000000008</v>
      </c>
      <c r="Q102" s="162">
        <f t="shared" si="37"/>
        <v>55.042000000000009</v>
      </c>
      <c r="R102" s="162">
        <f t="shared" si="37"/>
        <v>56.00500000000001</v>
      </c>
      <c r="S102" s="162">
        <f t="shared" si="37"/>
        <v>55.968000000000011</v>
      </c>
      <c r="T102" s="162">
        <f t="shared" si="37"/>
        <v>56.931000000000012</v>
      </c>
      <c r="U102" s="162">
        <f t="shared" si="37"/>
        <v>58.894000000000013</v>
      </c>
      <c r="V102" s="162">
        <f t="shared" si="37"/>
        <v>62.857000000000014</v>
      </c>
      <c r="W102" s="162">
        <f t="shared" si="37"/>
        <v>69.820000000000022</v>
      </c>
      <c r="X102" s="162">
        <f t="shared" si="37"/>
        <v>80.783000000000015</v>
      </c>
      <c r="Y102" s="162">
        <f t="shared" si="37"/>
        <v>96.746000000000009</v>
      </c>
      <c r="Z102" s="162">
        <f t="shared" si="37"/>
        <v>118.709</v>
      </c>
      <c r="AA102" s="162">
        <f t="shared" si="37"/>
        <v>147.672</v>
      </c>
      <c r="AB102" s="162">
        <f t="shared" si="37"/>
        <v>184.63499999999999</v>
      </c>
      <c r="AC102" s="162">
        <f t="shared" si="37"/>
        <v>230.59799999999998</v>
      </c>
    </row>
    <row r="103" spans="2:29" ht="17">
      <c r="B103" s="146" t="s">
        <v>586</v>
      </c>
      <c r="C103" s="126" t="s">
        <v>587</v>
      </c>
      <c r="E103" s="153"/>
      <c r="F103" s="153"/>
      <c r="G103" s="153"/>
      <c r="H103" s="153">
        <f>H105+H104</f>
        <v>3.7000000000000005E-2</v>
      </c>
      <c r="I103" s="153">
        <f t="shared" ref="I103:AC103" si="38">I105+I104</f>
        <v>1.0369999999999999</v>
      </c>
      <c r="J103" s="153">
        <f t="shared" si="38"/>
        <v>2.0369999999999999</v>
      </c>
      <c r="K103" s="153">
        <f t="shared" si="38"/>
        <v>3.0369999999999999</v>
      </c>
      <c r="L103" s="153">
        <f t="shared" si="38"/>
        <v>4.0369999999999999</v>
      </c>
      <c r="M103" s="153">
        <f t="shared" si="38"/>
        <v>5.0369999999999999</v>
      </c>
      <c r="N103" s="153">
        <f t="shared" si="38"/>
        <v>6.0369999999999999</v>
      </c>
      <c r="O103" s="153">
        <f t="shared" si="38"/>
        <v>7.0369999999999999</v>
      </c>
      <c r="P103" s="153">
        <f t="shared" si="38"/>
        <v>8.036999999999999</v>
      </c>
      <c r="Q103" s="153">
        <f t="shared" si="38"/>
        <v>9.036999999999999</v>
      </c>
      <c r="R103" s="153">
        <f t="shared" si="38"/>
        <v>10.036999999999999</v>
      </c>
      <c r="S103" s="153">
        <f t="shared" si="38"/>
        <v>11.036999999999999</v>
      </c>
      <c r="T103" s="153">
        <f t="shared" si="38"/>
        <v>12.036999999999999</v>
      </c>
      <c r="U103" s="153">
        <f t="shared" si="38"/>
        <v>12.036999999999999</v>
      </c>
      <c r="V103" s="153">
        <f t="shared" si="38"/>
        <v>11.036999999999999</v>
      </c>
      <c r="W103" s="153">
        <f t="shared" si="38"/>
        <v>9.036999999999999</v>
      </c>
      <c r="X103" s="153">
        <f t="shared" si="38"/>
        <v>6.036999999999999</v>
      </c>
      <c r="Y103" s="153">
        <f t="shared" si="38"/>
        <v>2.036999999999999</v>
      </c>
      <c r="Z103" s="153">
        <f t="shared" si="38"/>
        <v>-2.963000000000001</v>
      </c>
      <c r="AA103" s="153">
        <f t="shared" si="38"/>
        <v>-8.963000000000001</v>
      </c>
      <c r="AB103" s="153">
        <f t="shared" si="38"/>
        <v>-15.963000000000001</v>
      </c>
      <c r="AC103" s="153">
        <f t="shared" si="38"/>
        <v>-23.963000000000001</v>
      </c>
    </row>
    <row r="104" spans="2:29" ht="17">
      <c r="B104" s="160" t="s">
        <v>546</v>
      </c>
      <c r="C104" s="161" t="s">
        <v>547</v>
      </c>
      <c r="E104" s="162"/>
      <c r="F104" s="162"/>
      <c r="G104" s="162"/>
      <c r="H104" s="153">
        <v>1.7000000000000001E-2</v>
      </c>
      <c r="I104" s="153">
        <f>H110</f>
        <v>3.7000000000000005E-2</v>
      </c>
      <c r="J104" s="153">
        <f t="shared" ref="J104:AC104" si="39">I110</f>
        <v>1.0369999999999999</v>
      </c>
      <c r="K104" s="153">
        <f t="shared" si="39"/>
        <v>2.0369999999999999</v>
      </c>
      <c r="L104" s="153">
        <f t="shared" si="39"/>
        <v>3.0369999999999999</v>
      </c>
      <c r="M104" s="153">
        <f t="shared" si="39"/>
        <v>4.0369999999999999</v>
      </c>
      <c r="N104" s="153">
        <f t="shared" si="39"/>
        <v>5.0369999999999999</v>
      </c>
      <c r="O104" s="153">
        <f t="shared" si="39"/>
        <v>6.0369999999999999</v>
      </c>
      <c r="P104" s="153">
        <f t="shared" si="39"/>
        <v>7.0369999999999999</v>
      </c>
      <c r="Q104" s="153">
        <f t="shared" si="39"/>
        <v>8.036999999999999</v>
      </c>
      <c r="R104" s="153">
        <f t="shared" si="39"/>
        <v>9.036999999999999</v>
      </c>
      <c r="S104" s="153">
        <f t="shared" si="39"/>
        <v>10.036999999999999</v>
      </c>
      <c r="T104" s="153">
        <f t="shared" si="39"/>
        <v>11.036999999999999</v>
      </c>
      <c r="U104" s="153">
        <f t="shared" si="39"/>
        <v>11.036999999999999</v>
      </c>
      <c r="V104" s="153">
        <f t="shared" si="39"/>
        <v>10.036999999999999</v>
      </c>
      <c r="W104" s="153">
        <f t="shared" si="39"/>
        <v>8.036999999999999</v>
      </c>
      <c r="X104" s="153">
        <f t="shared" si="39"/>
        <v>5.036999999999999</v>
      </c>
      <c r="Y104" s="153">
        <f t="shared" si="39"/>
        <v>1.036999999999999</v>
      </c>
      <c r="Z104" s="153">
        <f t="shared" si="39"/>
        <v>-3.963000000000001</v>
      </c>
      <c r="AA104" s="153">
        <f t="shared" si="39"/>
        <v>-9.963000000000001</v>
      </c>
      <c r="AB104" s="153">
        <f t="shared" si="39"/>
        <v>-16.963000000000001</v>
      </c>
      <c r="AC104" s="153">
        <f t="shared" si="39"/>
        <v>-24.963000000000001</v>
      </c>
    </row>
    <row r="105" spans="2:29" ht="17">
      <c r="B105" s="160" t="s">
        <v>548</v>
      </c>
      <c r="C105" s="161" t="s">
        <v>549</v>
      </c>
      <c r="E105" s="162"/>
      <c r="F105" s="162"/>
      <c r="G105" s="162"/>
      <c r="H105" s="162">
        <v>0.02</v>
      </c>
      <c r="I105" s="162">
        <v>1</v>
      </c>
      <c r="J105" s="162">
        <f t="shared" ref="J105:AC105" si="40">I105</f>
        <v>1</v>
      </c>
      <c r="K105" s="162">
        <f t="shared" si="40"/>
        <v>1</v>
      </c>
      <c r="L105" s="162">
        <f t="shared" si="40"/>
        <v>1</v>
      </c>
      <c r="M105" s="162">
        <f t="shared" si="40"/>
        <v>1</v>
      </c>
      <c r="N105" s="162">
        <f t="shared" si="40"/>
        <v>1</v>
      </c>
      <c r="O105" s="162">
        <f t="shared" si="40"/>
        <v>1</v>
      </c>
      <c r="P105" s="162">
        <f t="shared" si="40"/>
        <v>1</v>
      </c>
      <c r="Q105" s="162">
        <f t="shared" si="40"/>
        <v>1</v>
      </c>
      <c r="R105" s="162">
        <f t="shared" si="40"/>
        <v>1</v>
      </c>
      <c r="S105" s="162">
        <f t="shared" si="40"/>
        <v>1</v>
      </c>
      <c r="T105" s="162">
        <f t="shared" si="40"/>
        <v>1</v>
      </c>
      <c r="U105" s="162">
        <f t="shared" si="40"/>
        <v>1</v>
      </c>
      <c r="V105" s="162">
        <f t="shared" si="40"/>
        <v>1</v>
      </c>
      <c r="W105" s="162">
        <f t="shared" si="40"/>
        <v>1</v>
      </c>
      <c r="X105" s="162">
        <f t="shared" si="40"/>
        <v>1</v>
      </c>
      <c r="Y105" s="162">
        <f t="shared" si="40"/>
        <v>1</v>
      </c>
      <c r="Z105" s="162">
        <f t="shared" si="40"/>
        <v>1</v>
      </c>
      <c r="AA105" s="162">
        <f t="shared" si="40"/>
        <v>1</v>
      </c>
      <c r="AB105" s="162">
        <f t="shared" si="40"/>
        <v>1</v>
      </c>
      <c r="AC105" s="162">
        <f t="shared" si="40"/>
        <v>1</v>
      </c>
    </row>
    <row r="106" spans="2:29" ht="17">
      <c r="B106" s="139" t="s">
        <v>567</v>
      </c>
      <c r="C106" s="126" t="s">
        <v>568</v>
      </c>
      <c r="E106" s="153"/>
      <c r="F106" s="153"/>
      <c r="G106" s="153"/>
      <c r="U106" s="166"/>
      <c r="V106" s="166"/>
      <c r="W106" s="166"/>
      <c r="X106" s="166"/>
      <c r="Y106" s="166"/>
      <c r="Z106" s="166"/>
      <c r="AA106" s="166"/>
      <c r="AB106" s="166"/>
      <c r="AC106" s="166"/>
    </row>
    <row r="107" spans="2:29" ht="17">
      <c r="B107" s="139" t="s">
        <v>569</v>
      </c>
      <c r="C107" s="126" t="s">
        <v>557</v>
      </c>
      <c r="E107" s="153"/>
      <c r="F107" s="153"/>
      <c r="G107" s="153"/>
      <c r="I107" s="126">
        <v>0</v>
      </c>
      <c r="J107" s="126">
        <v>0</v>
      </c>
      <c r="K107" s="126">
        <v>0</v>
      </c>
      <c r="L107" s="126">
        <v>0</v>
      </c>
      <c r="M107" s="126">
        <v>0</v>
      </c>
      <c r="N107" s="126">
        <v>0</v>
      </c>
      <c r="O107" s="126">
        <v>0</v>
      </c>
      <c r="P107" s="126">
        <v>0</v>
      </c>
      <c r="Q107" s="126">
        <v>0</v>
      </c>
      <c r="R107" s="126">
        <v>0</v>
      </c>
      <c r="S107" s="126">
        <v>0</v>
      </c>
      <c r="T107" s="126">
        <v>1</v>
      </c>
      <c r="U107" s="126">
        <v>2</v>
      </c>
      <c r="V107" s="126">
        <v>3</v>
      </c>
      <c r="W107" s="126">
        <v>4</v>
      </c>
      <c r="X107" s="126">
        <v>5</v>
      </c>
      <c r="Y107" s="126">
        <v>6</v>
      </c>
      <c r="Z107" s="126">
        <v>7</v>
      </c>
      <c r="AA107" s="126">
        <v>8</v>
      </c>
      <c r="AB107" s="126">
        <v>9</v>
      </c>
      <c r="AC107" s="126">
        <v>10</v>
      </c>
    </row>
    <row r="108" spans="2:29" ht="17">
      <c r="B108" s="160" t="s">
        <v>558</v>
      </c>
      <c r="C108" s="161" t="s">
        <v>559</v>
      </c>
      <c r="E108" s="162"/>
      <c r="F108" s="162"/>
      <c r="G108" s="162"/>
      <c r="H108" s="162"/>
      <c r="I108" s="162">
        <f t="shared" ref="I108:AC108" si="41">I109</f>
        <v>0</v>
      </c>
      <c r="J108" s="162">
        <f t="shared" si="41"/>
        <v>0</v>
      </c>
      <c r="K108" s="162">
        <f t="shared" si="41"/>
        <v>0</v>
      </c>
      <c r="L108" s="162">
        <f t="shared" si="41"/>
        <v>0</v>
      </c>
      <c r="M108" s="162">
        <f t="shared" si="41"/>
        <v>0</v>
      </c>
      <c r="N108" s="162">
        <f t="shared" si="41"/>
        <v>0</v>
      </c>
      <c r="O108" s="162">
        <f t="shared" si="41"/>
        <v>0</v>
      </c>
      <c r="P108" s="162">
        <f t="shared" si="41"/>
        <v>0</v>
      </c>
      <c r="Q108" s="162">
        <f t="shared" si="41"/>
        <v>0</v>
      </c>
      <c r="R108" s="162">
        <f t="shared" si="41"/>
        <v>0</v>
      </c>
      <c r="S108" s="162">
        <f t="shared" si="41"/>
        <v>0</v>
      </c>
      <c r="T108" s="162">
        <f t="shared" si="41"/>
        <v>1</v>
      </c>
      <c r="U108" s="162">
        <f t="shared" si="41"/>
        <v>2</v>
      </c>
      <c r="V108" s="162">
        <f t="shared" si="41"/>
        <v>3</v>
      </c>
      <c r="W108" s="162">
        <f t="shared" si="41"/>
        <v>4</v>
      </c>
      <c r="X108" s="162">
        <f t="shared" si="41"/>
        <v>5</v>
      </c>
      <c r="Y108" s="162">
        <f t="shared" si="41"/>
        <v>6</v>
      </c>
      <c r="Z108" s="162">
        <f t="shared" si="41"/>
        <v>7</v>
      </c>
      <c r="AA108" s="162">
        <f t="shared" si="41"/>
        <v>8</v>
      </c>
      <c r="AB108" s="162">
        <f t="shared" si="41"/>
        <v>9</v>
      </c>
      <c r="AC108" s="162">
        <f t="shared" si="41"/>
        <v>10</v>
      </c>
    </row>
    <row r="109" spans="2:29" ht="17">
      <c r="B109" s="139" t="s">
        <v>588</v>
      </c>
      <c r="C109" s="126" t="s">
        <v>585</v>
      </c>
      <c r="E109" s="153"/>
      <c r="F109" s="153"/>
      <c r="G109" s="153"/>
      <c r="H109" s="153"/>
      <c r="I109" s="153">
        <v>0</v>
      </c>
      <c r="J109" s="153">
        <v>0</v>
      </c>
      <c r="K109" s="153">
        <v>0</v>
      </c>
      <c r="L109" s="153">
        <v>0</v>
      </c>
      <c r="M109" s="153">
        <v>0</v>
      </c>
      <c r="N109" s="153">
        <v>0</v>
      </c>
      <c r="O109" s="153">
        <v>0</v>
      </c>
      <c r="P109" s="153">
        <v>0</v>
      </c>
      <c r="Q109" s="153">
        <v>0</v>
      </c>
      <c r="R109" s="153">
        <v>0</v>
      </c>
      <c r="S109" s="153">
        <v>0</v>
      </c>
      <c r="T109" s="153">
        <v>1</v>
      </c>
      <c r="U109" s="153">
        <v>2</v>
      </c>
      <c r="V109" s="153">
        <v>3</v>
      </c>
      <c r="W109" s="153">
        <v>4</v>
      </c>
      <c r="X109" s="153">
        <v>5</v>
      </c>
      <c r="Y109" s="153">
        <v>6</v>
      </c>
      <c r="Z109" s="153">
        <v>7</v>
      </c>
      <c r="AA109" s="153">
        <v>8</v>
      </c>
      <c r="AB109" s="153">
        <v>9</v>
      </c>
      <c r="AC109" s="153">
        <v>10</v>
      </c>
    </row>
    <row r="110" spans="2:29" ht="17">
      <c r="B110" s="160" t="s">
        <v>562</v>
      </c>
      <c r="C110" s="161" t="s">
        <v>563</v>
      </c>
      <c r="E110" s="162"/>
      <c r="F110" s="162"/>
      <c r="G110" s="162"/>
      <c r="H110" s="162">
        <f t="shared" ref="H110:AC110" si="42">H104+H105-H108</f>
        <v>3.7000000000000005E-2</v>
      </c>
      <c r="I110" s="162">
        <f t="shared" si="42"/>
        <v>1.0369999999999999</v>
      </c>
      <c r="J110" s="162">
        <f t="shared" si="42"/>
        <v>2.0369999999999999</v>
      </c>
      <c r="K110" s="162">
        <f t="shared" si="42"/>
        <v>3.0369999999999999</v>
      </c>
      <c r="L110" s="162">
        <f t="shared" si="42"/>
        <v>4.0369999999999999</v>
      </c>
      <c r="M110" s="162">
        <f t="shared" si="42"/>
        <v>5.0369999999999999</v>
      </c>
      <c r="N110" s="162">
        <f t="shared" si="42"/>
        <v>6.0369999999999999</v>
      </c>
      <c r="O110" s="162">
        <f t="shared" si="42"/>
        <v>7.0369999999999999</v>
      </c>
      <c r="P110" s="162">
        <f t="shared" si="42"/>
        <v>8.036999999999999</v>
      </c>
      <c r="Q110" s="162">
        <f t="shared" si="42"/>
        <v>9.036999999999999</v>
      </c>
      <c r="R110" s="162">
        <f t="shared" si="42"/>
        <v>10.036999999999999</v>
      </c>
      <c r="S110" s="162">
        <f t="shared" si="42"/>
        <v>11.036999999999999</v>
      </c>
      <c r="T110" s="162">
        <f t="shared" si="42"/>
        <v>11.036999999999999</v>
      </c>
      <c r="U110" s="162">
        <f t="shared" si="42"/>
        <v>10.036999999999999</v>
      </c>
      <c r="V110" s="162">
        <f t="shared" si="42"/>
        <v>8.036999999999999</v>
      </c>
      <c r="W110" s="162">
        <f t="shared" si="42"/>
        <v>5.036999999999999</v>
      </c>
      <c r="X110" s="162">
        <f t="shared" si="42"/>
        <v>1.036999999999999</v>
      </c>
      <c r="Y110" s="162">
        <f t="shared" si="42"/>
        <v>-3.963000000000001</v>
      </c>
      <c r="Z110" s="162">
        <f t="shared" si="42"/>
        <v>-9.963000000000001</v>
      </c>
      <c r="AA110" s="162">
        <f t="shared" si="42"/>
        <v>-16.963000000000001</v>
      </c>
      <c r="AB110" s="162">
        <f t="shared" si="42"/>
        <v>-24.963000000000001</v>
      </c>
      <c r="AC110" s="162">
        <f t="shared" si="42"/>
        <v>-33.963000000000001</v>
      </c>
    </row>
    <row r="111" spans="2:29" ht="17">
      <c r="B111" s="146" t="s">
        <v>570</v>
      </c>
      <c r="C111" s="126" t="s">
        <v>571</v>
      </c>
      <c r="E111" s="153"/>
      <c r="F111" s="153"/>
      <c r="G111" s="153"/>
    </row>
    <row r="112" spans="2:29" ht="17">
      <c r="B112" s="160" t="s">
        <v>546</v>
      </c>
      <c r="C112" s="161" t="s">
        <v>547</v>
      </c>
      <c r="E112" s="162"/>
      <c r="F112" s="162"/>
      <c r="G112" s="162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</row>
    <row r="113" spans="2:29" ht="17">
      <c r="B113" s="160" t="s">
        <v>566</v>
      </c>
      <c r="C113" s="161" t="s">
        <v>549</v>
      </c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</row>
    <row r="114" spans="2:29" ht="17">
      <c r="B114" s="139" t="s">
        <v>589</v>
      </c>
      <c r="C114" s="126" t="s">
        <v>568</v>
      </c>
      <c r="E114" s="153"/>
      <c r="F114" s="153"/>
      <c r="G114" s="165"/>
    </row>
    <row r="115" spans="2:29" ht="17">
      <c r="B115" s="139" t="s">
        <v>569</v>
      </c>
      <c r="C115" s="126" t="s">
        <v>557</v>
      </c>
      <c r="E115" s="153"/>
      <c r="F115" s="153"/>
      <c r="G115" s="153"/>
    </row>
    <row r="116" spans="2:29" ht="17">
      <c r="B116" s="160" t="s">
        <v>558</v>
      </c>
      <c r="C116" s="161" t="s">
        <v>559</v>
      </c>
      <c r="E116" s="162"/>
      <c r="F116" s="162"/>
      <c r="G116" s="167"/>
    </row>
    <row r="117" spans="2:29" ht="17">
      <c r="B117" s="139" t="s">
        <v>588</v>
      </c>
      <c r="C117" s="126" t="s">
        <v>585</v>
      </c>
      <c r="E117" s="153"/>
      <c r="F117" s="153"/>
      <c r="G117" s="165"/>
    </row>
    <row r="118" spans="2:29" ht="17">
      <c r="B118" s="160" t="s">
        <v>562</v>
      </c>
      <c r="C118" s="161" t="s">
        <v>563</v>
      </c>
      <c r="E118" s="162"/>
      <c r="F118" s="162"/>
      <c r="G118" s="162">
        <f>G102-G105</f>
        <v>0</v>
      </c>
      <c r="H118" s="162">
        <f>H102-H103</f>
        <v>1.3380000000000001</v>
      </c>
      <c r="I118" s="162">
        <f t="shared" ref="I118:AC118" si="43">I102-I103</f>
        <v>10.301000000000002</v>
      </c>
      <c r="J118" s="162">
        <f t="shared" si="43"/>
        <v>18.264000000000003</v>
      </c>
      <c r="K118" s="162">
        <f t="shared" si="43"/>
        <v>25.227000000000004</v>
      </c>
      <c r="L118" s="162">
        <f t="shared" si="43"/>
        <v>31.190000000000005</v>
      </c>
      <c r="M118" s="162">
        <f t="shared" si="43"/>
        <v>36.153000000000006</v>
      </c>
      <c r="N118" s="162">
        <f t="shared" si="43"/>
        <v>40.116000000000007</v>
      </c>
      <c r="O118" s="162">
        <f t="shared" si="43"/>
        <v>43.079000000000008</v>
      </c>
      <c r="P118" s="162">
        <f t="shared" si="43"/>
        <v>45.042000000000009</v>
      </c>
      <c r="Q118" s="162">
        <f t="shared" si="43"/>
        <v>46.00500000000001</v>
      </c>
      <c r="R118" s="162">
        <f t="shared" si="43"/>
        <v>45.968000000000011</v>
      </c>
      <c r="S118" s="162">
        <f t="shared" si="43"/>
        <v>44.931000000000012</v>
      </c>
      <c r="T118" s="162">
        <f t="shared" si="43"/>
        <v>44.894000000000013</v>
      </c>
      <c r="U118" s="162">
        <f t="shared" si="43"/>
        <v>46.857000000000014</v>
      </c>
      <c r="V118" s="162">
        <f t="shared" si="43"/>
        <v>51.820000000000014</v>
      </c>
      <c r="W118" s="162">
        <f t="shared" si="43"/>
        <v>60.783000000000023</v>
      </c>
      <c r="X118" s="162">
        <f t="shared" si="43"/>
        <v>74.746000000000009</v>
      </c>
      <c r="Y118" s="162">
        <f t="shared" si="43"/>
        <v>94.709000000000003</v>
      </c>
      <c r="Z118" s="162">
        <f t="shared" si="43"/>
        <v>121.672</v>
      </c>
      <c r="AA118" s="162">
        <f t="shared" si="43"/>
        <v>156.63499999999999</v>
      </c>
      <c r="AB118" s="162">
        <f t="shared" si="43"/>
        <v>200.59799999999998</v>
      </c>
      <c r="AC118" s="162">
        <f t="shared" si="43"/>
        <v>254.56099999999998</v>
      </c>
    </row>
    <row r="119" spans="2:29" ht="17">
      <c r="B119" s="146" t="s">
        <v>572</v>
      </c>
      <c r="C119" s="126" t="s">
        <v>573</v>
      </c>
      <c r="E119" s="153"/>
      <c r="F119" s="153"/>
      <c r="G119" s="153"/>
    </row>
    <row r="120" spans="2:29" ht="17">
      <c r="B120" s="139" t="s">
        <v>574</v>
      </c>
      <c r="C120" s="126" t="s">
        <v>575</v>
      </c>
      <c r="E120" s="153"/>
      <c r="F120" s="153"/>
      <c r="G120" s="153" t="e">
        <f>ISBSCF!#REF!</f>
        <v>#REF!</v>
      </c>
      <c r="H120" s="153">
        <f>ISBSCF!D42</f>
        <v>1.3380000000000001</v>
      </c>
      <c r="I120" s="153">
        <f t="shared" ref="I120:AC120" si="44">I118</f>
        <v>10.301000000000002</v>
      </c>
      <c r="J120" s="153">
        <f t="shared" si="44"/>
        <v>18.264000000000003</v>
      </c>
      <c r="K120" s="153">
        <f t="shared" si="44"/>
        <v>25.227000000000004</v>
      </c>
      <c r="L120" s="153">
        <f t="shared" si="44"/>
        <v>31.190000000000005</v>
      </c>
      <c r="M120" s="153">
        <f t="shared" si="44"/>
        <v>36.153000000000006</v>
      </c>
      <c r="N120" s="153">
        <f t="shared" si="44"/>
        <v>40.116000000000007</v>
      </c>
      <c r="O120" s="153">
        <f t="shared" si="44"/>
        <v>43.079000000000008</v>
      </c>
      <c r="P120" s="153">
        <f t="shared" si="44"/>
        <v>45.042000000000009</v>
      </c>
      <c r="Q120" s="153">
        <f t="shared" si="44"/>
        <v>46.00500000000001</v>
      </c>
      <c r="R120" s="153">
        <f t="shared" si="44"/>
        <v>45.968000000000011</v>
      </c>
      <c r="S120" s="153">
        <f t="shared" si="44"/>
        <v>44.931000000000012</v>
      </c>
      <c r="T120" s="153">
        <f t="shared" si="44"/>
        <v>44.894000000000013</v>
      </c>
      <c r="U120" s="153">
        <f t="shared" si="44"/>
        <v>46.857000000000014</v>
      </c>
      <c r="V120" s="153">
        <f t="shared" si="44"/>
        <v>51.820000000000014</v>
      </c>
      <c r="W120" s="153">
        <f t="shared" si="44"/>
        <v>60.783000000000023</v>
      </c>
      <c r="X120" s="153">
        <f t="shared" si="44"/>
        <v>74.746000000000009</v>
      </c>
      <c r="Y120" s="153">
        <f t="shared" si="44"/>
        <v>94.709000000000003</v>
      </c>
      <c r="Z120" s="153">
        <f t="shared" si="44"/>
        <v>121.672</v>
      </c>
      <c r="AA120" s="153">
        <f t="shared" si="44"/>
        <v>156.63499999999999</v>
      </c>
      <c r="AB120" s="153">
        <f t="shared" si="44"/>
        <v>200.59799999999998</v>
      </c>
      <c r="AC120" s="153">
        <f t="shared" si="44"/>
        <v>254.56099999999998</v>
      </c>
    </row>
    <row r="121" spans="2:29" ht="17">
      <c r="B121" s="139" t="s">
        <v>576</v>
      </c>
      <c r="C121" s="126" t="s">
        <v>577</v>
      </c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</row>
    <row r="122" spans="2:29">
      <c r="C122" s="126"/>
      <c r="E122" s="153"/>
      <c r="F122" s="153"/>
      <c r="G122" s="153"/>
    </row>
    <row r="123" spans="2:29">
      <c r="C123" s="126" t="s">
        <v>590</v>
      </c>
      <c r="E123" s="153"/>
      <c r="F123" s="153"/>
      <c r="G123" s="144" t="e">
        <f>G104/G102</f>
        <v>#DIV/0!</v>
      </c>
      <c r="H123" s="144">
        <f>H103/H102</f>
        <v>2.6909090909090914E-2</v>
      </c>
      <c r="I123" s="144">
        <f t="shared" ref="I123:AC123" si="45">H123</f>
        <v>2.6909090909090914E-2</v>
      </c>
      <c r="J123" s="144">
        <f t="shared" si="45"/>
        <v>2.6909090909090914E-2</v>
      </c>
      <c r="K123" s="144">
        <f t="shared" si="45"/>
        <v>2.6909090909090914E-2</v>
      </c>
      <c r="L123" s="144">
        <f t="shared" si="45"/>
        <v>2.6909090909090914E-2</v>
      </c>
      <c r="M123" s="144">
        <f t="shared" si="45"/>
        <v>2.6909090909090914E-2</v>
      </c>
      <c r="N123" s="144">
        <f t="shared" si="45"/>
        <v>2.6909090909090914E-2</v>
      </c>
      <c r="O123" s="144">
        <f t="shared" si="45"/>
        <v>2.6909090909090914E-2</v>
      </c>
      <c r="P123" s="144">
        <f t="shared" si="45"/>
        <v>2.6909090909090914E-2</v>
      </c>
      <c r="Q123" s="144">
        <f t="shared" si="45"/>
        <v>2.6909090909090914E-2</v>
      </c>
      <c r="R123" s="144">
        <f t="shared" si="45"/>
        <v>2.6909090909090914E-2</v>
      </c>
      <c r="S123" s="144">
        <f t="shared" si="45"/>
        <v>2.6909090909090914E-2</v>
      </c>
      <c r="T123" s="144">
        <f t="shared" si="45"/>
        <v>2.6909090909090914E-2</v>
      </c>
      <c r="U123" s="144">
        <f t="shared" si="45"/>
        <v>2.6909090909090914E-2</v>
      </c>
      <c r="V123" s="144">
        <f t="shared" si="45"/>
        <v>2.6909090909090914E-2</v>
      </c>
      <c r="W123" s="144">
        <f t="shared" si="45"/>
        <v>2.6909090909090914E-2</v>
      </c>
      <c r="X123" s="144">
        <f t="shared" si="45"/>
        <v>2.6909090909090914E-2</v>
      </c>
      <c r="Y123" s="144">
        <f t="shared" si="45"/>
        <v>2.6909090909090914E-2</v>
      </c>
      <c r="Z123" s="144">
        <f t="shared" si="45"/>
        <v>2.6909090909090914E-2</v>
      </c>
      <c r="AA123" s="144">
        <f t="shared" si="45"/>
        <v>2.6909090909090914E-2</v>
      </c>
      <c r="AB123" s="144">
        <f t="shared" si="45"/>
        <v>2.6909090909090914E-2</v>
      </c>
      <c r="AC123" s="144">
        <f t="shared" si="45"/>
        <v>2.6909090909090914E-2</v>
      </c>
    </row>
    <row r="124" spans="2:29">
      <c r="C124" s="126"/>
      <c r="E124" s="153"/>
      <c r="F124" s="153"/>
      <c r="G124" s="153"/>
    </row>
    <row r="125" spans="2:29">
      <c r="C125" s="126"/>
      <c r="E125" s="168"/>
      <c r="F125" s="168"/>
      <c r="G125" s="153"/>
    </row>
    <row r="126" spans="2:29" ht="17">
      <c r="B126" s="149" t="s">
        <v>591</v>
      </c>
      <c r="C126" s="150" t="s">
        <v>85</v>
      </c>
      <c r="E126" s="151"/>
      <c r="F126" s="151"/>
      <c r="G126" s="151"/>
    </row>
    <row r="127" spans="2:29" ht="17">
      <c r="B127" s="172" t="s">
        <v>592</v>
      </c>
      <c r="C127" s="126" t="s">
        <v>545</v>
      </c>
      <c r="E127" s="156"/>
      <c r="F127" s="156"/>
      <c r="G127" s="153"/>
    </row>
    <row r="128" spans="2:29" ht="17">
      <c r="B128" s="160" t="s">
        <v>593</v>
      </c>
      <c r="C128" s="161" t="s">
        <v>547</v>
      </c>
      <c r="E128" s="162"/>
      <c r="F128" s="162"/>
      <c r="G128" s="162"/>
      <c r="H128" s="162">
        <v>0.191</v>
      </c>
      <c r="I128" s="162">
        <f t="shared" ref="I128:AC128" si="46">H142</f>
        <v>1.6739999999999997</v>
      </c>
      <c r="J128" s="162">
        <f t="shared" si="46"/>
        <v>3.157</v>
      </c>
      <c r="K128" s="162">
        <f t="shared" si="46"/>
        <v>4.6399999999999997</v>
      </c>
      <c r="L128" s="162">
        <f t="shared" si="46"/>
        <v>6.1230000000000002</v>
      </c>
      <c r="M128" s="162">
        <f t="shared" si="46"/>
        <v>7.6060000000000008</v>
      </c>
      <c r="N128" s="162">
        <f t="shared" si="46"/>
        <v>9.0890000000000004</v>
      </c>
      <c r="O128" s="162">
        <f t="shared" si="46"/>
        <v>10.571999999999999</v>
      </c>
      <c r="P128" s="162">
        <f t="shared" si="46"/>
        <v>12.054999999999998</v>
      </c>
      <c r="Q128" s="162">
        <f t="shared" si="46"/>
        <v>13.537999999999997</v>
      </c>
      <c r="R128" s="162">
        <f t="shared" si="46"/>
        <v>15.330999999999996</v>
      </c>
      <c r="S128" s="162">
        <f t="shared" si="46"/>
        <v>17.123999999999999</v>
      </c>
      <c r="T128" s="162">
        <f t="shared" si="46"/>
        <v>18.917000000000002</v>
      </c>
      <c r="U128" s="162">
        <f t="shared" si="46"/>
        <v>20.710000000000004</v>
      </c>
      <c r="V128" s="162">
        <f t="shared" si="46"/>
        <v>22.503000000000007</v>
      </c>
      <c r="W128" s="162">
        <f t="shared" si="46"/>
        <v>24.29600000000001</v>
      </c>
      <c r="X128" s="162">
        <f t="shared" si="46"/>
        <v>26.089000000000013</v>
      </c>
      <c r="Y128" s="162">
        <f t="shared" si="46"/>
        <v>27.882000000000016</v>
      </c>
      <c r="Z128" s="162">
        <f t="shared" si="46"/>
        <v>29.675000000000018</v>
      </c>
      <c r="AA128" s="162">
        <f t="shared" si="46"/>
        <v>31.468000000000021</v>
      </c>
      <c r="AB128" s="162">
        <f t="shared" si="46"/>
        <v>33.261000000000024</v>
      </c>
      <c r="AC128" s="162">
        <f t="shared" si="46"/>
        <v>35.054000000000023</v>
      </c>
    </row>
    <row r="129" spans="2:29" ht="17">
      <c r="B129" s="160" t="s">
        <v>594</v>
      </c>
      <c r="C129" s="161" t="s">
        <v>549</v>
      </c>
      <c r="E129" s="162"/>
      <c r="F129" s="162"/>
      <c r="G129" s="162"/>
      <c r="H129" s="162">
        <v>1.8759999999999999</v>
      </c>
      <c r="I129" s="162">
        <f>H129</f>
        <v>1.8759999999999999</v>
      </c>
      <c r="J129" s="162">
        <f t="shared" ref="J129:AC129" si="47">I129</f>
        <v>1.8759999999999999</v>
      </c>
      <c r="K129" s="162">
        <f t="shared" si="47"/>
        <v>1.8759999999999999</v>
      </c>
      <c r="L129" s="162">
        <f t="shared" si="47"/>
        <v>1.8759999999999999</v>
      </c>
      <c r="M129" s="162">
        <f t="shared" si="47"/>
        <v>1.8759999999999999</v>
      </c>
      <c r="N129" s="162">
        <f t="shared" si="47"/>
        <v>1.8759999999999999</v>
      </c>
      <c r="O129" s="162">
        <f t="shared" si="47"/>
        <v>1.8759999999999999</v>
      </c>
      <c r="P129" s="162">
        <f t="shared" si="47"/>
        <v>1.8759999999999999</v>
      </c>
      <c r="Q129" s="162">
        <f t="shared" si="47"/>
        <v>1.8759999999999999</v>
      </c>
      <c r="R129" s="162">
        <f t="shared" si="47"/>
        <v>1.8759999999999999</v>
      </c>
      <c r="S129" s="162">
        <f t="shared" si="47"/>
        <v>1.8759999999999999</v>
      </c>
      <c r="T129" s="162">
        <f t="shared" si="47"/>
        <v>1.8759999999999999</v>
      </c>
      <c r="U129" s="162">
        <f t="shared" si="47"/>
        <v>1.8759999999999999</v>
      </c>
      <c r="V129" s="162">
        <f t="shared" si="47"/>
        <v>1.8759999999999999</v>
      </c>
      <c r="W129" s="162">
        <f t="shared" si="47"/>
        <v>1.8759999999999999</v>
      </c>
      <c r="X129" s="162">
        <f t="shared" si="47"/>
        <v>1.8759999999999999</v>
      </c>
      <c r="Y129" s="162">
        <f t="shared" si="47"/>
        <v>1.8759999999999999</v>
      </c>
      <c r="Z129" s="162">
        <f t="shared" si="47"/>
        <v>1.8759999999999999</v>
      </c>
      <c r="AA129" s="162">
        <f t="shared" si="47"/>
        <v>1.8759999999999999</v>
      </c>
      <c r="AB129" s="162">
        <f t="shared" si="47"/>
        <v>1.8759999999999999</v>
      </c>
      <c r="AC129" s="162">
        <f t="shared" si="47"/>
        <v>1.8759999999999999</v>
      </c>
    </row>
    <row r="130" spans="2:29" ht="17">
      <c r="B130" s="139" t="s">
        <v>595</v>
      </c>
      <c r="C130" s="126" t="s">
        <v>583</v>
      </c>
      <c r="E130" s="152"/>
      <c r="F130" s="152"/>
      <c r="G130" s="153"/>
    </row>
    <row r="131" spans="2:29" ht="17">
      <c r="B131" s="139" t="s">
        <v>596</v>
      </c>
      <c r="C131" s="126" t="s">
        <v>557</v>
      </c>
      <c r="E131" s="152"/>
      <c r="F131" s="152"/>
      <c r="G131" s="153"/>
    </row>
    <row r="132" spans="2:29" ht="17">
      <c r="B132" s="160" t="s">
        <v>597</v>
      </c>
      <c r="C132" s="161" t="s">
        <v>559</v>
      </c>
      <c r="E132" s="162"/>
      <c r="F132" s="162"/>
      <c r="G132" s="167"/>
      <c r="H132" s="167"/>
      <c r="I132" s="167">
        <f t="shared" ref="I132:AC132" si="48">I133</f>
        <v>0</v>
      </c>
      <c r="J132" s="167">
        <f t="shared" si="48"/>
        <v>0</v>
      </c>
      <c r="K132" s="167">
        <f t="shared" si="48"/>
        <v>0</v>
      </c>
      <c r="L132" s="167">
        <f t="shared" si="48"/>
        <v>0</v>
      </c>
      <c r="M132" s="167">
        <f t="shared" si="48"/>
        <v>0</v>
      </c>
      <c r="N132" s="167">
        <f t="shared" si="48"/>
        <v>0</v>
      </c>
      <c r="O132" s="167">
        <f t="shared" si="48"/>
        <v>0</v>
      </c>
      <c r="P132" s="167">
        <f t="shared" si="48"/>
        <v>0</v>
      </c>
      <c r="Q132" s="167">
        <f t="shared" si="48"/>
        <v>0</v>
      </c>
      <c r="R132" s="167">
        <f t="shared" si="48"/>
        <v>0</v>
      </c>
      <c r="S132" s="167">
        <f t="shared" si="48"/>
        <v>0</v>
      </c>
      <c r="T132" s="167">
        <f t="shared" si="48"/>
        <v>1</v>
      </c>
      <c r="U132" s="167">
        <f t="shared" si="48"/>
        <v>2</v>
      </c>
      <c r="V132" s="167">
        <f t="shared" si="48"/>
        <v>3</v>
      </c>
      <c r="W132" s="167">
        <f t="shared" si="48"/>
        <v>4</v>
      </c>
      <c r="X132" s="167">
        <f t="shared" si="48"/>
        <v>5</v>
      </c>
      <c r="Y132" s="167">
        <f t="shared" si="48"/>
        <v>6</v>
      </c>
      <c r="Z132" s="167">
        <f t="shared" si="48"/>
        <v>7</v>
      </c>
      <c r="AA132" s="167">
        <f t="shared" si="48"/>
        <v>8</v>
      </c>
      <c r="AB132" s="167">
        <f t="shared" si="48"/>
        <v>9</v>
      </c>
      <c r="AC132" s="167">
        <f t="shared" si="48"/>
        <v>10</v>
      </c>
    </row>
    <row r="133" spans="2:29" ht="17">
      <c r="B133" s="139" t="s">
        <v>598</v>
      </c>
      <c r="C133" s="126" t="s">
        <v>585</v>
      </c>
      <c r="E133" s="152"/>
      <c r="F133" s="152"/>
      <c r="G133" s="165"/>
      <c r="H133" s="165"/>
      <c r="I133" s="165">
        <v>0</v>
      </c>
      <c r="J133" s="165">
        <v>0</v>
      </c>
      <c r="K133" s="165">
        <v>0</v>
      </c>
      <c r="L133" s="165">
        <v>0</v>
      </c>
      <c r="M133" s="165">
        <v>0</v>
      </c>
      <c r="N133" s="165">
        <v>0</v>
      </c>
      <c r="O133" s="165">
        <v>0</v>
      </c>
      <c r="P133" s="165">
        <v>0</v>
      </c>
      <c r="Q133" s="165">
        <v>0</v>
      </c>
      <c r="R133" s="165">
        <v>0</v>
      </c>
      <c r="S133" s="165">
        <v>0</v>
      </c>
      <c r="T133" s="165">
        <v>1</v>
      </c>
      <c r="U133" s="165">
        <v>2</v>
      </c>
      <c r="V133" s="165">
        <v>3</v>
      </c>
      <c r="W133" s="165">
        <v>4</v>
      </c>
      <c r="X133" s="165">
        <v>5</v>
      </c>
      <c r="Y133" s="165">
        <v>6</v>
      </c>
      <c r="Z133" s="165">
        <v>7</v>
      </c>
      <c r="AA133" s="165">
        <v>8</v>
      </c>
      <c r="AB133" s="165">
        <v>9</v>
      </c>
      <c r="AC133" s="165">
        <v>10</v>
      </c>
    </row>
    <row r="134" spans="2:29" ht="17">
      <c r="B134" s="160" t="s">
        <v>599</v>
      </c>
      <c r="C134" s="161" t="s">
        <v>563</v>
      </c>
      <c r="E134" s="162"/>
      <c r="F134" s="162"/>
      <c r="G134" s="162"/>
      <c r="H134" s="162">
        <f t="shared" ref="H134:AC134" si="49">H128+H129</f>
        <v>2.0669999999999997</v>
      </c>
      <c r="I134" s="162">
        <f t="shared" si="49"/>
        <v>3.55</v>
      </c>
      <c r="J134" s="162">
        <f t="shared" si="49"/>
        <v>5.0329999999999995</v>
      </c>
      <c r="K134" s="162">
        <f t="shared" si="49"/>
        <v>6.516</v>
      </c>
      <c r="L134" s="162">
        <f t="shared" si="49"/>
        <v>7.9990000000000006</v>
      </c>
      <c r="M134" s="162">
        <f t="shared" si="49"/>
        <v>9.4820000000000011</v>
      </c>
      <c r="N134" s="162">
        <f t="shared" si="49"/>
        <v>10.965</v>
      </c>
      <c r="O134" s="162">
        <f t="shared" si="49"/>
        <v>12.447999999999999</v>
      </c>
      <c r="P134" s="162">
        <f t="shared" si="49"/>
        <v>13.930999999999997</v>
      </c>
      <c r="Q134" s="162">
        <f t="shared" si="49"/>
        <v>15.413999999999996</v>
      </c>
      <c r="R134" s="162">
        <f t="shared" si="49"/>
        <v>17.206999999999997</v>
      </c>
      <c r="S134" s="162">
        <f t="shared" si="49"/>
        <v>19</v>
      </c>
      <c r="T134" s="162">
        <f t="shared" si="49"/>
        <v>20.793000000000003</v>
      </c>
      <c r="U134" s="162">
        <f t="shared" si="49"/>
        <v>22.586000000000006</v>
      </c>
      <c r="V134" s="162">
        <f t="shared" si="49"/>
        <v>24.379000000000008</v>
      </c>
      <c r="W134" s="162">
        <f t="shared" si="49"/>
        <v>26.172000000000011</v>
      </c>
      <c r="X134" s="162">
        <f t="shared" si="49"/>
        <v>27.965000000000014</v>
      </c>
      <c r="Y134" s="162">
        <f t="shared" si="49"/>
        <v>29.758000000000017</v>
      </c>
      <c r="Z134" s="162">
        <f t="shared" si="49"/>
        <v>31.55100000000002</v>
      </c>
      <c r="AA134" s="162">
        <f t="shared" si="49"/>
        <v>33.344000000000023</v>
      </c>
      <c r="AB134" s="162">
        <f t="shared" si="49"/>
        <v>35.137000000000022</v>
      </c>
      <c r="AC134" s="162">
        <f t="shared" si="49"/>
        <v>36.930000000000021</v>
      </c>
    </row>
    <row r="135" spans="2:29" ht="17">
      <c r="B135" s="146" t="s">
        <v>564</v>
      </c>
      <c r="C135" s="126" t="s">
        <v>565</v>
      </c>
      <c r="E135" s="152"/>
      <c r="F135" s="152"/>
      <c r="G135" s="152"/>
      <c r="H135" s="152">
        <f>H136+H137</f>
        <v>0.39300000000000002</v>
      </c>
      <c r="I135" s="152">
        <f t="shared" ref="I135:AC135" si="50">I136+I137</f>
        <v>0.39300000000000002</v>
      </c>
      <c r="J135" s="152">
        <f t="shared" si="50"/>
        <v>0.39300000000000002</v>
      </c>
      <c r="K135" s="152">
        <f t="shared" si="50"/>
        <v>0.39300000000000002</v>
      </c>
      <c r="L135" s="152">
        <f t="shared" si="50"/>
        <v>0.39300000000000002</v>
      </c>
      <c r="M135" s="152">
        <f t="shared" si="50"/>
        <v>0.39300000000000002</v>
      </c>
      <c r="N135" s="152">
        <f t="shared" si="50"/>
        <v>0.39300000000000002</v>
      </c>
      <c r="O135" s="152">
        <f t="shared" si="50"/>
        <v>0.39300000000000002</v>
      </c>
      <c r="P135" s="152">
        <f t="shared" si="50"/>
        <v>0.39300000000000002</v>
      </c>
      <c r="Q135" s="152">
        <f t="shared" si="50"/>
        <v>8.3000000000000004E-2</v>
      </c>
      <c r="R135" s="152">
        <f t="shared" si="50"/>
        <v>8.3000000000000004E-2</v>
      </c>
      <c r="S135" s="152">
        <f t="shared" si="50"/>
        <v>8.3000000000000004E-2</v>
      </c>
      <c r="T135" s="152">
        <f t="shared" si="50"/>
        <v>8.3000000000000004E-2</v>
      </c>
      <c r="U135" s="152">
        <f t="shared" si="50"/>
        <v>8.3000000000000004E-2</v>
      </c>
      <c r="V135" s="152">
        <f t="shared" si="50"/>
        <v>8.3000000000000004E-2</v>
      </c>
      <c r="W135" s="152">
        <f t="shared" si="50"/>
        <v>8.3000000000000004E-2</v>
      </c>
      <c r="X135" s="152">
        <f t="shared" si="50"/>
        <v>8.3000000000000004E-2</v>
      </c>
      <c r="Y135" s="152">
        <f t="shared" si="50"/>
        <v>8.3000000000000004E-2</v>
      </c>
      <c r="Z135" s="152">
        <f t="shared" si="50"/>
        <v>8.3000000000000004E-2</v>
      </c>
      <c r="AA135" s="152">
        <f t="shared" si="50"/>
        <v>8.3000000000000004E-2</v>
      </c>
      <c r="AB135" s="152">
        <f t="shared" si="50"/>
        <v>8.3000000000000004E-2</v>
      </c>
      <c r="AC135" s="152">
        <f t="shared" si="50"/>
        <v>8.3000000000000004E-2</v>
      </c>
    </row>
    <row r="136" spans="2:29" ht="16.75" customHeight="1">
      <c r="B136" s="160" t="s">
        <v>546</v>
      </c>
      <c r="C136" s="161" t="s">
        <v>547</v>
      </c>
      <c r="E136" s="162"/>
      <c r="F136" s="162"/>
      <c r="G136" s="162"/>
      <c r="H136" s="162">
        <v>8.3000000000000004E-2</v>
      </c>
      <c r="I136" s="153">
        <f>H136</f>
        <v>8.3000000000000004E-2</v>
      </c>
      <c r="J136" s="153">
        <f t="shared" ref="J136:AC136" si="51">I136</f>
        <v>8.3000000000000004E-2</v>
      </c>
      <c r="K136" s="153">
        <f t="shared" si="51"/>
        <v>8.3000000000000004E-2</v>
      </c>
      <c r="L136" s="153">
        <f t="shared" si="51"/>
        <v>8.3000000000000004E-2</v>
      </c>
      <c r="M136" s="153">
        <f t="shared" si="51"/>
        <v>8.3000000000000004E-2</v>
      </c>
      <c r="N136" s="153">
        <f t="shared" si="51"/>
        <v>8.3000000000000004E-2</v>
      </c>
      <c r="O136" s="153">
        <f t="shared" si="51"/>
        <v>8.3000000000000004E-2</v>
      </c>
      <c r="P136" s="153">
        <f t="shared" si="51"/>
        <v>8.3000000000000004E-2</v>
      </c>
      <c r="Q136" s="153">
        <f t="shared" si="51"/>
        <v>8.3000000000000004E-2</v>
      </c>
      <c r="R136" s="153">
        <f t="shared" si="51"/>
        <v>8.3000000000000004E-2</v>
      </c>
      <c r="S136" s="153">
        <f t="shared" si="51"/>
        <v>8.3000000000000004E-2</v>
      </c>
      <c r="T136" s="153">
        <f t="shared" si="51"/>
        <v>8.3000000000000004E-2</v>
      </c>
      <c r="U136" s="153">
        <f t="shared" si="51"/>
        <v>8.3000000000000004E-2</v>
      </c>
      <c r="V136" s="153">
        <f t="shared" si="51"/>
        <v>8.3000000000000004E-2</v>
      </c>
      <c r="W136" s="153">
        <f t="shared" si="51"/>
        <v>8.3000000000000004E-2</v>
      </c>
      <c r="X136" s="153">
        <f t="shared" si="51"/>
        <v>8.3000000000000004E-2</v>
      </c>
      <c r="Y136" s="153">
        <f t="shared" si="51"/>
        <v>8.3000000000000004E-2</v>
      </c>
      <c r="Z136" s="153">
        <f t="shared" si="51"/>
        <v>8.3000000000000004E-2</v>
      </c>
      <c r="AA136" s="153">
        <f t="shared" si="51"/>
        <v>8.3000000000000004E-2</v>
      </c>
      <c r="AB136" s="153">
        <f t="shared" si="51"/>
        <v>8.3000000000000004E-2</v>
      </c>
      <c r="AC136" s="153">
        <f t="shared" si="51"/>
        <v>8.3000000000000004E-2</v>
      </c>
    </row>
    <row r="137" spans="2:29" ht="17">
      <c r="B137" s="160" t="s">
        <v>566</v>
      </c>
      <c r="C137" s="161" t="s">
        <v>549</v>
      </c>
      <c r="E137" s="162"/>
      <c r="F137" s="162"/>
      <c r="G137" s="162"/>
      <c r="H137" s="162">
        <v>0.31</v>
      </c>
      <c r="I137" s="162">
        <f>H137</f>
        <v>0.31</v>
      </c>
      <c r="J137" s="162">
        <f t="shared" ref="J137:AC137" si="52">I137</f>
        <v>0.31</v>
      </c>
      <c r="K137" s="162">
        <f t="shared" si="52"/>
        <v>0.31</v>
      </c>
      <c r="L137" s="162">
        <f t="shared" si="52"/>
        <v>0.31</v>
      </c>
      <c r="M137" s="162">
        <f t="shared" si="52"/>
        <v>0.31</v>
      </c>
      <c r="N137" s="162">
        <f t="shared" si="52"/>
        <v>0.31</v>
      </c>
      <c r="O137" s="162">
        <f t="shared" si="52"/>
        <v>0.31</v>
      </c>
      <c r="P137" s="162">
        <f t="shared" si="52"/>
        <v>0.31</v>
      </c>
      <c r="Q137" s="162">
        <v>0</v>
      </c>
      <c r="R137" s="162">
        <f t="shared" si="52"/>
        <v>0</v>
      </c>
      <c r="S137" s="162">
        <f t="shared" si="52"/>
        <v>0</v>
      </c>
      <c r="T137" s="162">
        <f t="shared" si="52"/>
        <v>0</v>
      </c>
      <c r="U137" s="162">
        <f t="shared" si="52"/>
        <v>0</v>
      </c>
      <c r="V137" s="162">
        <f t="shared" si="52"/>
        <v>0</v>
      </c>
      <c r="W137" s="162">
        <f t="shared" si="52"/>
        <v>0</v>
      </c>
      <c r="X137" s="162">
        <f t="shared" si="52"/>
        <v>0</v>
      </c>
      <c r="Y137" s="162">
        <f t="shared" si="52"/>
        <v>0</v>
      </c>
      <c r="Z137" s="162">
        <f t="shared" si="52"/>
        <v>0</v>
      </c>
      <c r="AA137" s="162">
        <f t="shared" si="52"/>
        <v>0</v>
      </c>
      <c r="AB137" s="162">
        <f t="shared" si="52"/>
        <v>0</v>
      </c>
      <c r="AC137" s="162">
        <f t="shared" si="52"/>
        <v>0</v>
      </c>
    </row>
    <row r="138" spans="2:29" ht="17">
      <c r="B138" s="139" t="s">
        <v>595</v>
      </c>
      <c r="C138" s="126" t="s">
        <v>583</v>
      </c>
      <c r="E138" s="152"/>
      <c r="F138" s="152"/>
      <c r="G138" s="165"/>
    </row>
    <row r="139" spans="2:29" ht="17">
      <c r="B139" s="139" t="s">
        <v>596</v>
      </c>
      <c r="C139" s="126" t="s">
        <v>557</v>
      </c>
      <c r="E139" s="152"/>
      <c r="F139" s="152"/>
      <c r="G139" s="153"/>
    </row>
    <row r="140" spans="2:29" ht="17">
      <c r="B140" s="160" t="s">
        <v>597</v>
      </c>
      <c r="C140" s="161" t="s">
        <v>559</v>
      </c>
      <c r="E140" s="162"/>
      <c r="F140" s="162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</row>
    <row r="141" spans="2:29" ht="17">
      <c r="B141" s="139" t="s">
        <v>598</v>
      </c>
      <c r="C141" s="126" t="s">
        <v>585</v>
      </c>
      <c r="E141" s="152"/>
      <c r="F141" s="152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</row>
    <row r="142" spans="2:29" ht="17">
      <c r="B142" s="160" t="s">
        <v>599</v>
      </c>
      <c r="C142" s="161" t="s">
        <v>563</v>
      </c>
      <c r="E142" s="162"/>
      <c r="F142" s="162"/>
      <c r="G142" s="162"/>
      <c r="H142" s="162">
        <f>H134-H135</f>
        <v>1.6739999999999997</v>
      </c>
      <c r="I142" s="162">
        <f t="shared" ref="I142:AC142" si="53">I134-I135</f>
        <v>3.157</v>
      </c>
      <c r="J142" s="162">
        <f t="shared" si="53"/>
        <v>4.6399999999999997</v>
      </c>
      <c r="K142" s="162">
        <f t="shared" si="53"/>
        <v>6.1230000000000002</v>
      </c>
      <c r="L142" s="162">
        <f t="shared" si="53"/>
        <v>7.6060000000000008</v>
      </c>
      <c r="M142" s="162">
        <f t="shared" si="53"/>
        <v>9.0890000000000004</v>
      </c>
      <c r="N142" s="162">
        <f t="shared" si="53"/>
        <v>10.571999999999999</v>
      </c>
      <c r="O142" s="162">
        <f t="shared" si="53"/>
        <v>12.054999999999998</v>
      </c>
      <c r="P142" s="162">
        <f t="shared" si="53"/>
        <v>13.537999999999997</v>
      </c>
      <c r="Q142" s="162">
        <f t="shared" si="53"/>
        <v>15.330999999999996</v>
      </c>
      <c r="R142" s="162">
        <f t="shared" si="53"/>
        <v>17.123999999999999</v>
      </c>
      <c r="S142" s="162">
        <f t="shared" si="53"/>
        <v>18.917000000000002</v>
      </c>
      <c r="T142" s="162">
        <f t="shared" si="53"/>
        <v>20.710000000000004</v>
      </c>
      <c r="U142" s="162">
        <f t="shared" si="53"/>
        <v>22.503000000000007</v>
      </c>
      <c r="V142" s="162">
        <f t="shared" si="53"/>
        <v>24.29600000000001</v>
      </c>
      <c r="W142" s="162">
        <f t="shared" si="53"/>
        <v>26.089000000000013</v>
      </c>
      <c r="X142" s="162">
        <f t="shared" si="53"/>
        <v>27.882000000000016</v>
      </c>
      <c r="Y142" s="162">
        <f t="shared" si="53"/>
        <v>29.675000000000018</v>
      </c>
      <c r="Z142" s="162">
        <f t="shared" si="53"/>
        <v>31.468000000000021</v>
      </c>
      <c r="AA142" s="162">
        <f t="shared" si="53"/>
        <v>33.261000000000024</v>
      </c>
      <c r="AB142" s="162">
        <f t="shared" si="53"/>
        <v>35.054000000000023</v>
      </c>
      <c r="AC142" s="162">
        <f t="shared" si="53"/>
        <v>36.847000000000023</v>
      </c>
    </row>
    <row r="143" spans="2:29" ht="17">
      <c r="B143" s="146" t="s">
        <v>600</v>
      </c>
      <c r="C143" s="126" t="s">
        <v>573</v>
      </c>
      <c r="E143" s="152"/>
      <c r="F143" s="152"/>
      <c r="G143" s="153"/>
    </row>
    <row r="144" spans="2:29" ht="17">
      <c r="B144" s="139" t="s">
        <v>574</v>
      </c>
      <c r="C144" s="126" t="s">
        <v>575</v>
      </c>
      <c r="E144" s="152"/>
      <c r="F144" s="152"/>
      <c r="G144" s="152"/>
      <c r="H144" s="152">
        <f>ISBSCF!D41</f>
        <v>1.6739999999999999</v>
      </c>
      <c r="I144" s="152">
        <f>I142</f>
        <v>3.157</v>
      </c>
      <c r="J144" s="152">
        <f t="shared" ref="J144:AC144" si="54">J142</f>
        <v>4.6399999999999997</v>
      </c>
      <c r="K144" s="152">
        <f t="shared" si="54"/>
        <v>6.1230000000000002</v>
      </c>
      <c r="L144" s="152">
        <f t="shared" si="54"/>
        <v>7.6060000000000008</v>
      </c>
      <c r="M144" s="152">
        <f t="shared" si="54"/>
        <v>9.0890000000000004</v>
      </c>
      <c r="N144" s="152">
        <f t="shared" si="54"/>
        <v>10.571999999999999</v>
      </c>
      <c r="O144" s="152">
        <f t="shared" si="54"/>
        <v>12.054999999999998</v>
      </c>
      <c r="P144" s="152">
        <f t="shared" si="54"/>
        <v>13.537999999999997</v>
      </c>
      <c r="Q144" s="152">
        <f t="shared" si="54"/>
        <v>15.330999999999996</v>
      </c>
      <c r="R144" s="152">
        <f t="shared" si="54"/>
        <v>17.123999999999999</v>
      </c>
      <c r="S144" s="152">
        <f t="shared" si="54"/>
        <v>18.917000000000002</v>
      </c>
      <c r="T144" s="152">
        <f t="shared" si="54"/>
        <v>20.710000000000004</v>
      </c>
      <c r="U144" s="152">
        <f t="shared" si="54"/>
        <v>22.503000000000007</v>
      </c>
      <c r="V144" s="152">
        <f t="shared" si="54"/>
        <v>24.29600000000001</v>
      </c>
      <c r="W144" s="152">
        <f t="shared" si="54"/>
        <v>26.089000000000013</v>
      </c>
      <c r="X144" s="152">
        <f t="shared" si="54"/>
        <v>27.882000000000016</v>
      </c>
      <c r="Y144" s="152">
        <f t="shared" si="54"/>
        <v>29.675000000000018</v>
      </c>
      <c r="Z144" s="152">
        <f t="shared" si="54"/>
        <v>31.468000000000021</v>
      </c>
      <c r="AA144" s="152">
        <f t="shared" si="54"/>
        <v>33.261000000000024</v>
      </c>
      <c r="AB144" s="152">
        <f t="shared" si="54"/>
        <v>35.054000000000023</v>
      </c>
      <c r="AC144" s="152">
        <f t="shared" si="54"/>
        <v>36.847000000000023</v>
      </c>
    </row>
    <row r="145" spans="2:29" ht="17">
      <c r="B145" s="139" t="s">
        <v>576</v>
      </c>
      <c r="C145" s="126" t="s">
        <v>577</v>
      </c>
      <c r="E145" s="152"/>
      <c r="F145" s="152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</row>
    <row r="146" spans="2:29">
      <c r="C146" s="126"/>
      <c r="E146" s="152"/>
      <c r="F146" s="152"/>
      <c r="G146" s="153"/>
    </row>
    <row r="147" spans="2:29">
      <c r="C147" s="126"/>
      <c r="E147" s="168"/>
      <c r="F147" s="168"/>
      <c r="G147" s="153"/>
    </row>
    <row r="152" spans="2:29">
      <c r="H152" s="1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treatment cost</vt:lpstr>
      <vt:lpstr>Portfolio Guide</vt:lpstr>
      <vt:lpstr>Financial Analysis</vt:lpstr>
      <vt:lpstr>Summary</vt:lpstr>
      <vt:lpstr>DCF</vt:lpstr>
      <vt:lpstr>ISBSCF</vt:lpstr>
      <vt:lpstr>APL101</vt:lpstr>
      <vt:lpstr>Forecast</vt:lpstr>
      <vt:lpstr>ISBSCF!fx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2026-09-28T23:17:48Z</dcterms:created>
  <dcterms:modified xsi:type="dcterms:W3CDTF">2026-09-28T23:19:05Z</dcterms:modified>
</cp:coreProperties>
</file>