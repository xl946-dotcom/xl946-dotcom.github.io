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1/Desktop/"/>
    </mc:Choice>
  </mc:AlternateContent>
  <xr:revisionPtr revIDLastSave="0" documentId="8_{73535597-8B18-0B4E-962C-2E52A195036F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Project Overview" sheetId="1" r:id="rId1"/>
    <sheet name="Dashboard" sheetId="2" r:id="rId2"/>
    <sheet name="Analysis" sheetId="3" r:id="rId3"/>
    <sheet name="SQL Queries" sheetId="4" r:id="rId4"/>
    <sheet name="Raw Data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/>
  <c r="E56" i="3" s="1"/>
  <c r="C56" i="3"/>
  <c r="F56" i="3" s="1"/>
  <c r="B56" i="3"/>
  <c r="D55" i="3"/>
  <c r="E55" i="3" s="1"/>
  <c r="C55" i="3"/>
  <c r="F55" i="3" s="1"/>
  <c r="B55" i="3"/>
  <c r="D54" i="3"/>
  <c r="E54" i="3" s="1"/>
  <c r="C54" i="3"/>
  <c r="F54" i="3" s="1"/>
  <c r="B54" i="3"/>
  <c r="E53" i="3"/>
  <c r="D53" i="3"/>
  <c r="C53" i="3"/>
  <c r="F53" i="3" s="1"/>
  <c r="B53" i="3"/>
  <c r="E52" i="3"/>
  <c r="D52" i="3"/>
  <c r="C52" i="3"/>
  <c r="B52" i="3"/>
  <c r="F52" i="3" s="1"/>
  <c r="J46" i="3"/>
  <c r="K46" i="3" s="1"/>
  <c r="I46" i="3"/>
  <c r="H46" i="3"/>
  <c r="J45" i="3"/>
  <c r="K45" i="3" s="1"/>
  <c r="I45" i="3"/>
  <c r="H45" i="3"/>
  <c r="J44" i="3"/>
  <c r="K44" i="3" s="1"/>
  <c r="I44" i="3"/>
  <c r="L44" i="3" s="1"/>
  <c r="H44" i="3"/>
  <c r="J43" i="3"/>
  <c r="K43" i="3" s="1"/>
  <c r="I43" i="3"/>
  <c r="H43" i="3"/>
  <c r="J42" i="3"/>
  <c r="K42" i="3" s="1"/>
  <c r="I42" i="3"/>
  <c r="L42" i="3" s="1"/>
  <c r="H42" i="3"/>
  <c r="J41" i="3"/>
  <c r="K41" i="3" s="1"/>
  <c r="I41" i="3"/>
  <c r="L41" i="3" s="1"/>
  <c r="H41" i="3"/>
  <c r="J40" i="3"/>
  <c r="K40" i="3" s="1"/>
  <c r="I40" i="3"/>
  <c r="L40" i="3" s="1"/>
  <c r="H40" i="3"/>
  <c r="C40" i="3"/>
  <c r="D40" i="3" s="1"/>
  <c r="B40" i="3"/>
  <c r="E40" i="3" s="1"/>
  <c r="J39" i="3"/>
  <c r="I39" i="3"/>
  <c r="L39" i="3" s="1"/>
  <c r="H39" i="3"/>
  <c r="C39" i="3"/>
  <c r="D39" i="3" s="1"/>
  <c r="B39" i="3"/>
  <c r="K38" i="3"/>
  <c r="J38" i="3"/>
  <c r="I38" i="3"/>
  <c r="H38" i="3"/>
  <c r="C38" i="3"/>
  <c r="B38" i="3"/>
  <c r="D38" i="3" s="1"/>
  <c r="J37" i="3"/>
  <c r="K37" i="3" s="1"/>
  <c r="I37" i="3"/>
  <c r="H52" i="3" s="1"/>
  <c r="H37" i="3"/>
  <c r="D37" i="3"/>
  <c r="C37" i="3"/>
  <c r="B37" i="3"/>
  <c r="J31" i="3"/>
  <c r="I31" i="3"/>
  <c r="H31" i="3"/>
  <c r="K31" i="3" s="1"/>
  <c r="J30" i="3"/>
  <c r="I30" i="3"/>
  <c r="H30" i="3"/>
  <c r="K30" i="3" s="1"/>
  <c r="J29" i="3"/>
  <c r="I29" i="3"/>
  <c r="H29" i="3"/>
  <c r="K29" i="3" s="1"/>
  <c r="J28" i="3"/>
  <c r="I28" i="3"/>
  <c r="H28" i="3"/>
  <c r="K28" i="3" s="1"/>
  <c r="D28" i="3"/>
  <c r="E28" i="3" s="1"/>
  <c r="C28" i="3"/>
  <c r="B28" i="3"/>
  <c r="J27" i="3"/>
  <c r="I27" i="3"/>
  <c r="H27" i="3"/>
  <c r="H56" i="3" s="1"/>
  <c r="D27" i="3"/>
  <c r="C27" i="3"/>
  <c r="B27" i="3"/>
  <c r="E27" i="3" s="1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B14" i="3"/>
  <c r="H13" i="3"/>
  <c r="G13" i="3"/>
  <c r="F13" i="3"/>
  <c r="B13" i="3"/>
  <c r="H12" i="3"/>
  <c r="G12" i="3"/>
  <c r="F12" i="3"/>
  <c r="B12" i="3"/>
  <c r="H11" i="3"/>
  <c r="G11" i="3"/>
  <c r="F11" i="3"/>
  <c r="B11" i="3"/>
  <c r="H10" i="3"/>
  <c r="G10" i="3"/>
  <c r="F10" i="3"/>
  <c r="B10" i="3"/>
  <c r="E37" i="3" s="1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S45" i="2"/>
  <c r="R45" i="2"/>
  <c r="Q45" i="2"/>
  <c r="D45" i="2"/>
  <c r="C45" i="2"/>
  <c r="B45" i="2"/>
  <c r="S44" i="2"/>
  <c r="R44" i="2"/>
  <c r="Q44" i="2"/>
  <c r="N44" i="2"/>
  <c r="M44" i="2"/>
  <c r="L44" i="2"/>
  <c r="H44" i="2"/>
  <c r="I44" i="2" s="1"/>
  <c r="G44" i="2"/>
  <c r="D44" i="2"/>
  <c r="C44" i="2"/>
  <c r="B44" i="2"/>
  <c r="S43" i="2"/>
  <c r="R43" i="2"/>
  <c r="Q43" i="2"/>
  <c r="N43" i="2"/>
  <c r="M43" i="2"/>
  <c r="L43" i="2"/>
  <c r="H43" i="2"/>
  <c r="I43" i="2" s="1"/>
  <c r="G43" i="2"/>
  <c r="D43" i="2"/>
  <c r="C43" i="2"/>
  <c r="B43" i="2"/>
  <c r="S42" i="2"/>
  <c r="R42" i="2"/>
  <c r="Q42" i="2"/>
  <c r="N42" i="2"/>
  <c r="M42" i="2"/>
  <c r="L42" i="2"/>
  <c r="H42" i="2"/>
  <c r="I42" i="2" s="1"/>
  <c r="G42" i="2"/>
  <c r="D42" i="2"/>
  <c r="C42" i="2"/>
  <c r="B42" i="2"/>
  <c r="S41" i="2"/>
  <c r="R41" i="2"/>
  <c r="Q41" i="2"/>
  <c r="N41" i="2"/>
  <c r="M41" i="2"/>
  <c r="L41" i="2"/>
  <c r="H41" i="2"/>
  <c r="I41" i="2" s="1"/>
  <c r="G41" i="2"/>
  <c r="D41" i="2"/>
  <c r="C41" i="2"/>
  <c r="B41" i="2"/>
  <c r="H6" i="2"/>
  <c r="E6" i="2"/>
  <c r="B6" i="2"/>
  <c r="K6" i="2" s="1"/>
  <c r="H54" i="3" l="1"/>
  <c r="H58" i="3"/>
  <c r="K39" i="3"/>
  <c r="L46" i="3"/>
  <c r="L38" i="3"/>
  <c r="L37" i="3"/>
  <c r="K27" i="3"/>
  <c r="L43" i="3"/>
  <c r="L45" i="3"/>
  <c r="E39" i="3"/>
  <c r="E38" i="3"/>
</calcChain>
</file>

<file path=xl/sharedStrings.xml><?xml version="1.0" encoding="utf-8"?>
<sst xmlns="http://schemas.openxmlformats.org/spreadsheetml/2006/main" count="7188" uniqueCount="1479">
  <si>
    <t>E-Commerce Sales &amp; Customer Analytics</t>
  </si>
  <si>
    <t>Portfolio project using a simulated 1,000-order e-commerce dataset to analyze revenue, profitability, customer behavior, product performance, regional trends, and acquisition channels.</t>
  </si>
  <si>
    <t>Section</t>
  </si>
  <si>
    <t>What it demonstrates</t>
  </si>
  <si>
    <t>Portfolio value</t>
  </si>
  <si>
    <t>Dashboard</t>
  </si>
  <si>
    <t>Executive KPIs and visual trends</t>
  </si>
  <si>
    <t>Communicating insights clearly</t>
  </si>
  <si>
    <t>Analysis</t>
  </si>
  <si>
    <t>Monthly, category, region, channel and customer-segment analysis</t>
  </si>
  <si>
    <t>Business analytics</t>
  </si>
  <si>
    <t>SQL Queries</t>
  </si>
  <si>
    <t>SQL used to answer practical business questions</t>
  </si>
  <si>
    <t>SQL proficiency</t>
  </si>
  <si>
    <t>Raw Data</t>
  </si>
  <si>
    <t>1,000 simulated order-level records</t>
  </si>
  <si>
    <t>Data structure / analysis workflow</t>
  </si>
  <si>
    <t>Dataset Note</t>
  </si>
  <si>
    <t>All data is simulated for portfolio purposes</t>
  </si>
  <si>
    <t>Safe to publish publicly</t>
  </si>
  <si>
    <t>BUSINESS QUESTIONS</t>
  </si>
  <si>
    <t>1. How did revenue and profit change throughout the year?</t>
  </si>
  <si>
    <t>2. Which product categories generated the most revenue and profit?</t>
  </si>
  <si>
    <t>3. Which regions and acquisition channels performed best?</t>
  </si>
  <si>
    <t>4. How do new and returning customers differ in revenue contribution?</t>
  </si>
  <si>
    <t>5. Which products combine strong sales with healthy margins?</t>
  </si>
  <si>
    <t>6. What actions could management take based on the results?</t>
  </si>
  <si>
    <t>SKILLS</t>
  </si>
  <si>
    <t>SQL</t>
  </si>
  <si>
    <t>Excel</t>
  </si>
  <si>
    <t>Data Analysis</t>
  </si>
  <si>
    <t>Dashboarding</t>
  </si>
  <si>
    <t>Customer Analytics</t>
  </si>
  <si>
    <t>Business Insights</t>
  </si>
  <si>
    <t>E-Commerce Executive Dashboard</t>
  </si>
  <si>
    <t>Business question: What drives revenue and profit, which customers/channels matter most, and where should management focus?</t>
  </si>
  <si>
    <t>TOTAL REVENUE</t>
  </si>
  <si>
    <t>TOTAL PROFIT</t>
  </si>
  <si>
    <t>ORDERS</t>
  </si>
  <si>
    <t>AVG ORDER VALUE</t>
  </si>
  <si>
    <t>Month</t>
  </si>
  <si>
    <t>Revenue ($)</t>
  </si>
  <si>
    <t>Profit ($)</t>
  </si>
  <si>
    <t>Orders</t>
  </si>
  <si>
    <t>Category</t>
  </si>
  <si>
    <t>Profit Margin</t>
  </si>
  <si>
    <t>Region</t>
  </si>
  <si>
    <t>Channel</t>
  </si>
  <si>
    <t>Electronics</t>
  </si>
  <si>
    <t>Northeast</t>
  </si>
  <si>
    <t>Organic Search</t>
  </si>
  <si>
    <t>Home &amp; Office</t>
  </si>
  <si>
    <t>South</t>
  </si>
  <si>
    <t>Paid Social</t>
  </si>
  <si>
    <t>Lifestyle</t>
  </si>
  <si>
    <t>Midwest</t>
  </si>
  <si>
    <t>Email</t>
  </si>
  <si>
    <t>Fitness</t>
  </si>
  <si>
    <t>West</t>
  </si>
  <si>
    <t>Direct</t>
  </si>
  <si>
    <t>Referral</t>
  </si>
  <si>
    <t>E-Commerce Business Analysis | What is driving revenue and profit?</t>
  </si>
  <si>
    <t>Objective: identify the main drivers of sales and profitability, evaluate customer and channel performance, and translate the findings into practical management recommendations.</t>
  </si>
  <si>
    <t>1 | EXECUTIVE PERFORMANCE</t>
  </si>
  <si>
    <t>Metric</t>
  </si>
  <si>
    <t>Result</t>
  </si>
  <si>
    <t>Interpretation</t>
  </si>
  <si>
    <t>Total Revenue</t>
  </si>
  <si>
    <t>Overall sales generated during the simulated year.</t>
  </si>
  <si>
    <t>Total Profit</t>
  </si>
  <si>
    <t>Gross profit after product-level COGS.</t>
  </si>
  <si>
    <t>Measures how efficiently revenue converts into profit.</t>
  </si>
  <si>
    <t>Total order volume.</t>
  </si>
  <si>
    <t>Average Order Value</t>
  </si>
  <si>
    <t>Average revenue generated per order.</t>
  </si>
  <si>
    <t>2 | CUSTOMER &amp; ACQUISITION ANALYSIS</t>
  </si>
  <si>
    <t>Customer Segment</t>
  </si>
  <si>
    <t>AOV ($)</t>
  </si>
  <si>
    <t>New</t>
  </si>
  <si>
    <t>Returning</t>
  </si>
  <si>
    <t>3 | PRODUCT &amp; CATEGORY ECONOMICS</t>
  </si>
  <si>
    <t>Margin</t>
  </si>
  <si>
    <t>Revenue Share</t>
  </si>
  <si>
    <t>Product</t>
  </si>
  <si>
    <t>Units</t>
  </si>
  <si>
    <t>Wireless Earbuds</t>
  </si>
  <si>
    <t>Portable Charger</t>
  </si>
  <si>
    <t>Mechanical Keyboard</t>
  </si>
  <si>
    <t>Desk Lamp</t>
  </si>
  <si>
    <t>Laptop Stand</t>
  </si>
  <si>
    <t>Insulated Bottle</t>
  </si>
  <si>
    <t>Yoga Mat</t>
  </si>
  <si>
    <t>Resistance Bands</t>
  </si>
  <si>
    <t>Travel Backpack</t>
  </si>
  <si>
    <t>Notebook Set</t>
  </si>
  <si>
    <t>4 | DISCOUNT IMPACT</t>
  </si>
  <si>
    <t>Discount</t>
  </si>
  <si>
    <t>KEY FINDINGS</t>
  </si>
  <si>
    <t>5 | MANAGEMENT RECOMMENDATIONS</t>
  </si>
  <si>
    <t>Priority</t>
  </si>
  <si>
    <t>Recommendation</t>
  </si>
  <si>
    <t>Business rationale</t>
  </si>
  <si>
    <t>1</t>
  </si>
  <si>
    <t>Protect high-margin categories</t>
  </si>
  <si>
    <t>Prioritize inventory and merchandising around categories that combine meaningful revenue with above-average margins.</t>
  </si>
  <si>
    <t>2</t>
  </si>
  <si>
    <t>Strengthen customer retention</t>
  </si>
  <si>
    <t>Returning customers already contribute a material share of sales; targeted email/loyalty campaigns can increase repeat purchase frequency.</t>
  </si>
  <si>
    <t>3</t>
  </si>
  <si>
    <t>Allocate acquisition spend by economics</t>
  </si>
  <si>
    <t>Compare channel revenue, profit and AOV rather than optimizing only for order count.</t>
  </si>
  <si>
    <t>4</t>
  </si>
  <si>
    <t>Use discounts selectively</t>
  </si>
  <si>
    <t>Evaluate whether deeper discounts create enough incremental order value to offset margin compression.</t>
  </si>
  <si>
    <t>5</t>
  </si>
  <si>
    <t>Focus on product-level winners</t>
  </si>
  <si>
    <t>Use the product table to identify items that deserve more inventory, promotion, or bundling support.</t>
  </si>
  <si>
    <t>SQL Business Analysis</t>
  </si>
  <si>
    <t>The queries below show how the same business questions could be answered in SQL. Table name: orders.</t>
  </si>
  <si>
    <t>1. Monthly revenue and profit</t>
  </si>
  <si>
    <t>SELECT
  DATE_TRUNC('month', order_date) AS month,
  SUM(revenue) AS revenue,
  SUM(profit) AS profit,
  COUNT(DISTINCT order_id) AS orders
FROM orders
GROUP BY 1
ORDER BY 1;</t>
  </si>
  <si>
    <t>2. Category performance</t>
  </si>
  <si>
    <t>SELECT
  category,
  SUM(revenue) AS revenue,
  SUM(profit) AS profit,
  SUM(profit) / NULLIF(SUM(revenue), 0) AS profit_margin
FROM orders
GROUP BY category
ORDER BY revenue DESC;</t>
  </si>
  <si>
    <t>3. Regional performance</t>
  </si>
  <si>
    <t>SELECT
  region,
  SUM(revenue) AS revenue,
  SUM(profit) AS profit,
  COUNT(DISTINCT order_id) AS orders
FROM orders
GROUP BY region
ORDER BY revenue DESC;</t>
  </si>
  <si>
    <t>4. New vs. returning customers</t>
  </si>
  <si>
    <t>SELECT
  customer_segment,
  COUNT(DISTINCT customer_id) AS customers,
  COUNT(DISTINCT order_id) AS orders,
  SUM(revenue) AS revenue,
  AVG(revenue) AS avg_order_value
FROM orders
GROUP BY customer_segment;</t>
  </si>
  <si>
    <t>5. Acquisition-channel performance</t>
  </si>
  <si>
    <t>SELECT
  acquisition_channel,
  COUNT(DISTINCT order_id) AS orders,
  SUM(revenue) AS revenue,
  SUM(profit) AS profit
FROM orders
GROUP BY acquisition_channel
ORDER BY revenue DESC;</t>
  </si>
  <si>
    <t>6. Top products by profit</t>
  </si>
  <si>
    <t>SELECT
  product,
  category,
  SUM(quantity) AS units_sold,
  SUM(revenue) AS revenue,
  SUM(profit) AS profit
FROM orders
GROUP BY product, category
ORDER BY profit DESC
LIMIT 10;</t>
  </si>
  <si>
    <t>Order ID</t>
  </si>
  <si>
    <t>Order Date</t>
  </si>
  <si>
    <t>Customer ID</t>
  </si>
  <si>
    <t>Acquisition Channel</t>
  </si>
  <si>
    <t>Quantity</t>
  </si>
  <si>
    <t>Unit Price ($)</t>
  </si>
  <si>
    <t>Discount %</t>
  </si>
  <si>
    <t>COGS ($)</t>
  </si>
  <si>
    <t>O00001</t>
  </si>
  <si>
    <t>C0378</t>
  </si>
  <si>
    <t>O00002</t>
  </si>
  <si>
    <t>C0259</t>
  </si>
  <si>
    <t>O00003</t>
  </si>
  <si>
    <t>C0004</t>
  </si>
  <si>
    <t>O00004</t>
  </si>
  <si>
    <t>C0048</t>
  </si>
  <si>
    <t>O00005</t>
  </si>
  <si>
    <t>C0138</t>
  </si>
  <si>
    <t>O00006</t>
  </si>
  <si>
    <t>C0093</t>
  </si>
  <si>
    <t>O00007</t>
  </si>
  <si>
    <t>C0026</t>
  </si>
  <si>
    <t>O00008</t>
  </si>
  <si>
    <t>C0019</t>
  </si>
  <si>
    <t>O00009</t>
  </si>
  <si>
    <t>C0143</t>
  </si>
  <si>
    <t>O00010</t>
  </si>
  <si>
    <t>C0034</t>
  </si>
  <si>
    <t>O00011</t>
  </si>
  <si>
    <t>C0118</t>
  </si>
  <si>
    <t>O00012</t>
  </si>
  <si>
    <t>C0110</t>
  </si>
  <si>
    <t>O00013</t>
  </si>
  <si>
    <t>C0057</t>
  </si>
  <si>
    <t>O00014</t>
  </si>
  <si>
    <t>C0120</t>
  </si>
  <si>
    <t>O00015</t>
  </si>
  <si>
    <t>C0329</t>
  </si>
  <si>
    <t>O00016</t>
  </si>
  <si>
    <t>C0068</t>
  </si>
  <si>
    <t>O00017</t>
  </si>
  <si>
    <t>C0192</t>
  </si>
  <si>
    <t>O00018</t>
  </si>
  <si>
    <t>C0186</t>
  </si>
  <si>
    <t>O00019</t>
  </si>
  <si>
    <t>C0249</t>
  </si>
  <si>
    <t>O00020</t>
  </si>
  <si>
    <t>C0271</t>
  </si>
  <si>
    <t>O00021</t>
  </si>
  <si>
    <t>C0096</t>
  </si>
  <si>
    <t>O00022</t>
  </si>
  <si>
    <t>C0284</t>
  </si>
  <si>
    <t>O00023</t>
  </si>
  <si>
    <t>C0017</t>
  </si>
  <si>
    <t>O00024</t>
  </si>
  <si>
    <t>C0371</t>
  </si>
  <si>
    <t>O00025</t>
  </si>
  <si>
    <t>C0217</t>
  </si>
  <si>
    <t>O00026</t>
  </si>
  <si>
    <t>C0028</t>
  </si>
  <si>
    <t>O00027</t>
  </si>
  <si>
    <t>C0128</t>
  </si>
  <si>
    <t>O00028</t>
  </si>
  <si>
    <t>C0024</t>
  </si>
  <si>
    <t>O00029</t>
  </si>
  <si>
    <t>C0043</t>
  </si>
  <si>
    <t>O00030</t>
  </si>
  <si>
    <t>C0357</t>
  </si>
  <si>
    <t>O00031</t>
  </si>
  <si>
    <t>C0016</t>
  </si>
  <si>
    <t>O00032</t>
  </si>
  <si>
    <t>C0030</t>
  </si>
  <si>
    <t>O00033</t>
  </si>
  <si>
    <t>C0292</t>
  </si>
  <si>
    <t>O00034</t>
  </si>
  <si>
    <t>C0134</t>
  </si>
  <si>
    <t>O00035</t>
  </si>
  <si>
    <t>C0077</t>
  </si>
  <si>
    <t>O00036</t>
  </si>
  <si>
    <t>O00037</t>
  </si>
  <si>
    <t>C0095</t>
  </si>
  <si>
    <t>O00038</t>
  </si>
  <si>
    <t>C0136</t>
  </si>
  <si>
    <t>O00039</t>
  </si>
  <si>
    <t>C0055</t>
  </si>
  <si>
    <t>O00040</t>
  </si>
  <si>
    <t>O00041</t>
  </si>
  <si>
    <t>C0171</t>
  </si>
  <si>
    <t>O00042</t>
  </si>
  <si>
    <t>C0039</t>
  </si>
  <si>
    <t>O00043</t>
  </si>
  <si>
    <t>C0158</t>
  </si>
  <si>
    <t>O00044</t>
  </si>
  <si>
    <t>C0287</t>
  </si>
  <si>
    <t>O00045</t>
  </si>
  <si>
    <t>C0106</t>
  </si>
  <si>
    <t>O00046</t>
  </si>
  <si>
    <t>C0069</t>
  </si>
  <si>
    <t>O00047</t>
  </si>
  <si>
    <t>O00048</t>
  </si>
  <si>
    <t>C0036</t>
  </si>
  <si>
    <t>O00049</t>
  </si>
  <si>
    <t>C0015</t>
  </si>
  <si>
    <t>O00050</t>
  </si>
  <si>
    <t>C0223</t>
  </si>
  <si>
    <t>O00051</t>
  </si>
  <si>
    <t>C0049</t>
  </si>
  <si>
    <t>O00052</t>
  </si>
  <si>
    <t>C0369</t>
  </si>
  <si>
    <t>O00053</t>
  </si>
  <si>
    <t>C0032</t>
  </si>
  <si>
    <t>O00054</t>
  </si>
  <si>
    <t>C0099</t>
  </si>
  <si>
    <t>O00055</t>
  </si>
  <si>
    <t>C0001</t>
  </si>
  <si>
    <t>O00056</t>
  </si>
  <si>
    <t>C0227</t>
  </si>
  <si>
    <t>O00057</t>
  </si>
  <si>
    <t>C0022</t>
  </si>
  <si>
    <t>O00058</t>
  </si>
  <si>
    <t>C0080</t>
  </si>
  <si>
    <t>O00059</t>
  </si>
  <si>
    <t>O00060</t>
  </si>
  <si>
    <t>C0125</t>
  </si>
  <si>
    <t>O00061</t>
  </si>
  <si>
    <t>C0119</t>
  </si>
  <si>
    <t>O00062</t>
  </si>
  <si>
    <t>C0144</t>
  </si>
  <si>
    <t>O00063</t>
  </si>
  <si>
    <t>C0082</t>
  </si>
  <si>
    <t>O00064</t>
  </si>
  <si>
    <t>O00065</t>
  </si>
  <si>
    <t>C0277</t>
  </si>
  <si>
    <t>O00066</t>
  </si>
  <si>
    <t>C0213</t>
  </si>
  <si>
    <t>O00067</t>
  </si>
  <si>
    <t>C0395</t>
  </si>
  <si>
    <t>O00068</t>
  </si>
  <si>
    <t>C0108</t>
  </si>
  <si>
    <t>O00069</t>
  </si>
  <si>
    <t>C0348</t>
  </si>
  <si>
    <t>O00070</t>
  </si>
  <si>
    <t>C0152</t>
  </si>
  <si>
    <t>O00071</t>
  </si>
  <si>
    <t>C0195</t>
  </si>
  <si>
    <t>O00072</t>
  </si>
  <si>
    <t>C0216</t>
  </si>
  <si>
    <t>O00073</t>
  </si>
  <si>
    <t>C0058</t>
  </si>
  <si>
    <t>O00074</t>
  </si>
  <si>
    <t>C0065</t>
  </si>
  <si>
    <t>O00075</t>
  </si>
  <si>
    <t>C0311</t>
  </si>
  <si>
    <t>O00076</t>
  </si>
  <si>
    <t>C0193</t>
  </si>
  <si>
    <t>O00077</t>
  </si>
  <si>
    <t>C0396</t>
  </si>
  <si>
    <t>O00078</t>
  </si>
  <si>
    <t>C0190</t>
  </si>
  <si>
    <t>O00079</t>
  </si>
  <si>
    <t>C0222</t>
  </si>
  <si>
    <t>O00080</t>
  </si>
  <si>
    <t>C0070</t>
  </si>
  <si>
    <t>O00081</t>
  </si>
  <si>
    <t>C0023</t>
  </si>
  <si>
    <t>O00082</t>
  </si>
  <si>
    <t>C0254</t>
  </si>
  <si>
    <t>O00083</t>
  </si>
  <si>
    <t>C0306</t>
  </si>
  <si>
    <t>O00084</t>
  </si>
  <si>
    <t>C0126</t>
  </si>
  <si>
    <t>O00085</t>
  </si>
  <si>
    <t>C0208</t>
  </si>
  <si>
    <t>O00086</t>
  </si>
  <si>
    <t>C0382</t>
  </si>
  <si>
    <t>O00087</t>
  </si>
  <si>
    <t>O00088</t>
  </si>
  <si>
    <t>C0302</t>
  </si>
  <si>
    <t>O00089</t>
  </si>
  <si>
    <t>C0274</t>
  </si>
  <si>
    <t>O00090</t>
  </si>
  <si>
    <t>C0386</t>
  </si>
  <si>
    <t>O00091</t>
  </si>
  <si>
    <t>C0027</t>
  </si>
  <si>
    <t>O00092</t>
  </si>
  <si>
    <t>C0014</t>
  </si>
  <si>
    <t>O00093</t>
  </si>
  <si>
    <t>C0214</t>
  </si>
  <si>
    <t>O00094</t>
  </si>
  <si>
    <t>O00095</t>
  </si>
  <si>
    <t>C0054</t>
  </si>
  <si>
    <t>O00096</t>
  </si>
  <si>
    <t>C0002</t>
  </si>
  <si>
    <t>O00097</t>
  </si>
  <si>
    <t>C0145</t>
  </si>
  <si>
    <t>O00098</t>
  </si>
  <si>
    <t>C0051</t>
  </si>
  <si>
    <t>O00099</t>
  </si>
  <si>
    <t>O00100</t>
  </si>
  <si>
    <t>C0064</t>
  </si>
  <si>
    <t>O00101</t>
  </si>
  <si>
    <t>C0042</t>
  </si>
  <si>
    <t>O00102</t>
  </si>
  <si>
    <t>C0148</t>
  </si>
  <si>
    <t>O00103</t>
  </si>
  <si>
    <t>O00104</t>
  </si>
  <si>
    <t>C0179</t>
  </si>
  <si>
    <t>O00105</t>
  </si>
  <si>
    <t>C0074</t>
  </si>
  <si>
    <t>O00106</t>
  </si>
  <si>
    <t>O00107</t>
  </si>
  <si>
    <t>C0319</t>
  </si>
  <si>
    <t>O00108</t>
  </si>
  <si>
    <t>C0358</t>
  </si>
  <si>
    <t>O00109</t>
  </si>
  <si>
    <t>C0008</t>
  </si>
  <si>
    <t>O00110</t>
  </si>
  <si>
    <t>O00111</t>
  </si>
  <si>
    <t>C0234</t>
  </si>
  <si>
    <t>O00112</t>
  </si>
  <si>
    <t>C0071</t>
  </si>
  <si>
    <t>O00113</t>
  </si>
  <si>
    <t>C0301</t>
  </si>
  <si>
    <t>O00114</t>
  </si>
  <si>
    <t>C0097</t>
  </si>
  <si>
    <t>O00115</t>
  </si>
  <si>
    <t>C0012</t>
  </si>
  <si>
    <t>O00116</t>
  </si>
  <si>
    <t>O00117</t>
  </si>
  <si>
    <t>C0226</t>
  </si>
  <si>
    <t>O00118</t>
  </si>
  <si>
    <t>C0040</t>
  </si>
  <si>
    <t>O00119</t>
  </si>
  <si>
    <t>C0169</t>
  </si>
  <si>
    <t>O00120</t>
  </si>
  <si>
    <t>C0324</t>
  </si>
  <si>
    <t>O00121</t>
  </si>
  <si>
    <t>O00122</t>
  </si>
  <si>
    <t>C0076</t>
  </si>
  <si>
    <t>O00123</t>
  </si>
  <si>
    <t>C0047</t>
  </si>
  <si>
    <t>O00124</t>
  </si>
  <si>
    <t>C0299</t>
  </si>
  <si>
    <t>O00125</t>
  </si>
  <si>
    <t>O00126</t>
  </si>
  <si>
    <t>C0109</t>
  </si>
  <si>
    <t>O00127</t>
  </si>
  <si>
    <t>C0196</t>
  </si>
  <si>
    <t>O00128</t>
  </si>
  <si>
    <t>C0005</t>
  </si>
  <si>
    <t>O00129</t>
  </si>
  <si>
    <t>O00130</t>
  </si>
  <si>
    <t>O00131</t>
  </si>
  <si>
    <t>C0383</t>
  </si>
  <si>
    <t>O00132</t>
  </si>
  <si>
    <t>C0257</t>
  </si>
  <si>
    <t>O00133</t>
  </si>
  <si>
    <t>O00134</t>
  </si>
  <si>
    <t>O00135</t>
  </si>
  <si>
    <t>C0384</t>
  </si>
  <si>
    <t>O00136</t>
  </si>
  <si>
    <t>C0288</t>
  </si>
  <si>
    <t>O00137</t>
  </si>
  <si>
    <t>C0105</t>
  </si>
  <si>
    <t>O00138</t>
  </si>
  <si>
    <t>C0276</t>
  </si>
  <si>
    <t>O00139</t>
  </si>
  <si>
    <t>O00140</t>
  </si>
  <si>
    <t>C0072</t>
  </si>
  <si>
    <t>O00141</t>
  </si>
  <si>
    <t>C0352</t>
  </si>
  <si>
    <t>O00142</t>
  </si>
  <si>
    <t>C0117</t>
  </si>
  <si>
    <t>O00143</t>
  </si>
  <si>
    <t>O00144</t>
  </si>
  <si>
    <t>C0397</t>
  </si>
  <si>
    <t>O00145</t>
  </si>
  <si>
    <t>C0129</t>
  </si>
  <si>
    <t>O00146</t>
  </si>
  <si>
    <t>C0151</t>
  </si>
  <si>
    <t>O00147</t>
  </si>
  <si>
    <t>O00148</t>
  </si>
  <si>
    <t>C0315</t>
  </si>
  <si>
    <t>O00149</t>
  </si>
  <si>
    <t>C0103</t>
  </si>
  <si>
    <t>O00150</t>
  </si>
  <si>
    <t>O00151</t>
  </si>
  <si>
    <t>O00152</t>
  </si>
  <si>
    <t>C0336</t>
  </si>
  <si>
    <t>O00153</t>
  </si>
  <si>
    <t>C0374</t>
  </si>
  <si>
    <t>O00154</t>
  </si>
  <si>
    <t>C0243</t>
  </si>
  <si>
    <t>O00155</t>
  </si>
  <si>
    <t>C0067</t>
  </si>
  <si>
    <t>O00156</t>
  </si>
  <si>
    <t>C0341</t>
  </si>
  <si>
    <t>O00157</t>
  </si>
  <si>
    <t>O00158</t>
  </si>
  <si>
    <t>C0147</t>
  </si>
  <si>
    <t>O00159</t>
  </si>
  <si>
    <t>C0337</t>
  </si>
  <si>
    <t>O00160</t>
  </si>
  <si>
    <t>O00161</t>
  </si>
  <si>
    <t>O00162</t>
  </si>
  <si>
    <t>C0146</t>
  </si>
  <si>
    <t>O00163</t>
  </si>
  <si>
    <t>O00164</t>
  </si>
  <si>
    <t>C0177</t>
  </si>
  <si>
    <t>O00165</t>
  </si>
  <si>
    <t>C0203</t>
  </si>
  <si>
    <t>O00166</t>
  </si>
  <si>
    <t>C0075</t>
  </si>
  <si>
    <t>O00167</t>
  </si>
  <si>
    <t>C0361</t>
  </si>
  <si>
    <t>O00168</t>
  </si>
  <si>
    <t>C0010</t>
  </si>
  <si>
    <t>O00169</t>
  </si>
  <si>
    <t>O00170</t>
  </si>
  <si>
    <t>C0354</t>
  </si>
  <si>
    <t>O00171</t>
  </si>
  <si>
    <t>O00172</t>
  </si>
  <si>
    <t>O00173</t>
  </si>
  <si>
    <t>C0309</t>
  </si>
  <si>
    <t>O00174</t>
  </si>
  <si>
    <t>C0349</t>
  </si>
  <si>
    <t>O00175</t>
  </si>
  <si>
    <t>C0141</t>
  </si>
  <si>
    <t>O00176</t>
  </si>
  <si>
    <t>O00177</t>
  </si>
  <si>
    <t>C0379</t>
  </si>
  <si>
    <t>O00178</t>
  </si>
  <si>
    <t>O00179</t>
  </si>
  <si>
    <t>C0225</t>
  </si>
  <si>
    <t>O00180</t>
  </si>
  <si>
    <t>C0210</t>
  </si>
  <si>
    <t>O00181</t>
  </si>
  <si>
    <t>C0073</t>
  </si>
  <si>
    <t>O00182</t>
  </si>
  <si>
    <t>O00183</t>
  </si>
  <si>
    <t>C0033</t>
  </si>
  <si>
    <t>O00184</t>
  </si>
  <si>
    <t>C0088</t>
  </si>
  <si>
    <t>O00185</t>
  </si>
  <si>
    <t>C0130</t>
  </si>
  <si>
    <t>O00186</t>
  </si>
  <si>
    <t>C0355</t>
  </si>
  <si>
    <t>O00187</t>
  </si>
  <si>
    <t>C0157</t>
  </si>
  <si>
    <t>O00188</t>
  </si>
  <si>
    <t>C0050</t>
  </si>
  <si>
    <t>O00189</t>
  </si>
  <si>
    <t>C0215</t>
  </si>
  <si>
    <t>O00190</t>
  </si>
  <si>
    <t>C0191</t>
  </si>
  <si>
    <t>O00191</t>
  </si>
  <si>
    <t>C0263</t>
  </si>
  <si>
    <t>O00192</t>
  </si>
  <si>
    <t>C0107</t>
  </si>
  <si>
    <t>O00193</t>
  </si>
  <si>
    <t>O00194</t>
  </si>
  <si>
    <t>C0242</t>
  </si>
  <si>
    <t>O00195</t>
  </si>
  <si>
    <t>O00196</t>
  </si>
  <si>
    <t>O00197</t>
  </si>
  <si>
    <t>C0124</t>
  </si>
  <si>
    <t>O00198</t>
  </si>
  <si>
    <t>O00199</t>
  </si>
  <si>
    <t>O00200</t>
  </si>
  <si>
    <t>C0009</t>
  </si>
  <si>
    <t>O00201</t>
  </si>
  <si>
    <t>C0086</t>
  </si>
  <si>
    <t>O00202</t>
  </si>
  <si>
    <t>O00203</t>
  </si>
  <si>
    <t>C0104</t>
  </si>
  <si>
    <t>O00204</t>
  </si>
  <si>
    <t>C0140</t>
  </si>
  <si>
    <t>O00205</t>
  </si>
  <si>
    <t>O00206</t>
  </si>
  <si>
    <t>C0198</t>
  </si>
  <si>
    <t>O00207</t>
  </si>
  <si>
    <t>O00208</t>
  </si>
  <si>
    <t>C0053</t>
  </si>
  <si>
    <t>O00209</t>
  </si>
  <si>
    <t>O00210</t>
  </si>
  <si>
    <t>C0112</t>
  </si>
  <si>
    <t>O00211</t>
  </si>
  <si>
    <t>O00212</t>
  </si>
  <si>
    <t>C0094</t>
  </si>
  <si>
    <t>O00213</t>
  </si>
  <si>
    <t>O00214</t>
  </si>
  <si>
    <t>O00215</t>
  </si>
  <si>
    <t>O00216</t>
  </si>
  <si>
    <t>C0063</t>
  </si>
  <si>
    <t>O00217</t>
  </si>
  <si>
    <t>C0350</t>
  </si>
  <si>
    <t>O00218</t>
  </si>
  <si>
    <t>C0081</t>
  </si>
  <si>
    <t>O00219</t>
  </si>
  <si>
    <t>C0253</t>
  </si>
  <si>
    <t>O00220</t>
  </si>
  <si>
    <t>C0314</t>
  </si>
  <si>
    <t>O00221</t>
  </si>
  <si>
    <t>C0394</t>
  </si>
  <si>
    <t>O00222</t>
  </si>
  <si>
    <t>O00223</t>
  </si>
  <si>
    <t>C0029</t>
  </si>
  <si>
    <t>O00224</t>
  </si>
  <si>
    <t>C0089</t>
  </si>
  <si>
    <t>O00225</t>
  </si>
  <si>
    <t>C0156</t>
  </si>
  <si>
    <t>O00226</t>
  </si>
  <si>
    <t>C0320</t>
  </si>
  <si>
    <t>O00227</t>
  </si>
  <si>
    <t>O00228</t>
  </si>
  <si>
    <t>O00229</t>
  </si>
  <si>
    <t>O00230</t>
  </si>
  <si>
    <t>O00231</t>
  </si>
  <si>
    <t>O00232</t>
  </si>
  <si>
    <t>C0316</t>
  </si>
  <si>
    <t>O00233</t>
  </si>
  <si>
    <t>O00234</t>
  </si>
  <si>
    <t>C0202</t>
  </si>
  <si>
    <t>O00235</t>
  </si>
  <si>
    <t>C0335</t>
  </si>
  <si>
    <t>O00236</t>
  </si>
  <si>
    <t>O00237</t>
  </si>
  <si>
    <t>O00238</t>
  </si>
  <si>
    <t>O00239</t>
  </si>
  <si>
    <t>C0188</t>
  </si>
  <si>
    <t>O00240</t>
  </si>
  <si>
    <t>C0366</t>
  </si>
  <si>
    <t>O00241</t>
  </si>
  <si>
    <t>O00242</t>
  </si>
  <si>
    <t>C0261</t>
  </si>
  <si>
    <t>O00243</t>
  </si>
  <si>
    <t>O00244</t>
  </si>
  <si>
    <t>C0149</t>
  </si>
  <si>
    <t>O00245</t>
  </si>
  <si>
    <t>C0098</t>
  </si>
  <si>
    <t>O00246</t>
  </si>
  <si>
    <t>C0161</t>
  </si>
  <si>
    <t>O00247</t>
  </si>
  <si>
    <t>O00248</t>
  </si>
  <si>
    <t>O00249</t>
  </si>
  <si>
    <t>O00250</t>
  </si>
  <si>
    <t>O00251</t>
  </si>
  <si>
    <t>O00252</t>
  </si>
  <si>
    <t>C0038</t>
  </si>
  <si>
    <t>O00253</t>
  </si>
  <si>
    <t>C0246</t>
  </si>
  <si>
    <t>O00254</t>
  </si>
  <si>
    <t>O00255</t>
  </si>
  <si>
    <t>C0170</t>
  </si>
  <si>
    <t>O00256</t>
  </si>
  <si>
    <t>O00257</t>
  </si>
  <si>
    <t>C0031</t>
  </si>
  <si>
    <t>O00258</t>
  </si>
  <si>
    <t>C0090</t>
  </si>
  <si>
    <t>O00259</t>
  </si>
  <si>
    <t>O00260</t>
  </si>
  <si>
    <t>C0233</t>
  </si>
  <si>
    <t>O00261</t>
  </si>
  <si>
    <t>C0375</t>
  </si>
  <si>
    <t>O00262</t>
  </si>
  <si>
    <t>C0388</t>
  </si>
  <si>
    <t>O00263</t>
  </si>
  <si>
    <t>C0343</t>
  </si>
  <si>
    <t>O00264</t>
  </si>
  <si>
    <t>C0121</t>
  </si>
  <si>
    <t>O00265</t>
  </si>
  <si>
    <t>C0185</t>
  </si>
  <si>
    <t>O00266</t>
  </si>
  <si>
    <t>O00267</t>
  </si>
  <si>
    <t>O00268</t>
  </si>
  <si>
    <t>C0056</t>
  </si>
  <si>
    <t>O00269</t>
  </si>
  <si>
    <t>C0289</t>
  </si>
  <si>
    <t>O00270</t>
  </si>
  <si>
    <t>C0267</t>
  </si>
  <si>
    <t>O00271</t>
  </si>
  <si>
    <t>C0115</t>
  </si>
  <si>
    <t>O00272</t>
  </si>
  <si>
    <t>C0345</t>
  </si>
  <si>
    <t>O00273</t>
  </si>
  <si>
    <t>O00274</t>
  </si>
  <si>
    <t>O00275</t>
  </si>
  <si>
    <t>O00276</t>
  </si>
  <si>
    <t>C0139</t>
  </si>
  <si>
    <t>O00277</t>
  </si>
  <si>
    <t>O00278</t>
  </si>
  <si>
    <t>O00279</t>
  </si>
  <si>
    <t>O00280</t>
  </si>
  <si>
    <t>O00281</t>
  </si>
  <si>
    <t>O00282</t>
  </si>
  <si>
    <t>C0307</t>
  </si>
  <si>
    <t>O00283</t>
  </si>
  <si>
    <t>O00284</t>
  </si>
  <si>
    <t>O00285</t>
  </si>
  <si>
    <t>O00286</t>
  </si>
  <si>
    <t>O00287</t>
  </si>
  <si>
    <t>C0332</t>
  </si>
  <si>
    <t>O00288</t>
  </si>
  <si>
    <t>C0194</t>
  </si>
  <si>
    <t>O00289</t>
  </si>
  <si>
    <t>O00290</t>
  </si>
  <si>
    <t>C0123</t>
  </si>
  <si>
    <t>O00291</t>
  </si>
  <si>
    <t>O00292</t>
  </si>
  <si>
    <t>O00293</t>
  </si>
  <si>
    <t>C0114</t>
  </si>
  <si>
    <t>O00294</t>
  </si>
  <si>
    <t>C0079</t>
  </si>
  <si>
    <t>O00295</t>
  </si>
  <si>
    <t>C0351</t>
  </si>
  <si>
    <t>O00296</t>
  </si>
  <si>
    <t>O00297</t>
  </si>
  <si>
    <t>O00298</t>
  </si>
  <si>
    <t>C0003</t>
  </si>
  <si>
    <t>O00299</t>
  </si>
  <si>
    <t>O00300</t>
  </si>
  <si>
    <t>O00301</t>
  </si>
  <si>
    <t>O00302</t>
  </si>
  <si>
    <t>C0204</t>
  </si>
  <si>
    <t>O00303</t>
  </si>
  <si>
    <t>O00304</t>
  </si>
  <si>
    <t>O00305</t>
  </si>
  <si>
    <t>C0025</t>
  </si>
  <si>
    <t>O00306</t>
  </si>
  <si>
    <t>O00307</t>
  </si>
  <si>
    <t>C0102</t>
  </si>
  <si>
    <t>O00308</t>
  </si>
  <si>
    <t>O00309</t>
  </si>
  <si>
    <t>C0224</t>
  </si>
  <si>
    <t>O00310</t>
  </si>
  <si>
    <t>O00311</t>
  </si>
  <si>
    <t>O00312</t>
  </si>
  <si>
    <t>O00313</t>
  </si>
  <si>
    <t>C0200</t>
  </si>
  <si>
    <t>O00314</t>
  </si>
  <si>
    <t>O00315</t>
  </si>
  <si>
    <t>O00316</t>
  </si>
  <si>
    <t>O00317</t>
  </si>
  <si>
    <t>O00318</t>
  </si>
  <si>
    <t>O00319</t>
  </si>
  <si>
    <t>C0127</t>
  </si>
  <si>
    <t>O00320</t>
  </si>
  <si>
    <t>O00321</t>
  </si>
  <si>
    <t>C0153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</si>
  <si>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</si>
  <si>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</si>
  <si>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</si>
  <si>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</si>
  <si>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</si>
  <si>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</si>
  <si>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</si>
  <si>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</si>
  <si>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</si>
  <si>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</si>
  <si>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</si>
  <si>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</si>
  <si>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C0244</t>
  </si>
  <si>
    <t>O00334</t>
  </si>
  <si>
    <t>O00335</t>
  </si>
  <si>
    <t>O00336</t>
  </si>
  <si>
    <t>O00337</t>
  </si>
  <si>
    <t>C0116</t>
  </si>
  <si>
    <t>O00338</t>
  </si>
  <si>
    <t>O00339</t>
  </si>
  <si>
    <t>C0251</t>
  </si>
  <si>
    <t>O00340</t>
  </si>
  <si>
    <t>C0235</t>
  </si>
  <si>
    <t>O00341</t>
  </si>
  <si>
    <t>O00342</t>
  </si>
  <si>
    <t>C0197</t>
  </si>
  <si>
    <t>O00343</t>
  </si>
  <si>
    <t>O00344</t>
  </si>
  <si>
    <t>C0092</t>
  </si>
  <si>
    <t>O00345</t>
  </si>
  <si>
    <t>O00346</t>
  </si>
  <si>
    <t>C0390</t>
  </si>
  <si>
    <t>O00347</t>
  </si>
  <si>
    <t>O00348</t>
  </si>
  <si>
    <t>O00349</t>
  </si>
  <si>
    <t>O00350</t>
  </si>
  <si>
    <t>C0061</t>
  </si>
  <si>
    <t>O00351</t>
  </si>
  <si>
    <t>O00352</t>
  </si>
  <si>
    <t>C0044</t>
  </si>
  <si>
    <t>O00353</t>
  </si>
  <si>
    <t>O00354</t>
  </si>
  <si>
    <t>O00355</t>
  </si>
  <si>
    <t>O00356</t>
  </si>
  <si>
    <t>O00357</t>
  </si>
  <si>
    <t>O00358</t>
  </si>
  <si>
    <t>O00359</t>
  </si>
  <si>
    <t>C0176</t>
  </si>
  <si>
    <t>O00360</t>
  </si>
  <si>
    <t>O00361</t>
  </si>
  <si>
    <t>O00362</t>
  </si>
  <si>
    <t>O00363</t>
  </si>
  <si>
    <t>O00364</t>
  </si>
  <si>
    <t>O00365</t>
  </si>
  <si>
    <t>O00366</t>
  </si>
  <si>
    <t>C0347</t>
  </si>
  <si>
    <t>O00367</t>
  </si>
  <si>
    <t>C0370</t>
  </si>
  <si>
    <t>O00368</t>
  </si>
  <si>
    <t>C0052</t>
  </si>
  <si>
    <t>O00369</t>
  </si>
  <si>
    <t>O00370</t>
  </si>
  <si>
    <t>O00371</t>
  </si>
  <si>
    <t>C0331</t>
  </si>
  <si>
    <t>O00372</t>
  </si>
  <si>
    <t>O00373</t>
  </si>
  <si>
    <t>C0280</t>
  </si>
  <si>
    <t>O00374</t>
  </si>
  <si>
    <t>O00375</t>
  </si>
  <si>
    <t>C0328</t>
  </si>
  <si>
    <t>O00376</t>
  </si>
  <si>
    <t>O00377</t>
  </si>
  <si>
    <t>C0062</t>
  </si>
  <si>
    <t>O00378</t>
  </si>
  <si>
    <t>C0342</t>
  </si>
  <si>
    <t>O00379</t>
  </si>
  <si>
    <t>O00380</t>
  </si>
  <si>
    <t>O00381</t>
  </si>
  <si>
    <t>C0020</t>
  </si>
  <si>
    <t>O00382</t>
  </si>
  <si>
    <t>O00383</t>
  </si>
  <si>
    <t>C0007</t>
  </si>
  <si>
    <t>O00384</t>
  </si>
  <si>
    <t>O00385</t>
  </si>
  <si>
    <t>O00386</t>
  </si>
  <si>
    <t>O00387</t>
  </si>
  <si>
    <t>O00388</t>
  </si>
  <si>
    <t>O00389</t>
  </si>
  <si>
    <t>O00390</t>
  </si>
  <si>
    <t>C0272</t>
  </si>
  <si>
    <t>O00391</t>
  </si>
  <si>
    <t>O00392</t>
  </si>
  <si>
    <t>O00393</t>
  </si>
  <si>
    <t>O00394</t>
  </si>
  <si>
    <t>O00395</t>
  </si>
  <si>
    <t>C0085</t>
  </si>
  <si>
    <t>O00396</t>
  </si>
  <si>
    <t>O00397</t>
  </si>
  <si>
    <t>O00398</t>
  </si>
  <si>
    <t>O00399</t>
  </si>
  <si>
    <t>O00400</t>
  </si>
  <si>
    <t>C0400</t>
  </si>
  <si>
    <t>O00401</t>
  </si>
  <si>
    <t>C0150</t>
  </si>
  <si>
    <t>O00402</t>
  </si>
  <si>
    <t>O00403</t>
  </si>
  <si>
    <t>O00404</t>
  </si>
  <si>
    <t>O00405</t>
  </si>
  <si>
    <t>O00406</t>
  </si>
  <si>
    <t>O00407</t>
  </si>
  <si>
    <t>O00408</t>
  </si>
  <si>
    <t>C0113</t>
  </si>
  <si>
    <t>O00409</t>
  </si>
  <si>
    <t>C0041</t>
  </si>
  <si>
    <t>O00410</t>
  </si>
  <si>
    <t>O00411</t>
  </si>
  <si>
    <t>C0122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</si>
  <si>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</si>
  <si>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</si>
  <si>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</si>
  <si>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</si>
  <si>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</si>
  <si>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</si>
  <si>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</si>
  <si>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</si>
  <si>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</si>
  <si>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C0037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</si>
  <si>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</si>
  <si>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</si>
  <si>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</si>
  <si>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</si>
  <si>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</si>
  <si>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</si>
  <si>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</si>
  <si>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</si>
  <si>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</si>
  <si>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C0252</t>
  </si>
  <si>
    <t>O00430</t>
  </si>
  <si>
    <t>C0154</t>
  </si>
  <si>
    <t>O00431</t>
  </si>
  <si>
    <t>O00432</t>
  </si>
  <si>
    <t>C0279</t>
  </si>
  <si>
    <t>O00433</t>
  </si>
  <si>
    <t>C0239</t>
  </si>
  <si>
    <t>O00434</t>
  </si>
  <si>
    <t>O00435</t>
  </si>
  <si>
    <t>C0268</t>
  </si>
  <si>
    <t>O00436</t>
  </si>
  <si>
    <t>O00437</t>
  </si>
  <si>
    <t>O00438</t>
  </si>
  <si>
    <t>O00439</t>
  </si>
  <si>
    <t>C0018</t>
  </si>
  <si>
    <t>O00440</t>
  </si>
  <si>
    <t>O00441</t>
  </si>
  <si>
    <t>O00442</t>
  </si>
  <si>
    <t>O00443</t>
  </si>
  <si>
    <t>C0317</t>
  </si>
  <si>
    <t>O00444</t>
  </si>
  <si>
    <t>O00445</t>
  </si>
  <si>
    <t>O00446</t>
  </si>
  <si>
    <t>C0155</t>
  </si>
  <si>
    <t>O00447</t>
  </si>
  <si>
    <t>C0265</t>
  </si>
  <si>
    <t>O00448</t>
  </si>
  <si>
    <t>O00449</t>
  </si>
  <si>
    <t>O00450</t>
  </si>
  <si>
    <t>O00451</t>
  </si>
  <si>
    <t>C0283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</si>
  <si>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</si>
  <si>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</si>
  <si>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</si>
  <si>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</si>
  <si>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</si>
  <si>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</si>
  <si>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</si>
  <si>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</si>
  <si>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</si>
  <si>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</si>
  <si>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</si>
  <si>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</si>
  <si>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</si>
  <si>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</si>
  <si>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C0325</t>
  </si>
  <si>
    <t>O00466</t>
  </si>
  <si>
    <t>C0212</t>
  </si>
  <si>
    <t>O00467</t>
  </si>
  <si>
    <t>O00468</t>
  </si>
  <si>
    <t>O00469</t>
  </si>
  <si>
    <t>O00470</t>
  </si>
  <si>
    <t>C0245</t>
  </si>
  <si>
    <t>O00471</t>
  </si>
  <si>
    <t>C0165</t>
  </si>
  <si>
    <t>O00472</t>
  </si>
  <si>
    <t>O00473</t>
  </si>
  <si>
    <t>O00474</t>
  </si>
  <si>
    <t>C0035</t>
  </si>
  <si>
    <t>O00475</t>
  </si>
  <si>
    <t>O00476</t>
  </si>
  <si>
    <t>O00477</t>
  </si>
  <si>
    <t>C0013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</si>
  <si>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</si>
  <si>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</si>
  <si>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</si>
  <si>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</si>
  <si>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</si>
  <si>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</si>
  <si>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</si>
  <si>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</si>
  <si>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</si>
  <si>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</si>
  <si>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</si>
  <si>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</si>
  <si>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</si>
  <si>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</si>
  <si>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</si>
  <si>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C0381</t>
  </si>
  <si>
    <t>O00493</t>
  </si>
  <si>
    <t>C0373</t>
  </si>
  <si>
    <t>O00494</t>
  </si>
  <si>
    <t>O00495</t>
  </si>
  <si>
    <t>O00496</t>
  </si>
  <si>
    <t>C0282</t>
  </si>
  <si>
    <t>O00497</t>
  </si>
  <si>
    <t>C0256</t>
  </si>
  <si>
    <t>O00498</t>
  </si>
  <si>
    <t>O00499</t>
  </si>
  <si>
    <t>O00500</t>
  </si>
  <si>
    <t>C0393</t>
  </si>
  <si>
    <t>O00501</t>
  </si>
  <si>
    <t>C0182</t>
  </si>
  <si>
    <t>O00502</t>
  </si>
  <si>
    <t>O00503</t>
  </si>
  <si>
    <t>O00504</t>
  </si>
  <si>
    <t>O00505</t>
  </si>
  <si>
    <t>O00506</t>
  </si>
  <si>
    <t>C0046</t>
  </si>
  <si>
    <t>O00507</t>
  </si>
  <si>
    <t>O00508</t>
  </si>
  <si>
    <t>O00509</t>
  </si>
  <si>
    <t>C0360</t>
  </si>
  <si>
    <t>O00510</t>
  </si>
  <si>
    <t>O00511</t>
  </si>
  <si>
    <t>C0181</t>
  </si>
  <si>
    <t>O00512</t>
  </si>
  <si>
    <t>O00513</t>
  </si>
  <si>
    <t>C0137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</si>
  <si>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</si>
  <si>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</si>
  <si>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</si>
  <si>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</si>
  <si>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</si>
  <si>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</si>
  <si>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</si>
  <si>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</si>
  <si>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</si>
  <si>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</si>
  <si>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</si>
  <si>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C0159</t>
  </si>
  <si>
    <t>O00525</t>
  </si>
  <si>
    <t>O00526</t>
  </si>
  <si>
    <t>C0132</t>
  </si>
  <si>
    <t>O00527</t>
  </si>
  <si>
    <t>O00528</t>
  </si>
  <si>
    <t>O00529</t>
  </si>
  <si>
    <t>O00530</t>
  </si>
  <si>
    <t>O00531</t>
  </si>
  <si>
    <t>O00532</t>
  </si>
  <si>
    <t>O00533</t>
  </si>
  <si>
    <t>C0258</t>
  </si>
  <si>
    <t>O00534</t>
  </si>
  <si>
    <t>O00535</t>
  </si>
  <si>
    <t>O00536</t>
  </si>
  <si>
    <t>O00537</t>
  </si>
  <si>
    <t>O00538</t>
  </si>
  <si>
    <t>O00539</t>
  </si>
  <si>
    <t>O00540</t>
  </si>
  <si>
    <t>C0298</t>
  </si>
  <si>
    <t>O00541</t>
  </si>
  <si>
    <t>O00542</t>
  </si>
  <si>
    <t>O00543</t>
  </si>
  <si>
    <t>O00544</t>
  </si>
  <si>
    <t>C0229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</si>
  <si>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</si>
  <si>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</si>
  <si>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</si>
  <si>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</si>
  <si>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</si>
  <si>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</si>
  <si>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</si>
  <si>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</si>
  <si>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C0011</t>
  </si>
  <si>
    <t>O00553</t>
  </si>
  <si>
    <t>O00554</t>
  </si>
  <si>
    <t>C0133</t>
  </si>
  <si>
    <t>O00555</t>
  </si>
  <si>
    <t>C0247</t>
  </si>
  <si>
    <t>O00556</t>
  </si>
  <si>
    <t>O00557</t>
  </si>
  <si>
    <t>O00558</t>
  </si>
  <si>
    <t>O00559</t>
  </si>
  <si>
    <t>O00560</t>
  </si>
  <si>
    <t>O00561</t>
  </si>
  <si>
    <t>O00562</t>
  </si>
  <si>
    <t>C0338</t>
  </si>
  <si>
    <t>O00563</t>
  </si>
  <si>
    <t>O00564</t>
  </si>
  <si>
    <t>O00565</t>
  </si>
  <si>
    <t>C0273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</si>
  <si>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</si>
  <si>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</si>
  <si>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</si>
  <si>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</si>
  <si>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</si>
  <si>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</si>
  <si>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</si>
  <si>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</si>
  <si>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</si>
  <si>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</si>
  <si>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C0308</t>
  </si>
  <si>
    <t>O00576</t>
  </si>
  <si>
    <t>O00577</t>
  </si>
  <si>
    <t>O00578</t>
  </si>
  <si>
    <t>O00579</t>
  </si>
  <si>
    <t>O00580</t>
  </si>
  <si>
    <t>C0205</t>
  </si>
  <si>
    <t>O00581</t>
  </si>
  <si>
    <t>O00582</t>
  </si>
  <si>
    <t>C0100</t>
  </si>
  <si>
    <t>O00583</t>
  </si>
  <si>
    <t>O00584</t>
  </si>
  <si>
    <t>O00585</t>
  </si>
  <si>
    <t>C0398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</si>
  <si>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</si>
  <si>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</si>
  <si>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</si>
  <si>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</si>
  <si>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</si>
  <si>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</si>
  <si>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</si>
  <si>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</si>
  <si>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</si>
  <si>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C0045</t>
  </si>
  <si>
    <t>O00595</t>
  </si>
  <si>
    <t>O00596</t>
  </si>
  <si>
    <t>C0135</t>
  </si>
  <si>
    <t>O00597</t>
  </si>
  <si>
    <t>O00598</t>
  </si>
  <si>
    <t>C0059</t>
  </si>
  <si>
    <t>O00599</t>
  </si>
  <si>
    <t>O00600</t>
  </si>
  <si>
    <t>O00601</t>
  </si>
  <si>
    <t>O00602</t>
  </si>
  <si>
    <t>C0172</t>
  </si>
  <si>
    <t>O00603</t>
  </si>
  <si>
    <t>C0211</t>
  </si>
  <si>
    <t>O00604</t>
  </si>
  <si>
    <t>O00605</t>
  </si>
  <si>
    <t>O00606</t>
  </si>
  <si>
    <t>O00607</t>
  </si>
  <si>
    <t>O00608</t>
  </si>
  <si>
    <t>O00609</t>
  </si>
  <si>
    <t>C0021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</si>
  <si>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</si>
  <si>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</si>
  <si>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</si>
  <si>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</si>
  <si>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</si>
  <si>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</si>
  <si>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</si>
  <si>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</si>
  <si>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C0387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</si>
  <si>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</si>
  <si>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</si>
  <si>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</si>
  <si>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</si>
  <si>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</si>
  <si>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</si>
  <si>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</si>
  <si>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</si>
  <si>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C0385</t>
  </si>
  <si>
    <t>O00626</t>
  </si>
  <si>
    <t>O00627</t>
  </si>
  <si>
    <t>O00628</t>
  </si>
  <si>
    <t>C0160</t>
  </si>
  <si>
    <t>O00629</t>
  </si>
  <si>
    <t>O00630</t>
  </si>
  <si>
    <t>O00631</t>
  </si>
  <si>
    <t>O00632</t>
  </si>
  <si>
    <t>O00633</t>
  </si>
  <si>
    <t>O00634</t>
  </si>
  <si>
    <t>O00635</t>
  </si>
  <si>
    <t>C0353</t>
  </si>
  <si>
    <t>O00636</t>
  </si>
  <si>
    <t>O00637</t>
  </si>
  <si>
    <t>O00638</t>
  </si>
  <si>
    <t>O00639</t>
  </si>
  <si>
    <t>C0318</t>
  </si>
  <si>
    <t>O00640</t>
  </si>
  <si>
    <t>C0142</t>
  </si>
  <si>
    <t>O00641</t>
  </si>
  <si>
    <t>O00642</t>
  </si>
  <si>
    <t>O00643</t>
  </si>
  <si>
    <t>C0066</t>
  </si>
  <si>
    <t>O00644</t>
  </si>
  <si>
    <t>O00645</t>
  </si>
  <si>
    <t>O00646</t>
  </si>
  <si>
    <t>C0111</t>
  </si>
  <si>
    <t>O00647</t>
  </si>
  <si>
    <t>O00648</t>
  </si>
  <si>
    <t>C0346</t>
  </si>
  <si>
    <t>O00649</t>
  </si>
  <si>
    <t>O00650</t>
  </si>
  <si>
    <t>C0167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</si>
  <si>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</si>
  <si>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</si>
  <si>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</si>
  <si>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</si>
  <si>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</si>
  <si>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</si>
  <si>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</si>
  <si>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</si>
  <si>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</si>
  <si>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</si>
  <si>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</si>
  <si>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</si>
  <si>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</si>
  <si>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</si>
  <si>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</si>
  <si>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</si>
  <si>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</si>
  <si>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</si>
  <si>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</si>
  <si>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C0356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</si>
  <si>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</si>
  <si>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</si>
  <si>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</si>
  <si>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</si>
  <si>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</si>
  <si>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</si>
  <si>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</si>
  <si>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</si>
  <si>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</si>
  <si>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</si>
  <si>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</si>
  <si>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</si>
  <si>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</si>
  <si>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C0290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</si>
  <si>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</si>
  <si>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</si>
  <si>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</si>
  <si>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</si>
  <si>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</si>
  <si>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</si>
  <si>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</si>
  <si>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</si>
  <si>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</si>
  <si>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</si>
  <si>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C0377</t>
  </si>
  <si>
    <t>O00693</t>
  </si>
  <si>
    <t>O00694</t>
  </si>
  <si>
    <t>O00695</t>
  </si>
  <si>
    <t>C0300</t>
  </si>
  <si>
    <t>O00696</t>
  </si>
  <si>
    <t>O00697</t>
  </si>
  <si>
    <t>O00698</t>
  </si>
  <si>
    <t>C0131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</si>
  <si>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</si>
  <si>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</si>
  <si>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</si>
  <si>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</si>
  <si>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</si>
  <si>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</si>
  <si>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</si>
  <si>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</si>
  <si>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</si>
  <si>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C0189</t>
  </si>
  <si>
    <t>O00708</t>
  </si>
  <si>
    <t>O00709</t>
  </si>
  <si>
    <t>C0293</t>
  </si>
  <si>
    <t>O00710</t>
  </si>
  <si>
    <t>C0312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</si>
  <si>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</si>
  <si>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</si>
  <si>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</si>
  <si>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</si>
  <si>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</si>
  <si>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</si>
  <si>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</si>
  <si>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</si>
  <si>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</si>
  <si>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</si>
  <si>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</si>
  <si>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</si>
  <si>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</si>
  <si>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</si>
  <si>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C0248</t>
  </si>
  <si>
    <t>O00725</t>
  </si>
  <si>
    <t>O00726</t>
  </si>
  <si>
    <t>O00727</t>
  </si>
  <si>
    <t>C0006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</si>
  <si>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</si>
  <si>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</si>
  <si>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</si>
  <si>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</si>
  <si>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</si>
  <si>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</si>
  <si>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</si>
  <si>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</si>
  <si>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</si>
  <si>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C0084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</si>
  <si>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</si>
  <si>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</si>
  <si>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</si>
  <si>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</si>
  <si>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</si>
  <si>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</si>
  <si>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</si>
  <si>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</si>
  <si>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</si>
  <si>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</si>
  <si>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</si>
  <si>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</si>
  <si>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</si>
  <si>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</si>
  <si>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C0285</t>
  </si>
  <si>
    <t>O00751</t>
  </si>
  <si>
    <t>O00752</t>
  </si>
  <si>
    <t>O00753</t>
  </si>
  <si>
    <t>C0218</t>
  </si>
  <si>
    <t>O00754</t>
  </si>
  <si>
    <t>O00755</t>
  </si>
  <si>
    <t>O00756</t>
  </si>
  <si>
    <t>O00757</t>
  </si>
  <si>
    <t>C0323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</si>
  <si>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</si>
  <si>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</si>
  <si>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</si>
  <si>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</si>
  <si>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</si>
  <si>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</si>
  <si>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</si>
  <si>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</si>
  <si>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</si>
  <si>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</si>
  <si>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</si>
  <si>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</si>
  <si>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</si>
  <si>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</si>
  <si>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C0173</t>
  </si>
  <si>
    <t>O00772</t>
  </si>
  <si>
    <t>O00773</t>
  </si>
  <si>
    <t>O00774</t>
  </si>
  <si>
    <t>O00775</t>
  </si>
  <si>
    <t>O00776</t>
  </si>
  <si>
    <t>O00777</t>
  </si>
  <si>
    <t>C0199</t>
  </si>
  <si>
    <t>O00778</t>
  </si>
  <si>
    <t>O00779</t>
  </si>
  <si>
    <t>O00780</t>
  </si>
  <si>
    <t>O00781</t>
  </si>
  <si>
    <t>C0359</t>
  </si>
  <si>
    <t>O00782</t>
  </si>
  <si>
    <t>O00783</t>
  </si>
  <si>
    <t>O00784</t>
  </si>
  <si>
    <t>O00785</t>
  </si>
  <si>
    <t>O00786</t>
  </si>
  <si>
    <t>O00787</t>
  </si>
  <si>
    <t>O00788</t>
  </si>
  <si>
    <t>C0231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</si>
  <si>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</si>
  <si>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</si>
  <si>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</si>
  <si>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</si>
  <si>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</si>
  <si>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</si>
  <si>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</si>
  <si>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</si>
  <si>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</si>
  <si>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</si>
  <si>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</si>
  <si>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</si>
  <si>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</si>
  <si>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</si>
  <si>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</si>
  <si>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</si>
  <si>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</si>
  <si>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C0297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</si>
  <si>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</si>
  <si>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</si>
  <si>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</si>
  <si>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</si>
  <si>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</si>
  <si>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</si>
  <si>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</si>
  <si>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</si>
  <si>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</si>
  <si>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</si>
  <si>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</si>
  <si>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</si>
  <si>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</si>
  <si>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</si>
  <si>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</si>
  <si>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</si>
  <si>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</si>
  <si>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C0333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</si>
  <si>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</si>
  <si>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</si>
  <si>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</si>
  <si>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</si>
  <si>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</si>
  <si>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</si>
  <si>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</si>
  <si>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</si>
  <si>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</si>
  <si>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</si>
  <si>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</si>
  <si>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</si>
  <si>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</si>
  <si>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C0230</t>
  </si>
  <si>
    <t>O00836</t>
  </si>
  <si>
    <t>O00837</t>
  </si>
  <si>
    <t>O00838</t>
  </si>
  <si>
    <t>O00839</t>
  </si>
  <si>
    <t>C0206</t>
  </si>
  <si>
    <t>O00840</t>
  </si>
  <si>
    <t>C0270</t>
  </si>
  <si>
    <t>O00841</t>
  </si>
  <si>
    <t>O00842</t>
  </si>
  <si>
    <t>O00843</t>
  </si>
  <si>
    <t>C0180</t>
  </si>
  <si>
    <t>O00844</t>
  </si>
  <si>
    <t>O00845</t>
  </si>
  <si>
    <t>O00846</t>
  </si>
  <si>
    <t>O00847</t>
  </si>
  <si>
    <t>C0237</t>
  </si>
  <si>
    <t>O00848</t>
  </si>
  <si>
    <t>C0078</t>
  </si>
  <si>
    <t>O00849</t>
  </si>
  <si>
    <t>O00850</t>
  </si>
  <si>
    <t>O00851</t>
  </si>
  <si>
    <t>O00852</t>
  </si>
  <si>
    <t>O00853</t>
  </si>
  <si>
    <t>C0164</t>
  </si>
  <si>
    <t>O00854</t>
  </si>
  <si>
    <t>O00855</t>
  </si>
  <si>
    <t>C0322</t>
  </si>
  <si>
    <t>O00856</t>
  </si>
  <si>
    <t>O00857</t>
  </si>
  <si>
    <t>C0266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</si>
  <si>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</si>
  <si>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</si>
  <si>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</si>
  <si>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</si>
  <si>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</si>
  <si>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</si>
  <si>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</si>
  <si>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</si>
  <si>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</si>
  <si>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</si>
  <si>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</si>
  <si>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</si>
  <si>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</si>
  <si>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</si>
  <si>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</si>
  <si>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</si>
  <si>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</si>
  <si>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</si>
  <si>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</si>
  <si>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C0087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</si>
  <si>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</si>
  <si>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</si>
  <si>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</si>
  <si>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</si>
  <si>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</si>
  <si>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</si>
  <si>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</si>
  <si>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</si>
  <si>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C0236</t>
  </si>
  <si>
    <t>O00885</t>
  </si>
  <si>
    <t>O00886</t>
  </si>
  <si>
    <t>O00887</t>
  </si>
  <si>
    <t>O00888</t>
  </si>
  <si>
    <t>O00889</t>
  </si>
  <si>
    <t>C0380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</si>
  <si>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</si>
  <si>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</si>
  <si>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</si>
  <si>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</si>
  <si>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</si>
  <si>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</si>
  <si>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</si>
  <si>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</si>
  <si>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</si>
  <si>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</si>
  <si>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</si>
  <si>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</si>
  <si>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</si>
  <si>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</si>
  <si>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</si>
  <si>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</si>
  <si>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</si>
  <si>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</si>
  <si>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</si>
  <si>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</si>
  <si>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</si>
  <si>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</si>
  <si>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</si>
  <si>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</si>
  <si>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</si>
  <si>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</si>
  <si>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</si>
  <si>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</si>
  <si>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</si>
  <si>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</si>
  <si>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</si>
  <si>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C0228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</si>
  <si>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</si>
  <si>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</si>
  <si>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</si>
  <si>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</si>
  <si>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</si>
  <si>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</si>
  <si>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</si>
  <si>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</si>
  <si>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</si>
  <si>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</si>
  <si>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</si>
  <si>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</si>
  <si>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</si>
  <si>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</si>
  <si>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</si>
  <si>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C0174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</si>
  <si>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</si>
  <si>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</si>
  <si>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</si>
  <si>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</si>
  <si>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</si>
  <si>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</si>
  <si>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</si>
  <si>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</si>
  <si>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</si>
  <si>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</si>
  <si>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</si>
  <si>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</si>
  <si>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</si>
  <si>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</si>
  <si>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</si>
  <si>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</si>
  <si>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</si>
  <si>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</si>
  <si>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</si>
  <si>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</si>
  <si>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</si>
  <si>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</si>
  <si>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C0339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</si>
  <si>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</si>
  <si>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</si>
  <si>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</si>
  <si>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</si>
  <si>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</si>
  <si>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</si>
  <si>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</si>
  <si>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</si>
  <si>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</si>
  <si>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</si>
  <si>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</si>
  <si>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</si>
  <si>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</si>
  <si>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</si>
  <si>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</si>
  <si>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</si>
  <si>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</si>
  <si>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</si>
  <si>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</si>
  <si>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</si>
  <si>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</si>
  <si>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</si>
  <si>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</si>
  <si>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</si>
  <si>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</si>
  <si>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</si>
  <si>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</si>
  <si>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</si>
  <si>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</si>
  <si>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</si>
  <si>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</si>
  <si>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</si>
  <si>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</si>
  <si>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</si>
  <si>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</si>
  <si>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</si>
  <si>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</si>
  <si>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</si>
  <si>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</si>
  <si>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C0399</t>
  </si>
  <si>
    <t>O00997</t>
  </si>
  <si>
    <t>O00998</t>
  </si>
  <si>
    <t>O00999</t>
  </si>
  <si>
    <t>O01000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</si>
</sst>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\$#,##0.00"/>
    <numFmt numFmtId="166" formatCode="\$#,##0.00;[Red]\(\$#,##0.00\);\-"/>
    <numFmt numFmtId="167" formatCode="mmm"/>
    <numFmt numFmtId="168" formatCode="\$#,##0;[Red]\(\$#,##0\);\-"/>
    <numFmt numFmtId="169" formatCode="0.0%"/>
    <numFmt numFmtId="170" formatCode="\$#,##0"/>
  </numFmts>
  <fonts count="10">
    <font>
      <sz val="11"/>
      <name val="Carlito"/>
    </font>
    <font>
      <b/>
      <sz val="20"/>
      <color rgb="FFFFFFFF"/>
      <name val="Carlito"/>
    </font>
    <font>
      <sz val="11"/>
      <color rgb="FF666666"/>
      <name val="Carlito"/>
    </font>
    <font>
      <b/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8"/>
      <name val="Carlito"/>
    </font>
    <font>
      <sz val="10"/>
      <name val="Courier New"/>
      <family val="1"/>
    </font>
    <font>
      <b/>
      <sz val="11"/>
      <color rgb="FF666666"/>
      <name val="Carlito"/>
    </font>
    <font>
      <i/>
      <sz val="11"/>
      <color rgb="FF66666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3F4F6"/>
      </patternFill>
    </fill>
    <fill>
      <patternFill patternType="solid">
        <fgColor rgb="FF11111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4" fillId="2" borderId="0" xfId="0" applyNumberFormat="1" applyFont="1" applyFill="1"/>
    <xf numFmtId="169" fontId="0" fillId="0" borderId="0" xfId="0" applyNumberFormat="1"/>
    <xf numFmtId="170" fontId="0" fillId="0" borderId="0" xfId="0" applyNumberFormat="1"/>
    <xf numFmtId="0" fontId="5" fillId="4" borderId="0" xfId="0" applyFont="1" applyFill="1" applyAlignment="1">
      <alignment vertical="center"/>
    </xf>
    <xf numFmtId="167" fontId="3" fillId="5" borderId="0" xfId="0" applyNumberFormat="1" applyFont="1" applyFill="1"/>
    <xf numFmtId="168" fontId="3" fillId="5" borderId="0" xfId="0" applyNumberFormat="1" applyFont="1" applyFill="1"/>
    <xf numFmtId="0" fontId="3" fillId="5" borderId="0" xfId="0" applyFont="1" applyFill="1"/>
    <xf numFmtId="170" fontId="4" fillId="2" borderId="0" xfId="0" applyNumberFormat="1" applyFont="1" applyFill="1"/>
    <xf numFmtId="0" fontId="3" fillId="5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4" fillId="2" borderId="0" xfId="0" applyFont="1" applyFill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17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wrapText="1"/>
    </xf>
    <xf numFmtId="0" fontId="5" fillId="4" borderId="0" xfId="0" applyFont="1" applyFill="1" applyAlignment="1">
      <alignment vertical="center"/>
    </xf>
    <xf numFmtId="0" fontId="8" fillId="2" borderId="0" xfId="0" applyFont="1" applyFill="1" applyAlignment="1">
      <alignment wrapText="1"/>
    </xf>
    <xf numFmtId="167" fontId="2" fillId="0" borderId="0" xfId="0" applyNumberFormat="1" applyFont="1" applyAlignment="1">
      <alignment wrapText="1"/>
    </xf>
    <xf numFmtId="168" fontId="2" fillId="0" borderId="0" xfId="0" applyNumberFormat="1" applyFont="1" applyAlignment="1">
      <alignment wrapText="1"/>
    </xf>
    <xf numFmtId="169" fontId="2" fillId="0" borderId="0" xfId="0" applyNumberFormat="1" applyFont="1" applyAlignment="1">
      <alignment wrapText="1"/>
    </xf>
    <xf numFmtId="167" fontId="4" fillId="4" borderId="0" xfId="0" applyNumberFormat="1" applyFont="1" applyFill="1"/>
    <xf numFmtId="168" fontId="4" fillId="4" borderId="0" xfId="0" applyNumberFormat="1" applyFont="1" applyFill="1"/>
    <xf numFmtId="0" fontId="4" fillId="4" borderId="0" xfId="0" applyFont="1" applyFill="1"/>
    <xf numFmtId="169" fontId="4" fillId="4" borderId="0" xfId="0" applyNumberFormat="1" applyFont="1" applyFill="1"/>
    <xf numFmtId="0" fontId="3" fillId="5" borderId="0" xfId="0" applyFont="1" applyFill="1"/>
    <xf numFmtId="0" fontId="0" fillId="0" borderId="0" xfId="0" applyAlignment="1">
      <alignment wrapText="1"/>
    </xf>
    <xf numFmtId="0" fontId="5" fillId="2" borderId="0" xfId="0" applyFont="1" applyFill="1"/>
    <xf numFmtId="0" fontId="3" fillId="3" borderId="0" xfId="0" applyFont="1" applyFill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Monthly Revenue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($)</c:v>
          </c:tx>
          <c:marker>
            <c:symbol val="none"/>
          </c:marker>
          <c:cat>
            <c:numRef>
              <c:f>Dashboard!$A$41:$A$52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Dashboard!$B$41:$B$52</c:f>
              <c:numCache>
                <c:formatCode>General</c:formatCode>
                <c:ptCount val="12"/>
                <c:pt idx="0">
                  <c:v>4946.5404999999982</c:v>
                </c:pt>
                <c:pt idx="1">
                  <c:v>5050.2230000000009</c:v>
                </c:pt>
                <c:pt idx="2">
                  <c:v>6873.944499999996</c:v>
                </c:pt>
                <c:pt idx="3">
                  <c:v>5542.3339999999962</c:v>
                </c:pt>
                <c:pt idx="4">
                  <c:v>5170.1145000000006</c:v>
                </c:pt>
                <c:pt idx="5">
                  <c:v>4328.1934999999994</c:v>
                </c:pt>
                <c:pt idx="6">
                  <c:v>5828.3064999999979</c:v>
                </c:pt>
                <c:pt idx="7">
                  <c:v>5944.6694999999982</c:v>
                </c:pt>
                <c:pt idx="8">
                  <c:v>4221.3209999999981</c:v>
                </c:pt>
                <c:pt idx="9">
                  <c:v>5456.7469999999976</c:v>
                </c:pt>
                <c:pt idx="10">
                  <c:v>6109.5709999999999</c:v>
                </c:pt>
                <c:pt idx="11">
                  <c:v>5590.5010000000002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41-8A42-9D93-ACBF1EDF23B2}"/>
            </c:ext>
          </c:extLst>
        </c:ser>
        <c:ser>
          <c:idx val="1"/>
          <c:order val="1"/>
          <c:tx>
            <c:v>Profit ($)</c:v>
          </c:tx>
          <c:marker>
            <c:symbol val="none"/>
          </c:marker>
          <c:cat>
            <c:numRef>
              <c:f>Dashboard!$A$41:$A$52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Dashboard!$C$41:$C$52</c:f>
              <c:numCache>
                <c:formatCode>General</c:formatCode>
                <c:ptCount val="12"/>
                <c:pt idx="0">
                  <c:v>2664.0404999999992</c:v>
                </c:pt>
                <c:pt idx="1">
                  <c:v>2609.2229999999995</c:v>
                </c:pt>
                <c:pt idx="2">
                  <c:v>3572.4444999999982</c:v>
                </c:pt>
                <c:pt idx="3">
                  <c:v>2938.3340000000003</c:v>
                </c:pt>
                <c:pt idx="4">
                  <c:v>2712.1144999999988</c:v>
                </c:pt>
                <c:pt idx="5">
                  <c:v>2299.6935000000003</c:v>
                </c:pt>
                <c:pt idx="6">
                  <c:v>3010.8065000000006</c:v>
                </c:pt>
                <c:pt idx="7">
                  <c:v>3147.1694999999991</c:v>
                </c:pt>
                <c:pt idx="8">
                  <c:v>2284.3209999999995</c:v>
                </c:pt>
                <c:pt idx="9">
                  <c:v>2892.2469999999994</c:v>
                </c:pt>
                <c:pt idx="10">
                  <c:v>3206.5709999999995</c:v>
                </c:pt>
                <c:pt idx="11">
                  <c:v>3010.0010000000002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41-8A42-9D93-ACBF1EDF2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Category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($)</c:v>
          </c:tx>
          <c:invertIfNegative val="1"/>
          <c:cat>
            <c:strRef>
              <c:f>Dashboard!$F$41:$F$44</c:f>
              <c:strCache>
                <c:ptCount val="4"/>
                <c:pt idx="0">
                  <c:v>Electronics</c:v>
                </c:pt>
                <c:pt idx="1">
                  <c:v>Home &amp; Office</c:v>
                </c:pt>
                <c:pt idx="2">
                  <c:v>Lifestyle</c:v>
                </c:pt>
                <c:pt idx="3">
                  <c:v>Fitness</c:v>
                </c:pt>
              </c:strCache>
            </c:strRef>
          </c:cat>
          <c:val>
            <c:numRef>
              <c:f>Dashboard!$G$41:$G$44</c:f>
              <c:numCache>
                <c:formatCode>General</c:formatCode>
                <c:ptCount val="4"/>
                <c:pt idx="0">
                  <c:v>28041.416000000052</c:v>
                </c:pt>
                <c:pt idx="1">
                  <c:v>14052.100000000006</c:v>
                </c:pt>
                <c:pt idx="2">
                  <c:v>14169.350000000002</c:v>
                </c:pt>
                <c:pt idx="3">
                  <c:v>8799.6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7-1E40-B2F8-28604963B989}"/>
            </c:ext>
          </c:extLst>
        </c:ser>
        <c:ser>
          <c:idx val="1"/>
          <c:order val="1"/>
          <c:tx>
            <c:v>Profit ($)</c:v>
          </c:tx>
          <c:invertIfNegative val="1"/>
          <c:cat>
            <c:strRef>
              <c:f>Dashboard!$F$41:$F$44</c:f>
              <c:strCache>
                <c:ptCount val="4"/>
                <c:pt idx="0">
                  <c:v>Electronics</c:v>
                </c:pt>
                <c:pt idx="1">
                  <c:v>Home &amp; Office</c:v>
                </c:pt>
                <c:pt idx="2">
                  <c:v>Lifestyle</c:v>
                </c:pt>
                <c:pt idx="3">
                  <c:v>Fitness</c:v>
                </c:pt>
              </c:strCache>
            </c:strRef>
          </c:cat>
          <c:val>
            <c:numRef>
              <c:f>Dashboard!$H$41:$H$44</c:f>
              <c:numCache>
                <c:formatCode>General</c:formatCode>
                <c:ptCount val="4"/>
                <c:pt idx="0">
                  <c:v>13539.415999999968</c:v>
                </c:pt>
                <c:pt idx="1">
                  <c:v>7819.100000000004</c:v>
                </c:pt>
                <c:pt idx="2">
                  <c:v>7698.3499999999995</c:v>
                </c:pt>
                <c:pt idx="3">
                  <c:v>5290.1000000000013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7-1E40-B2F8-28604963B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Regional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($)</c:v>
          </c:tx>
          <c:invertIfNegative val="1"/>
          <c:cat>
            <c:strRef>
              <c:f>Dashboard!$K$41:$K$44</c:f>
              <c:strCache>
                <c:ptCount val="4"/>
                <c:pt idx="0">
                  <c:v>Northeast</c:v>
                </c:pt>
                <c:pt idx="1">
                  <c:v>South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Dashboard!$L$41:$L$44</c:f>
              <c:numCache>
                <c:formatCode>General</c:formatCode>
                <c:ptCount val="4"/>
                <c:pt idx="0">
                  <c:v>16755.140499999987</c:v>
                </c:pt>
                <c:pt idx="1">
                  <c:v>15882.523999999998</c:v>
                </c:pt>
                <c:pt idx="2">
                  <c:v>15433.042499999998</c:v>
                </c:pt>
                <c:pt idx="3">
                  <c:v>16991.758999999987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B-E442-B008-F101BB2594D3}"/>
            </c:ext>
          </c:extLst>
        </c:ser>
        <c:ser>
          <c:idx val="1"/>
          <c:order val="1"/>
          <c:tx>
            <c:v>Profit ($)</c:v>
          </c:tx>
          <c:invertIfNegative val="1"/>
          <c:cat>
            <c:strRef>
              <c:f>Dashboard!$K$41:$K$44</c:f>
              <c:strCache>
                <c:ptCount val="4"/>
                <c:pt idx="0">
                  <c:v>Northeast</c:v>
                </c:pt>
                <c:pt idx="1">
                  <c:v>South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Dashboard!$M$41:$M$44</c:f>
              <c:numCache>
                <c:formatCode>General</c:formatCode>
                <c:ptCount val="4"/>
                <c:pt idx="0">
                  <c:v>8728.1404999999977</c:v>
                </c:pt>
                <c:pt idx="1">
                  <c:v>8459.5239999999976</c:v>
                </c:pt>
                <c:pt idx="2">
                  <c:v>8168.5424999999977</c:v>
                </c:pt>
                <c:pt idx="3">
                  <c:v>8990.7589999999964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B-E442-B008-F101BB25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Acquisition Channel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($)</c:v>
          </c:tx>
          <c:invertIfNegative val="1"/>
          <c:cat>
            <c:strRef>
              <c:f>Dashboard!$P$41:$P$45</c:f>
              <c:strCache>
                <c:ptCount val="5"/>
                <c:pt idx="0">
                  <c:v>Organic Search</c:v>
                </c:pt>
                <c:pt idx="1">
                  <c:v>Paid Social</c:v>
                </c:pt>
                <c:pt idx="2">
                  <c:v>Email</c:v>
                </c:pt>
                <c:pt idx="3">
                  <c:v>Direct</c:v>
                </c:pt>
                <c:pt idx="4">
                  <c:v>Referral</c:v>
                </c:pt>
              </c:strCache>
            </c:strRef>
          </c:cat>
          <c:val>
            <c:numRef>
              <c:f>Dashboard!$Q$41:$Q$45</c:f>
              <c:numCache>
                <c:formatCode>General</c:formatCode>
                <c:ptCount val="5"/>
                <c:pt idx="0">
                  <c:v>13080.702499999998</c:v>
                </c:pt>
                <c:pt idx="1">
                  <c:v>12709.870499999992</c:v>
                </c:pt>
                <c:pt idx="2">
                  <c:v>13794.719499999996</c:v>
                </c:pt>
                <c:pt idx="3">
                  <c:v>13260.229499999999</c:v>
                </c:pt>
                <c:pt idx="4">
                  <c:v>12216.943999999996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4-F444-B917-6ECACA286BB4}"/>
            </c:ext>
          </c:extLst>
        </c:ser>
        <c:ser>
          <c:idx val="1"/>
          <c:order val="1"/>
          <c:tx>
            <c:v>Profit ($)</c:v>
          </c:tx>
          <c:invertIfNegative val="1"/>
          <c:cat>
            <c:strRef>
              <c:f>Dashboard!$P$41:$P$45</c:f>
              <c:strCache>
                <c:ptCount val="5"/>
                <c:pt idx="0">
                  <c:v>Organic Search</c:v>
                </c:pt>
                <c:pt idx="1">
                  <c:v>Paid Social</c:v>
                </c:pt>
                <c:pt idx="2">
                  <c:v>Email</c:v>
                </c:pt>
                <c:pt idx="3">
                  <c:v>Direct</c:v>
                </c:pt>
                <c:pt idx="4">
                  <c:v>Referral</c:v>
                </c:pt>
              </c:strCache>
            </c:strRef>
          </c:cat>
          <c:val>
            <c:numRef>
              <c:f>Dashboard!$R$41:$R$45</c:f>
              <c:numCache>
                <c:formatCode>General</c:formatCode>
                <c:ptCount val="5"/>
                <c:pt idx="0">
                  <c:v>6939.2024999999976</c:v>
                </c:pt>
                <c:pt idx="1">
                  <c:v>6698.3704999999927</c:v>
                </c:pt>
                <c:pt idx="2">
                  <c:v>7300.2194999999974</c:v>
                </c:pt>
                <c:pt idx="3">
                  <c:v>7001.2294999999986</c:v>
                </c:pt>
                <c:pt idx="4">
                  <c:v>6407.9439999999995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4-F444-B917-6ECACA286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N1001" totalsRowShown="0">
  <tableColumns count="14">
    <tableColumn id="1" xr3:uid="{00000000-0010-0000-0000-000001000000}" name="Order ID"/>
    <tableColumn id="2" xr3:uid="{00000000-0010-0000-0000-000002000000}" name="Order Date"/>
    <tableColumn id="3" xr3:uid="{00000000-0010-0000-0000-000003000000}" name="Customer ID"/>
    <tableColumn id="4" xr3:uid="{00000000-0010-0000-0000-000004000000}" name="Customer Segment"/>
    <tableColumn id="5" xr3:uid="{00000000-0010-0000-0000-000005000000}" name="Region"/>
    <tableColumn id="6" xr3:uid="{00000000-0010-0000-0000-000006000000}" name="Acquisition Channel"/>
    <tableColumn id="7" xr3:uid="{00000000-0010-0000-0000-000007000000}" name="Product"/>
    <tableColumn id="8" xr3:uid="{00000000-0010-0000-0000-000008000000}" name="Category"/>
    <tableColumn id="9" xr3:uid="{00000000-0010-0000-0000-000009000000}" name="Quantity"/>
    <tableColumn id="10" xr3:uid="{00000000-0010-0000-0000-00000A000000}" name="Unit Price ($)"/>
    <tableColumn id="11" xr3:uid="{00000000-0010-0000-0000-00000B000000}" name="Discount %"/>
    <tableColumn id="12" xr3:uid="{00000000-0010-0000-0000-00000C000000}" name="Revenue ($)"/>
    <tableColumn id="13" xr3:uid="{00000000-0010-0000-0000-00000D000000}" name="COGS ($)"/>
    <tableColumn id="14" xr3:uid="{00000000-0010-0000-0000-00000E000000}" name="Profit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8"/>
  <sheetViews>
    <sheetView tabSelected="1" workbookViewId="0"/>
  </sheetViews>
  <sheetFormatPr baseColWidth="10" defaultColWidth="8.83203125" defaultRowHeight="14"/>
  <cols>
    <col min="2" max="2" width="22" customWidth="1"/>
    <col min="3" max="3" width="55" customWidth="1"/>
    <col min="4" max="4" width="38" customWidth="1"/>
  </cols>
  <sheetData>
    <row r="2" spans="2:10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>
      <c r="B3" s="21"/>
      <c r="C3" s="21"/>
      <c r="D3" s="21"/>
      <c r="E3" s="21"/>
      <c r="F3" s="21"/>
      <c r="G3" s="21"/>
      <c r="H3" s="21"/>
      <c r="I3" s="21"/>
      <c r="J3" s="21"/>
    </row>
    <row r="5" spans="2:10">
      <c r="B5" s="22" t="s">
        <v>1</v>
      </c>
      <c r="C5" s="22"/>
      <c r="D5" s="22"/>
      <c r="E5" s="22"/>
      <c r="F5" s="22"/>
      <c r="G5" s="22"/>
      <c r="H5" s="22"/>
      <c r="I5" s="22"/>
      <c r="J5" s="22"/>
    </row>
    <row r="6" spans="2:10">
      <c r="B6" s="22"/>
      <c r="C6" s="22"/>
      <c r="D6" s="22"/>
      <c r="E6" s="22"/>
      <c r="F6" s="22"/>
      <c r="G6" s="22"/>
      <c r="H6" s="22"/>
      <c r="I6" s="22"/>
      <c r="J6" s="22"/>
    </row>
    <row r="8" spans="2:10" ht="16">
      <c r="B8" s="1" t="s">
        <v>2</v>
      </c>
      <c r="C8" s="1" t="s">
        <v>3</v>
      </c>
      <c r="D8" s="1" t="s">
        <v>4</v>
      </c>
    </row>
    <row r="9" spans="2:10" ht="15">
      <c r="B9" s="2" t="s">
        <v>5</v>
      </c>
      <c r="C9" s="2" t="s">
        <v>6</v>
      </c>
      <c r="D9" s="2" t="s">
        <v>7</v>
      </c>
    </row>
    <row r="10" spans="2:10" ht="15">
      <c r="B10" s="2" t="s">
        <v>8</v>
      </c>
      <c r="C10" s="2" t="s">
        <v>9</v>
      </c>
      <c r="D10" s="2" t="s">
        <v>10</v>
      </c>
    </row>
    <row r="11" spans="2:10" ht="15">
      <c r="B11" s="2" t="s">
        <v>11</v>
      </c>
      <c r="C11" s="2" t="s">
        <v>12</v>
      </c>
      <c r="D11" s="2" t="s">
        <v>13</v>
      </c>
    </row>
    <row r="12" spans="2:10" ht="15">
      <c r="B12" s="2" t="s">
        <v>14</v>
      </c>
      <c r="C12" s="2" t="s">
        <v>15</v>
      </c>
      <c r="D12" s="2" t="s">
        <v>16</v>
      </c>
    </row>
    <row r="13" spans="2:10" ht="15">
      <c r="B13" s="2" t="s">
        <v>17</v>
      </c>
      <c r="C13" s="2" t="s">
        <v>18</v>
      </c>
      <c r="D13" s="2" t="s">
        <v>19</v>
      </c>
    </row>
    <row r="16" spans="2:10" ht="15">
      <c r="B16" s="23" t="s">
        <v>20</v>
      </c>
      <c r="C16" s="23"/>
      <c r="D16" s="23"/>
      <c r="E16" s="23"/>
      <c r="F16" s="23"/>
      <c r="G16" s="23"/>
      <c r="H16" s="23"/>
      <c r="I16" s="23"/>
      <c r="J16" s="23"/>
    </row>
    <row r="18" spans="2:10">
      <c r="B18" t="s">
        <v>21</v>
      </c>
    </row>
    <row r="19" spans="2:10">
      <c r="B19" t="s">
        <v>22</v>
      </c>
    </row>
    <row r="20" spans="2:10">
      <c r="B20" t="s">
        <v>23</v>
      </c>
    </row>
    <row r="21" spans="2:10">
      <c r="B21" t="s">
        <v>24</v>
      </c>
    </row>
    <row r="22" spans="2:10">
      <c r="B22" t="s">
        <v>25</v>
      </c>
    </row>
    <row r="23" spans="2:10">
      <c r="B23" t="s">
        <v>26</v>
      </c>
    </row>
    <row r="26" spans="2:10" ht="15">
      <c r="B26" s="23" t="s">
        <v>27</v>
      </c>
      <c r="C26" s="23"/>
      <c r="D26" s="23"/>
      <c r="E26" s="23"/>
      <c r="F26" s="23"/>
      <c r="G26" s="23"/>
      <c r="H26" s="23"/>
      <c r="I26" s="23"/>
      <c r="J26" s="23"/>
    </row>
    <row r="28" spans="2:10" ht="15">
      <c r="B28" s="4" t="s">
        <v>28</v>
      </c>
      <c r="C28" s="4" t="s">
        <v>29</v>
      </c>
      <c r="D28" s="4" t="s">
        <v>30</v>
      </c>
      <c r="E28" s="4" t="s">
        <v>31</v>
      </c>
      <c r="F28" s="4" t="s">
        <v>32</v>
      </c>
      <c r="G28" s="4" t="s">
        <v>33</v>
      </c>
      <c r="H28" s="4"/>
      <c r="I28" s="4"/>
      <c r="J28" s="4"/>
    </row>
  </sheetData>
  <mergeCells count="4">
    <mergeCell ref="B2:J3"/>
    <mergeCell ref="B5:J6"/>
    <mergeCell ref="B16:J16"/>
    <mergeCell ref="B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52"/>
  <sheetViews>
    <sheetView workbookViewId="0"/>
  </sheetViews>
  <sheetFormatPr baseColWidth="10" defaultColWidth="8.83203125" defaultRowHeight="14"/>
  <cols>
    <col min="1" max="19" width="12" customWidth="1"/>
  </cols>
  <sheetData>
    <row r="2" spans="2:15">
      <c r="B2" s="24" t="s">
        <v>34</v>
      </c>
      <c r="C2" s="24"/>
      <c r="D2" s="24"/>
      <c r="E2" s="24"/>
      <c r="F2" s="24"/>
      <c r="G2" s="24"/>
      <c r="H2" s="24"/>
      <c r="I2" s="24"/>
      <c r="J2" s="24"/>
    </row>
    <row r="3" spans="2:15">
      <c r="B3" s="24"/>
      <c r="C3" s="24"/>
      <c r="D3" s="24"/>
      <c r="E3" s="24"/>
      <c r="F3" s="24"/>
      <c r="G3" s="24"/>
      <c r="H3" s="24"/>
      <c r="I3" s="24"/>
      <c r="J3" s="24"/>
    </row>
    <row r="4" spans="2:15" ht="15">
      <c r="B4" s="29" t="s">
        <v>35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2:15" ht="15">
      <c r="B5" s="25" t="s">
        <v>36</v>
      </c>
      <c r="C5" s="25"/>
      <c r="E5" s="25" t="s">
        <v>37</v>
      </c>
      <c r="F5" s="25"/>
      <c r="H5" s="25" t="s">
        <v>38</v>
      </c>
      <c r="I5" s="25"/>
      <c r="K5" s="25" t="s">
        <v>39</v>
      </c>
      <c r="L5" s="25"/>
    </row>
    <row r="6" spans="2:15">
      <c r="B6" s="26">
        <f>SUM('Raw Data'!L2:L1001)</f>
        <v>65062.465999999935</v>
      </c>
      <c r="C6" s="26"/>
      <c r="E6" s="26">
        <f>SUM('Raw Data'!N2:N1001)</f>
        <v>34346.966000000059</v>
      </c>
      <c r="F6" s="26"/>
      <c r="H6" s="27">
        <f>COUNTA('Raw Data'!A2:A1001)</f>
        <v>1000</v>
      </c>
      <c r="I6" s="27"/>
      <c r="K6" s="28">
        <f>B6/H6</f>
        <v>65.06246599999993</v>
      </c>
      <c r="L6" s="28"/>
    </row>
    <row r="7" spans="2:15">
      <c r="B7" s="26"/>
      <c r="C7" s="26"/>
      <c r="E7" s="26"/>
      <c r="F7" s="26"/>
      <c r="H7" s="27"/>
      <c r="I7" s="27"/>
      <c r="K7" s="28"/>
      <c r="L7" s="28"/>
    </row>
    <row r="40" spans="1:19">
      <c r="A40" t="s">
        <v>40</v>
      </c>
      <c r="B40" t="s">
        <v>41</v>
      </c>
      <c r="C40" t="s">
        <v>42</v>
      </c>
      <c r="D40" t="s">
        <v>43</v>
      </c>
      <c r="F40" t="s">
        <v>44</v>
      </c>
      <c r="G40" t="s">
        <v>41</v>
      </c>
      <c r="H40" t="s">
        <v>42</v>
      </c>
      <c r="I40" t="s">
        <v>45</v>
      </c>
      <c r="K40" t="s">
        <v>46</v>
      </c>
      <c r="L40" t="s">
        <v>41</v>
      </c>
      <c r="M40" t="s">
        <v>42</v>
      </c>
      <c r="N40" t="s">
        <v>43</v>
      </c>
      <c r="P40" t="s">
        <v>47</v>
      </c>
      <c r="Q40" t="s">
        <v>41</v>
      </c>
      <c r="R40" t="s">
        <v>42</v>
      </c>
      <c r="S40" t="s">
        <v>43</v>
      </c>
    </row>
    <row r="41" spans="1:19">
      <c r="A41">
        <v>45658</v>
      </c>
      <c r="B41">
        <f>SUMIFS('Raw Data'!$L$2:$L$1001,'Raw Data'!$B$2:$B$1001,"&gt;="&amp;A41,'Raw Data'!$B$2:$B$1001,"&lt;"&amp;EDATE(A41,1))</f>
        <v>4946.5404999999982</v>
      </c>
      <c r="C41">
        <f>SUMIFS('Raw Data'!$N$2:$N$1001,'Raw Data'!$B$2:$B$1001,"&gt;="&amp;A41,'Raw Data'!$B$2:$B$1001,"&lt;"&amp;EDATE(A41,1))</f>
        <v>2664.0404999999992</v>
      </c>
      <c r="D41">
        <f>COUNTIFS('Raw Data'!$B$2:$B$1001,"&gt;="&amp;A41,'Raw Data'!$B$2:$B$1001,"&lt;"&amp;EDATE(A41,1))</f>
        <v>79</v>
      </c>
      <c r="F41" t="s">
        <v>48</v>
      </c>
      <c r="G41">
        <f>SUMIF('Raw Data'!$H$2:$H$1001,F41,'Raw Data'!$L$2:$L$1001)</f>
        <v>28041.416000000052</v>
      </c>
      <c r="H41">
        <f>SUMIF('Raw Data'!$H$2:$H$1001,F41,'Raw Data'!$N$2:$N$1001)</f>
        <v>13539.415999999968</v>
      </c>
      <c r="I41">
        <f>H41/G41</f>
        <v>0.48283638743492635</v>
      </c>
      <c r="K41" t="s">
        <v>49</v>
      </c>
      <c r="L41">
        <f>SUMIF('Raw Data'!$E$2:$E$1001,K41,'Raw Data'!$L$2:$L$1001)</f>
        <v>16755.140499999987</v>
      </c>
      <c r="M41">
        <f>SUMIF('Raw Data'!$E$2:$E$1001,K41,'Raw Data'!$N$2:$N$1001)</f>
        <v>8728.1404999999977</v>
      </c>
      <c r="N41">
        <f>COUNTIF('Raw Data'!$E$2:$E$1001,K41)</f>
        <v>240</v>
      </c>
      <c r="P41" t="s">
        <v>50</v>
      </c>
      <c r="Q41">
        <f>SUMIF('Raw Data'!$F$2:$F$1001,P41,'Raw Data'!$L$2:$L$1001)</f>
        <v>13080.702499999998</v>
      </c>
      <c r="R41">
        <f>SUMIF('Raw Data'!$F$2:$F$1001,P41,'Raw Data'!$N$2:$N$1001)</f>
        <v>6939.2024999999976</v>
      </c>
      <c r="S41">
        <f>COUNTIF('Raw Data'!$F$2:$F$1001,P41)</f>
        <v>203</v>
      </c>
    </row>
    <row r="42" spans="1:19">
      <c r="A42">
        <v>45689</v>
      </c>
      <c r="B42">
        <f>SUMIFS('Raw Data'!$L$2:$L$1001,'Raw Data'!$B$2:$B$1001,"&gt;="&amp;A42,'Raw Data'!$B$2:$B$1001,"&lt;"&amp;EDATE(A42,1))</f>
        <v>5050.2230000000009</v>
      </c>
      <c r="C42">
        <f>SUMIFS('Raw Data'!$N$2:$N$1001,'Raw Data'!$B$2:$B$1001,"&gt;="&amp;A42,'Raw Data'!$B$2:$B$1001,"&lt;"&amp;EDATE(A42,1))</f>
        <v>2609.2229999999995</v>
      </c>
      <c r="D42">
        <f>COUNTIFS('Raw Data'!$B$2:$B$1001,"&gt;="&amp;A42,'Raw Data'!$B$2:$B$1001,"&lt;"&amp;EDATE(A42,1))</f>
        <v>79</v>
      </c>
      <c r="F42" t="s">
        <v>51</v>
      </c>
      <c r="G42">
        <f>SUMIF('Raw Data'!$H$2:$H$1001,F42,'Raw Data'!$L$2:$L$1001)</f>
        <v>14052.100000000006</v>
      </c>
      <c r="H42">
        <f>SUMIF('Raw Data'!$H$2:$H$1001,F42,'Raw Data'!$N$2:$N$1001)</f>
        <v>7819.100000000004</v>
      </c>
      <c r="I42">
        <f>H42/G42</f>
        <v>0.55643640452316745</v>
      </c>
      <c r="K42" t="s">
        <v>52</v>
      </c>
      <c r="L42">
        <f>SUMIF('Raw Data'!$E$2:$E$1001,K42,'Raw Data'!$L$2:$L$1001)</f>
        <v>15882.523999999998</v>
      </c>
      <c r="M42">
        <f>SUMIF('Raw Data'!$E$2:$E$1001,K42,'Raw Data'!$N$2:$N$1001)</f>
        <v>8459.5239999999976</v>
      </c>
      <c r="N42">
        <f>COUNTIF('Raw Data'!$E$2:$E$1001,K42)</f>
        <v>257</v>
      </c>
      <c r="P42" t="s">
        <v>53</v>
      </c>
      <c r="Q42">
        <f>SUMIF('Raw Data'!$F$2:$F$1001,P42,'Raw Data'!$L$2:$L$1001)</f>
        <v>12709.870499999992</v>
      </c>
      <c r="R42">
        <f>SUMIF('Raw Data'!$F$2:$F$1001,P42,'Raw Data'!$N$2:$N$1001)</f>
        <v>6698.3704999999927</v>
      </c>
      <c r="S42">
        <f>COUNTIF('Raw Data'!$F$2:$F$1001,P42)</f>
        <v>197</v>
      </c>
    </row>
    <row r="43" spans="1:19">
      <c r="A43">
        <v>45717</v>
      </c>
      <c r="B43">
        <f>SUMIFS('Raw Data'!$L$2:$L$1001,'Raw Data'!$B$2:$B$1001,"&gt;="&amp;A43,'Raw Data'!$B$2:$B$1001,"&lt;"&amp;EDATE(A43,1))</f>
        <v>6873.944499999996</v>
      </c>
      <c r="C43">
        <f>SUMIFS('Raw Data'!$N$2:$N$1001,'Raw Data'!$B$2:$B$1001,"&gt;="&amp;A43,'Raw Data'!$B$2:$B$1001,"&lt;"&amp;EDATE(A43,1))</f>
        <v>3572.4444999999982</v>
      </c>
      <c r="D43">
        <f>COUNTIFS('Raw Data'!$B$2:$B$1001,"&gt;="&amp;A43,'Raw Data'!$B$2:$B$1001,"&lt;"&amp;EDATE(A43,1))</f>
        <v>91</v>
      </c>
      <c r="F43" t="s">
        <v>54</v>
      </c>
      <c r="G43">
        <f>SUMIF('Raw Data'!$H$2:$H$1001,F43,'Raw Data'!$L$2:$L$1001)</f>
        <v>14169.350000000002</v>
      </c>
      <c r="H43">
        <f>SUMIF('Raw Data'!$H$2:$H$1001,F43,'Raw Data'!$N$2:$N$1001)</f>
        <v>7698.3499999999995</v>
      </c>
      <c r="I43">
        <f>H43/G43</f>
        <v>0.54331003186455262</v>
      </c>
      <c r="K43" t="s">
        <v>55</v>
      </c>
      <c r="L43">
        <f>SUMIF('Raw Data'!$E$2:$E$1001,K43,'Raw Data'!$L$2:$L$1001)</f>
        <v>15433.042499999998</v>
      </c>
      <c r="M43">
        <f>SUMIF('Raw Data'!$E$2:$E$1001,K43,'Raw Data'!$N$2:$N$1001)</f>
        <v>8168.5424999999977</v>
      </c>
      <c r="N43">
        <f>COUNTIF('Raw Data'!$E$2:$E$1001,K43)</f>
        <v>249</v>
      </c>
      <c r="P43" t="s">
        <v>56</v>
      </c>
      <c r="Q43">
        <f>SUMIF('Raw Data'!$F$2:$F$1001,P43,'Raw Data'!$L$2:$L$1001)</f>
        <v>13794.719499999996</v>
      </c>
      <c r="R43">
        <f>SUMIF('Raw Data'!$F$2:$F$1001,P43,'Raw Data'!$N$2:$N$1001)</f>
        <v>7300.2194999999974</v>
      </c>
      <c r="S43">
        <f>COUNTIF('Raw Data'!$F$2:$F$1001,P43)</f>
        <v>208</v>
      </c>
    </row>
    <row r="44" spans="1:19">
      <c r="A44">
        <v>45748</v>
      </c>
      <c r="B44">
        <f>SUMIFS('Raw Data'!$L$2:$L$1001,'Raw Data'!$B$2:$B$1001,"&gt;="&amp;A44,'Raw Data'!$B$2:$B$1001,"&lt;"&amp;EDATE(A44,1))</f>
        <v>5542.3339999999962</v>
      </c>
      <c r="C44">
        <f>SUMIFS('Raw Data'!$N$2:$N$1001,'Raw Data'!$B$2:$B$1001,"&gt;="&amp;A44,'Raw Data'!$B$2:$B$1001,"&lt;"&amp;EDATE(A44,1))</f>
        <v>2938.3340000000003</v>
      </c>
      <c r="D44">
        <f>COUNTIFS('Raw Data'!$B$2:$B$1001,"&gt;="&amp;A44,'Raw Data'!$B$2:$B$1001,"&lt;"&amp;EDATE(A44,1))</f>
        <v>81</v>
      </c>
      <c r="F44" t="s">
        <v>57</v>
      </c>
      <c r="G44">
        <f>SUMIF('Raw Data'!$H$2:$H$1001,F44,'Raw Data'!$L$2:$L$1001)</f>
        <v>8799.6</v>
      </c>
      <c r="H44">
        <f>SUMIF('Raw Data'!$H$2:$H$1001,F44,'Raw Data'!$N$2:$N$1001)</f>
        <v>5290.1000000000013</v>
      </c>
      <c r="I44">
        <f>H44/G44</f>
        <v>0.60117505341151878</v>
      </c>
      <c r="K44" t="s">
        <v>58</v>
      </c>
      <c r="L44">
        <f>SUMIF('Raw Data'!$E$2:$E$1001,K44,'Raw Data'!$L$2:$L$1001)</f>
        <v>16991.758999999987</v>
      </c>
      <c r="M44">
        <f>SUMIF('Raw Data'!$E$2:$E$1001,K44,'Raw Data'!$N$2:$N$1001)</f>
        <v>8990.7589999999964</v>
      </c>
      <c r="N44">
        <f>COUNTIF('Raw Data'!$E$2:$E$1001,K44)</f>
        <v>254</v>
      </c>
      <c r="P44" t="s">
        <v>59</v>
      </c>
      <c r="Q44">
        <f>SUMIF('Raw Data'!$F$2:$F$1001,P44,'Raw Data'!$L$2:$L$1001)</f>
        <v>13260.229499999999</v>
      </c>
      <c r="R44">
        <f>SUMIF('Raw Data'!$F$2:$F$1001,P44,'Raw Data'!$N$2:$N$1001)</f>
        <v>7001.2294999999986</v>
      </c>
      <c r="S44">
        <f>COUNTIF('Raw Data'!$F$2:$F$1001,P44)</f>
        <v>220</v>
      </c>
    </row>
    <row r="45" spans="1:19">
      <c r="A45">
        <v>45778</v>
      </c>
      <c r="B45">
        <f>SUMIFS('Raw Data'!$L$2:$L$1001,'Raw Data'!$B$2:$B$1001,"&gt;="&amp;A45,'Raw Data'!$B$2:$B$1001,"&lt;"&amp;EDATE(A45,1))</f>
        <v>5170.1145000000006</v>
      </c>
      <c r="C45">
        <f>SUMIFS('Raw Data'!$N$2:$N$1001,'Raw Data'!$B$2:$B$1001,"&gt;="&amp;A45,'Raw Data'!$B$2:$B$1001,"&lt;"&amp;EDATE(A45,1))</f>
        <v>2712.1144999999988</v>
      </c>
      <c r="D45">
        <f>COUNTIFS('Raw Data'!$B$2:$B$1001,"&gt;="&amp;A45,'Raw Data'!$B$2:$B$1001,"&lt;"&amp;EDATE(A45,1))</f>
        <v>83</v>
      </c>
      <c r="P45" t="s">
        <v>60</v>
      </c>
      <c r="Q45">
        <f>SUMIF('Raw Data'!$F$2:$F$1001,P45,'Raw Data'!$L$2:$L$1001)</f>
        <v>12216.943999999996</v>
      </c>
      <c r="R45">
        <f>SUMIF('Raw Data'!$F$2:$F$1001,P45,'Raw Data'!$N$2:$N$1001)</f>
        <v>6407.9439999999995</v>
      </c>
      <c r="S45">
        <f>COUNTIF('Raw Data'!$F$2:$F$1001,P45)</f>
        <v>172</v>
      </c>
    </row>
    <row r="46" spans="1:19">
      <c r="A46">
        <v>45809</v>
      </c>
      <c r="B46">
        <f>SUMIFS('Raw Data'!$L$2:$L$1001,'Raw Data'!$B$2:$B$1001,"&gt;="&amp;A46,'Raw Data'!$B$2:$B$1001,"&lt;"&amp;EDATE(A46,1))</f>
        <v>4328.1934999999994</v>
      </c>
      <c r="C46">
        <f>SUMIFS('Raw Data'!$N$2:$N$1001,'Raw Data'!$B$2:$B$1001,"&gt;="&amp;A46,'Raw Data'!$B$2:$B$1001,"&lt;"&amp;EDATE(A46,1))</f>
        <v>2299.6935000000003</v>
      </c>
      <c r="D46">
        <f>COUNTIFS('Raw Data'!$B$2:$B$1001,"&gt;="&amp;A46,'Raw Data'!$B$2:$B$1001,"&lt;"&amp;EDATE(A46,1))</f>
        <v>71</v>
      </c>
    </row>
    <row r="47" spans="1:19">
      <c r="A47">
        <v>45839</v>
      </c>
      <c r="B47">
        <f>SUMIFS('Raw Data'!$L$2:$L$1001,'Raw Data'!$B$2:$B$1001,"&gt;="&amp;A47,'Raw Data'!$B$2:$B$1001,"&lt;"&amp;EDATE(A47,1))</f>
        <v>5828.3064999999979</v>
      </c>
      <c r="C47">
        <f>SUMIFS('Raw Data'!$N$2:$N$1001,'Raw Data'!$B$2:$B$1001,"&gt;="&amp;A47,'Raw Data'!$B$2:$B$1001,"&lt;"&amp;EDATE(A47,1))</f>
        <v>3010.8065000000006</v>
      </c>
      <c r="D47">
        <f>COUNTIFS('Raw Data'!$B$2:$B$1001,"&gt;="&amp;A47,'Raw Data'!$B$2:$B$1001,"&lt;"&amp;EDATE(A47,1))</f>
        <v>83</v>
      </c>
    </row>
    <row r="48" spans="1:19">
      <c r="A48">
        <v>45870</v>
      </c>
      <c r="B48">
        <f>SUMIFS('Raw Data'!$L$2:$L$1001,'Raw Data'!$B$2:$B$1001,"&gt;="&amp;A48,'Raw Data'!$B$2:$B$1001,"&lt;"&amp;EDATE(A48,1))</f>
        <v>5944.6694999999982</v>
      </c>
      <c r="C48">
        <f>SUMIFS('Raw Data'!$N$2:$N$1001,'Raw Data'!$B$2:$B$1001,"&gt;="&amp;A48,'Raw Data'!$B$2:$B$1001,"&lt;"&amp;EDATE(A48,1))</f>
        <v>3147.1694999999991</v>
      </c>
      <c r="D48">
        <f>COUNTIFS('Raw Data'!$B$2:$B$1001,"&gt;="&amp;A48,'Raw Data'!$B$2:$B$1001,"&lt;"&amp;EDATE(A48,1))</f>
        <v>88</v>
      </c>
    </row>
    <row r="49" spans="1:4">
      <c r="A49">
        <v>45901</v>
      </c>
      <c r="B49">
        <f>SUMIFS('Raw Data'!$L$2:$L$1001,'Raw Data'!$B$2:$B$1001,"&gt;="&amp;A49,'Raw Data'!$B$2:$B$1001,"&lt;"&amp;EDATE(A49,1))</f>
        <v>4221.3209999999981</v>
      </c>
      <c r="C49">
        <f>SUMIFS('Raw Data'!$N$2:$N$1001,'Raw Data'!$B$2:$B$1001,"&gt;="&amp;A49,'Raw Data'!$B$2:$B$1001,"&lt;"&amp;EDATE(A49,1))</f>
        <v>2284.3209999999995</v>
      </c>
      <c r="D49">
        <f>COUNTIFS('Raw Data'!$B$2:$B$1001,"&gt;="&amp;A49,'Raw Data'!$B$2:$B$1001,"&lt;"&amp;EDATE(A49,1))</f>
        <v>76</v>
      </c>
    </row>
    <row r="50" spans="1:4">
      <c r="A50">
        <v>45931</v>
      </c>
      <c r="B50">
        <f>SUMIFS('Raw Data'!$L$2:$L$1001,'Raw Data'!$B$2:$B$1001,"&gt;="&amp;A50,'Raw Data'!$B$2:$B$1001,"&lt;"&amp;EDATE(A50,1))</f>
        <v>5456.7469999999976</v>
      </c>
      <c r="C50">
        <f>SUMIFS('Raw Data'!$N$2:$N$1001,'Raw Data'!$B$2:$B$1001,"&gt;="&amp;A50,'Raw Data'!$B$2:$B$1001,"&lt;"&amp;EDATE(A50,1))</f>
        <v>2892.2469999999994</v>
      </c>
      <c r="D50">
        <f>COUNTIFS('Raw Data'!$B$2:$B$1001,"&gt;="&amp;A50,'Raw Data'!$B$2:$B$1001,"&lt;"&amp;EDATE(A50,1))</f>
        <v>93</v>
      </c>
    </row>
    <row r="51" spans="1:4">
      <c r="A51">
        <v>45962</v>
      </c>
      <c r="B51">
        <f>SUMIFS('Raw Data'!$L$2:$L$1001,'Raw Data'!$B$2:$B$1001,"&gt;="&amp;A51,'Raw Data'!$B$2:$B$1001,"&lt;"&amp;EDATE(A51,1))</f>
        <v>6109.5709999999999</v>
      </c>
      <c r="C51">
        <f>SUMIFS('Raw Data'!$N$2:$N$1001,'Raw Data'!$B$2:$B$1001,"&gt;="&amp;A51,'Raw Data'!$B$2:$B$1001,"&lt;"&amp;EDATE(A51,1))</f>
        <v>3206.5709999999995</v>
      </c>
      <c r="D51">
        <f>COUNTIFS('Raw Data'!$B$2:$B$1001,"&gt;="&amp;A51,'Raw Data'!$B$2:$B$1001,"&lt;"&amp;EDATE(A51,1))</f>
        <v>87</v>
      </c>
    </row>
    <row r="52" spans="1:4">
      <c r="A52">
        <v>45992</v>
      </c>
      <c r="B52">
        <f>SUMIFS('Raw Data'!$L$2:$L$1001,'Raw Data'!$B$2:$B$1001,"&gt;="&amp;A52,'Raw Data'!$B$2:$B$1001,"&lt;"&amp;EDATE(A52,1))</f>
        <v>5590.5010000000002</v>
      </c>
      <c r="C52">
        <f>SUMIFS('Raw Data'!$N$2:$N$1001,'Raw Data'!$B$2:$B$1001,"&gt;="&amp;A52,'Raw Data'!$B$2:$B$1001,"&lt;"&amp;EDATE(A52,1))</f>
        <v>3010.0010000000002</v>
      </c>
      <c r="D52">
        <f>COUNTIFS('Raw Data'!$B$2:$B$1001,"&gt;="&amp;A52,'Raw Data'!$B$2:$B$1001,"&lt;"&amp;EDATE(A52,1))</f>
        <v>89</v>
      </c>
    </row>
  </sheetData>
  <mergeCells count="10">
    <mergeCell ref="B6:C7"/>
    <mergeCell ref="E6:F7"/>
    <mergeCell ref="H6:I7"/>
    <mergeCell ref="K6:L7"/>
    <mergeCell ref="B4:O4"/>
    <mergeCell ref="B2:J3"/>
    <mergeCell ref="B5:C5"/>
    <mergeCell ref="E5:F5"/>
    <mergeCell ref="H5:I5"/>
    <mergeCell ref="K5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workbookViewId="0"/>
  </sheetViews>
  <sheetFormatPr baseColWidth="10" defaultColWidth="8.83203125" defaultRowHeight="14"/>
  <cols>
    <col min="1" max="1" width="22" customWidth="1"/>
    <col min="2" max="2" width="16" customWidth="1"/>
    <col min="3" max="3" width="48" customWidth="1"/>
    <col min="4" max="6" width="14" customWidth="1"/>
    <col min="7" max="7" width="22" customWidth="1"/>
    <col min="8" max="14" width="15" customWidth="1"/>
  </cols>
  <sheetData>
    <row r="1" spans="1:14" ht="23">
      <c r="A1" s="30" t="s">
        <v>61</v>
      </c>
      <c r="B1" s="30"/>
      <c r="C1" s="30"/>
      <c r="D1" s="30"/>
      <c r="E1" s="30"/>
      <c r="F1" s="30"/>
      <c r="G1" s="30"/>
      <c r="H1" s="30"/>
      <c r="I1" s="15"/>
      <c r="J1" s="15"/>
      <c r="K1" s="15"/>
      <c r="L1" s="15"/>
      <c r="M1" s="15"/>
      <c r="N1" s="15"/>
    </row>
    <row r="2" spans="1:14" ht="23">
      <c r="A2" s="30"/>
      <c r="B2" s="30"/>
      <c r="C2" s="30"/>
      <c r="D2" s="30"/>
      <c r="E2" s="30"/>
      <c r="F2" s="30"/>
      <c r="G2" s="30"/>
      <c r="H2" s="30"/>
      <c r="I2" s="15"/>
      <c r="J2" s="15"/>
      <c r="K2" s="15"/>
      <c r="L2" s="15"/>
      <c r="M2" s="15"/>
      <c r="N2" s="15"/>
    </row>
    <row r="4" spans="1:14">
      <c r="A4" s="31" t="s">
        <v>62</v>
      </c>
      <c r="B4" s="31"/>
      <c r="C4" s="31"/>
      <c r="D4" s="31"/>
      <c r="E4" s="22"/>
      <c r="F4" s="31"/>
      <c r="G4" s="31"/>
      <c r="H4" s="31"/>
      <c r="I4" s="31"/>
      <c r="J4" s="22"/>
      <c r="K4" s="31"/>
      <c r="L4" s="31"/>
      <c r="M4" s="31"/>
      <c r="N4" s="31"/>
    </row>
    <row r="5" spans="1:14">
      <c r="A5" s="32"/>
      <c r="B5" s="33"/>
      <c r="C5" s="33"/>
      <c r="D5" s="22"/>
      <c r="E5" s="22"/>
      <c r="F5" s="22"/>
      <c r="G5" s="33"/>
      <c r="H5" s="33"/>
      <c r="I5" s="34"/>
      <c r="J5" s="22"/>
      <c r="K5" s="22"/>
      <c r="L5" s="33"/>
      <c r="M5" s="33"/>
      <c r="N5" s="22"/>
    </row>
    <row r="6" spans="1:14">
      <c r="A6" s="10"/>
      <c r="B6" s="11"/>
      <c r="C6" s="11"/>
      <c r="G6" s="11"/>
      <c r="H6" s="11"/>
      <c r="I6" s="13"/>
      <c r="L6" s="11"/>
      <c r="M6" s="11"/>
    </row>
    <row r="7" spans="1:14" ht="15">
      <c r="A7" s="35" t="s">
        <v>63</v>
      </c>
      <c r="B7" s="36"/>
      <c r="C7" s="36"/>
      <c r="D7" s="37"/>
      <c r="E7" s="37"/>
      <c r="F7" s="37"/>
      <c r="G7" s="36"/>
      <c r="H7" s="36"/>
      <c r="I7" s="38"/>
      <c r="J7" s="37"/>
      <c r="K7" s="37"/>
      <c r="L7" s="36"/>
      <c r="M7" s="36"/>
      <c r="N7" s="37"/>
    </row>
    <row r="8" spans="1:14">
      <c r="A8" s="10"/>
      <c r="B8" s="11"/>
      <c r="C8" s="11"/>
      <c r="G8" s="11"/>
      <c r="H8" s="11"/>
      <c r="I8" s="13"/>
      <c r="L8" s="11"/>
      <c r="M8" s="11"/>
    </row>
    <row r="9" spans="1:14" ht="15">
      <c r="A9" s="16" t="s">
        <v>64</v>
      </c>
      <c r="B9" s="17" t="s">
        <v>65</v>
      </c>
      <c r="C9" s="17" t="s">
        <v>66</v>
      </c>
      <c r="E9" s="18" t="s">
        <v>40</v>
      </c>
      <c r="F9" s="18" t="s">
        <v>41</v>
      </c>
      <c r="G9" s="17" t="s">
        <v>42</v>
      </c>
      <c r="H9" s="17" t="s">
        <v>43</v>
      </c>
      <c r="L9" s="11"/>
      <c r="M9" s="11"/>
    </row>
    <row r="10" spans="1:14">
      <c r="A10" s="10" t="s">
        <v>67</v>
      </c>
      <c r="B10" s="14">
        <f>SUM('Raw Data'!L2:L1001)</f>
        <v>65062.465999999935</v>
      </c>
      <c r="C10" s="11" t="s">
        <v>68</v>
      </c>
      <c r="E10" s="10">
        <v>45658</v>
      </c>
      <c r="F10" s="14">
        <f>SUMIFS('Raw Data'!$L$2:$L$1001,'Raw Data'!$B$2:$B$1001,"&gt;="&amp;E10,'Raw Data'!$B$2:$B$1001,"&lt;"&amp;EDATE(E10,1))</f>
        <v>4946.5404999999982</v>
      </c>
      <c r="G10" s="14">
        <f>SUMIFS('Raw Data'!$N$2:$N$1001,'Raw Data'!$B$2:$B$1001,"&gt;="&amp;E10,'Raw Data'!$B$2:$B$1001,"&lt;"&amp;EDATE(E10,1))</f>
        <v>2664.0404999999992</v>
      </c>
      <c r="H10" s="11">
        <f>COUNTIFS('Raw Data'!$B$2:$B$1001,"&gt;="&amp;E10,'Raw Data'!$B$2:$B$1001,"&lt;"&amp;EDATE(E10,1))</f>
        <v>79</v>
      </c>
      <c r="L10" s="11"/>
      <c r="M10" s="11"/>
    </row>
    <row r="11" spans="1:14" ht="15">
      <c r="A11" s="10" t="s">
        <v>69</v>
      </c>
      <c r="B11" s="14">
        <f>SUM('Raw Data'!N2:N1001)</f>
        <v>34346.966000000059</v>
      </c>
      <c r="C11" s="11" t="s">
        <v>70</v>
      </c>
      <c r="E11" s="10">
        <v>45689</v>
      </c>
      <c r="F11" s="19">
        <f>SUMIFS('Raw Data'!$L$2:$L$1001,'Raw Data'!$B$2:$B$1001,"&gt;="&amp;E11,'Raw Data'!$B$2:$B$1001,"&lt;"&amp;EDATE(E11,1))</f>
        <v>5050.2230000000009</v>
      </c>
      <c r="G11" s="19">
        <f>SUMIFS('Raw Data'!$N$2:$N$1001,'Raw Data'!$B$2:$B$1001,"&gt;="&amp;E11,'Raw Data'!$B$2:$B$1001,"&lt;"&amp;EDATE(E11,1))</f>
        <v>2609.2229999999995</v>
      </c>
      <c r="H11" s="12">
        <f>COUNTIFS('Raw Data'!$B$2:$B$1001,"&gt;="&amp;E11,'Raw Data'!$B$2:$B$1001,"&lt;"&amp;EDATE(E11,1))</f>
        <v>79</v>
      </c>
      <c r="I11" s="3"/>
      <c r="L11" s="11"/>
      <c r="M11" s="11"/>
    </row>
    <row r="12" spans="1:14" ht="15">
      <c r="A12" s="10" t="s">
        <v>45</v>
      </c>
      <c r="B12" s="13">
        <f>B11/B10</f>
        <v>0.52790753427636905</v>
      </c>
      <c r="C12" s="11" t="s">
        <v>71</v>
      </c>
      <c r="E12" s="10">
        <v>45717</v>
      </c>
      <c r="F12" s="14">
        <f>SUMIFS('Raw Data'!$L$2:$L$1001,'Raw Data'!$B$2:$B$1001,"&gt;="&amp;E12,'Raw Data'!$B$2:$B$1001,"&lt;"&amp;EDATE(E12,1))</f>
        <v>6873.944499999996</v>
      </c>
      <c r="G12" s="14">
        <f>SUMIFS('Raw Data'!$N$2:$N$1001,'Raw Data'!$B$2:$B$1001,"&gt;="&amp;E12,'Raw Data'!$B$2:$B$1001,"&lt;"&amp;EDATE(E12,1))</f>
        <v>3572.4444999999982</v>
      </c>
      <c r="H12" s="11">
        <f>COUNTIFS('Raw Data'!$B$2:$B$1001,"&gt;="&amp;E12,'Raw Data'!$B$2:$B$1001,"&lt;"&amp;EDATE(E12,1))</f>
        <v>91</v>
      </c>
      <c r="K12" s="3"/>
      <c r="L12" s="12"/>
      <c r="M12" s="12"/>
      <c r="N12" s="3"/>
    </row>
    <row r="13" spans="1:14">
      <c r="A13" s="10" t="s">
        <v>43</v>
      </c>
      <c r="B13" s="11">
        <f>COUNTA('Raw Data'!A2:A1001)</f>
        <v>1000</v>
      </c>
      <c r="C13" s="11" t="s">
        <v>72</v>
      </c>
      <c r="E13" s="10">
        <v>45748</v>
      </c>
      <c r="F13" s="14">
        <f>SUMIFS('Raw Data'!$L$2:$L$1001,'Raw Data'!$B$2:$B$1001,"&gt;="&amp;E13,'Raw Data'!$B$2:$B$1001,"&lt;"&amp;EDATE(E13,1))</f>
        <v>5542.3339999999962</v>
      </c>
      <c r="G13" s="14">
        <f>SUMIFS('Raw Data'!$N$2:$N$1001,'Raw Data'!$B$2:$B$1001,"&gt;="&amp;E13,'Raw Data'!$B$2:$B$1001,"&lt;"&amp;EDATE(E13,1))</f>
        <v>2938.3340000000003</v>
      </c>
      <c r="H13" s="11">
        <f>COUNTIFS('Raw Data'!$B$2:$B$1001,"&gt;="&amp;E13,'Raw Data'!$B$2:$B$1001,"&lt;"&amp;EDATE(E13,1))</f>
        <v>81</v>
      </c>
      <c r="L13" s="11"/>
      <c r="M13" s="11"/>
    </row>
    <row r="14" spans="1:14">
      <c r="A14" s="10" t="s">
        <v>73</v>
      </c>
      <c r="B14" s="7">
        <f>B10/B13</f>
        <v>65.06246599999993</v>
      </c>
      <c r="C14" s="11" t="s">
        <v>74</v>
      </c>
      <c r="E14" s="10">
        <v>45778</v>
      </c>
      <c r="F14" s="14">
        <f>SUMIFS('Raw Data'!$L$2:$L$1001,'Raw Data'!$B$2:$B$1001,"&gt;="&amp;E14,'Raw Data'!$B$2:$B$1001,"&lt;"&amp;EDATE(E14,1))</f>
        <v>5170.1145000000006</v>
      </c>
      <c r="G14" s="14">
        <f>SUMIFS('Raw Data'!$N$2:$N$1001,'Raw Data'!$B$2:$B$1001,"&gt;="&amp;E14,'Raw Data'!$B$2:$B$1001,"&lt;"&amp;EDATE(E14,1))</f>
        <v>2712.1144999999988</v>
      </c>
      <c r="H14" s="11">
        <f>COUNTIFS('Raw Data'!$B$2:$B$1001,"&gt;="&amp;E14,'Raw Data'!$B$2:$B$1001,"&lt;"&amp;EDATE(E14,1))</f>
        <v>83</v>
      </c>
      <c r="L14" s="11"/>
      <c r="M14" s="11"/>
    </row>
    <row r="15" spans="1:14">
      <c r="A15" s="10"/>
      <c r="B15" s="11"/>
      <c r="C15" s="11"/>
      <c r="E15" s="10">
        <v>45809</v>
      </c>
      <c r="F15" s="14">
        <f>SUMIFS('Raw Data'!$L$2:$L$1001,'Raw Data'!$B$2:$B$1001,"&gt;="&amp;E15,'Raw Data'!$B$2:$B$1001,"&lt;"&amp;EDATE(E15,1))</f>
        <v>4328.1934999999994</v>
      </c>
      <c r="G15" s="14">
        <f>SUMIFS('Raw Data'!$N$2:$N$1001,'Raw Data'!$B$2:$B$1001,"&gt;="&amp;E15,'Raw Data'!$B$2:$B$1001,"&lt;"&amp;EDATE(E15,1))</f>
        <v>2299.6935000000003</v>
      </c>
      <c r="H15" s="11">
        <f>COUNTIFS('Raw Data'!$B$2:$B$1001,"&gt;="&amp;E15,'Raw Data'!$B$2:$B$1001,"&lt;"&amp;EDATE(E15,1))</f>
        <v>71</v>
      </c>
    </row>
    <row r="16" spans="1:14">
      <c r="A16" s="10"/>
      <c r="B16" s="11"/>
      <c r="C16" s="11"/>
      <c r="E16" s="10">
        <v>45839</v>
      </c>
      <c r="F16" s="14">
        <f>SUMIFS('Raw Data'!$L$2:$L$1001,'Raw Data'!$B$2:$B$1001,"&gt;="&amp;E16,'Raw Data'!$B$2:$B$1001,"&lt;"&amp;EDATE(E16,1))</f>
        <v>5828.3064999999979</v>
      </c>
      <c r="G16" s="14">
        <f>SUMIFS('Raw Data'!$N$2:$N$1001,'Raw Data'!$B$2:$B$1001,"&gt;="&amp;E16,'Raw Data'!$B$2:$B$1001,"&lt;"&amp;EDATE(E16,1))</f>
        <v>3010.8065000000006</v>
      </c>
      <c r="H16">
        <f>COUNTIFS('Raw Data'!$B$2:$B$1001,"&gt;="&amp;E16,'Raw Data'!$B$2:$B$1001,"&lt;"&amp;EDATE(E16,1))</f>
        <v>83</v>
      </c>
    </row>
    <row r="17" spans="1:14">
      <c r="E17" s="10">
        <v>45870</v>
      </c>
      <c r="F17" s="14">
        <f>SUMIFS('Raw Data'!$L$2:$L$1001,'Raw Data'!$B$2:$B$1001,"&gt;="&amp;E17,'Raw Data'!$B$2:$B$1001,"&lt;"&amp;EDATE(E17,1))</f>
        <v>5944.6694999999982</v>
      </c>
      <c r="G17" s="14">
        <f>SUMIFS('Raw Data'!$N$2:$N$1001,'Raw Data'!$B$2:$B$1001,"&gt;="&amp;E17,'Raw Data'!$B$2:$B$1001,"&lt;"&amp;EDATE(E17,1))</f>
        <v>3147.1694999999991</v>
      </c>
      <c r="H17">
        <f>COUNTIFS('Raw Data'!$B$2:$B$1001,"&gt;="&amp;E17,'Raw Data'!$B$2:$B$1001,"&lt;"&amp;EDATE(E17,1))</f>
        <v>88</v>
      </c>
    </row>
    <row r="18" spans="1:14">
      <c r="E18" s="10">
        <v>45901</v>
      </c>
      <c r="F18" s="14">
        <f>SUMIFS('Raw Data'!$L$2:$L$1001,'Raw Data'!$B$2:$B$1001,"&gt;="&amp;E18,'Raw Data'!$B$2:$B$1001,"&lt;"&amp;EDATE(E18,1))</f>
        <v>4221.3209999999981</v>
      </c>
      <c r="G18" s="14">
        <f>SUMIFS('Raw Data'!$N$2:$N$1001,'Raw Data'!$B$2:$B$1001,"&gt;="&amp;E18,'Raw Data'!$B$2:$B$1001,"&lt;"&amp;EDATE(E18,1))</f>
        <v>2284.3209999999995</v>
      </c>
      <c r="H18">
        <f>COUNTIFS('Raw Data'!$B$2:$B$1001,"&gt;="&amp;E18,'Raw Data'!$B$2:$B$1001,"&lt;"&amp;EDATE(E18,1))</f>
        <v>76</v>
      </c>
    </row>
    <row r="19" spans="1:14">
      <c r="E19" s="10">
        <v>45931</v>
      </c>
      <c r="F19" s="14">
        <f>SUMIFS('Raw Data'!$L$2:$L$1001,'Raw Data'!$B$2:$B$1001,"&gt;="&amp;E19,'Raw Data'!$B$2:$B$1001,"&lt;"&amp;EDATE(E19,1))</f>
        <v>5456.7469999999976</v>
      </c>
      <c r="G19" s="14">
        <f>SUMIFS('Raw Data'!$N$2:$N$1001,'Raw Data'!$B$2:$B$1001,"&gt;="&amp;E19,'Raw Data'!$B$2:$B$1001,"&lt;"&amp;EDATE(E19,1))</f>
        <v>2892.2469999999994</v>
      </c>
      <c r="H19">
        <f>COUNTIFS('Raw Data'!$B$2:$B$1001,"&gt;="&amp;E19,'Raw Data'!$B$2:$B$1001,"&lt;"&amp;EDATE(E19,1))</f>
        <v>93</v>
      </c>
    </row>
    <row r="20" spans="1:14">
      <c r="E20" s="10">
        <v>45962</v>
      </c>
      <c r="F20" s="14">
        <f>SUMIFS('Raw Data'!$L$2:$L$1001,'Raw Data'!$B$2:$B$1001,"&gt;="&amp;E20,'Raw Data'!$B$2:$B$1001,"&lt;"&amp;EDATE(E20,1))</f>
        <v>6109.5709999999999</v>
      </c>
      <c r="G20" s="14">
        <f>SUMIFS('Raw Data'!$N$2:$N$1001,'Raw Data'!$B$2:$B$1001,"&gt;="&amp;E20,'Raw Data'!$B$2:$B$1001,"&lt;"&amp;EDATE(E20,1))</f>
        <v>3206.5709999999995</v>
      </c>
      <c r="H20">
        <f>COUNTIFS('Raw Data'!$B$2:$B$1001,"&gt;="&amp;E20,'Raw Data'!$B$2:$B$1001,"&lt;"&amp;EDATE(E20,1))</f>
        <v>87</v>
      </c>
    </row>
    <row r="21" spans="1:14">
      <c r="E21" s="10">
        <v>45992</v>
      </c>
      <c r="F21" s="14">
        <f>SUMIFS('Raw Data'!$L$2:$L$1001,'Raw Data'!$B$2:$B$1001,"&gt;="&amp;E21,'Raw Data'!$B$2:$B$1001,"&lt;"&amp;EDATE(E21,1))</f>
        <v>5590.5010000000002</v>
      </c>
      <c r="G21" s="14">
        <f>SUMIFS('Raw Data'!$N$2:$N$1001,'Raw Data'!$B$2:$B$1001,"&gt;="&amp;E21,'Raw Data'!$B$2:$B$1001,"&lt;"&amp;EDATE(E21,1))</f>
        <v>3010.0010000000002</v>
      </c>
      <c r="H21">
        <f>COUNTIFS('Raw Data'!$B$2:$B$1001,"&gt;="&amp;E21,'Raw Data'!$B$2:$B$1001,"&lt;"&amp;EDATE(E21,1))</f>
        <v>89</v>
      </c>
    </row>
    <row r="24" spans="1:14" ht="15">
      <c r="A24" s="37" t="s">
        <v>75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6" spans="1:14" ht="15">
      <c r="A26" s="18" t="s">
        <v>76</v>
      </c>
      <c r="B26" s="18" t="s">
        <v>41</v>
      </c>
      <c r="C26" s="18" t="s">
        <v>42</v>
      </c>
      <c r="D26" s="18" t="s">
        <v>43</v>
      </c>
      <c r="E26" s="18" t="s">
        <v>77</v>
      </c>
      <c r="G26" s="18" t="s">
        <v>47</v>
      </c>
      <c r="H26" s="18" t="s">
        <v>41</v>
      </c>
      <c r="I26" s="18" t="s">
        <v>42</v>
      </c>
      <c r="J26" s="18" t="s">
        <v>43</v>
      </c>
      <c r="K26" s="18" t="s">
        <v>77</v>
      </c>
    </row>
    <row r="27" spans="1:14">
      <c r="A27" t="s">
        <v>78</v>
      </c>
      <c r="B27" s="14">
        <f>SUMIF('Raw Data'!$D$2:$D$1001,A27,'Raw Data'!$L$2:$L$1001)</f>
        <v>38525.302999999985</v>
      </c>
      <c r="C27" s="14">
        <f>SUMIF('Raw Data'!$D$2:$D$1001,A27,'Raw Data'!$N$2:$N$1001)</f>
        <v>20414.802999999985</v>
      </c>
      <c r="D27">
        <f>COUNTIF('Raw Data'!$D$2:$D$1001,A27)</f>
        <v>587</v>
      </c>
      <c r="E27" s="7">
        <f>B27/D27</f>
        <v>65.630839863713774</v>
      </c>
      <c r="G27" t="s">
        <v>50</v>
      </c>
      <c r="H27" s="14">
        <f>SUMIF('Raw Data'!$F$2:$F$1001,G27,'Raw Data'!$L$2:$L$1001)</f>
        <v>13080.702499999998</v>
      </c>
      <c r="I27" s="14">
        <f>SUMIF('Raw Data'!$F$2:$F$1001,G27,'Raw Data'!$N$2:$N$1001)</f>
        <v>6939.2024999999976</v>
      </c>
      <c r="J27">
        <f>COUNTIF('Raw Data'!$F$2:$F$1001,G27)</f>
        <v>203</v>
      </c>
      <c r="K27" s="7">
        <f>H27/J27</f>
        <v>64.4369581280788</v>
      </c>
    </row>
    <row r="28" spans="1:14">
      <c r="A28" t="s">
        <v>79</v>
      </c>
      <c r="B28" s="14">
        <f>SUMIF('Raw Data'!$D$2:$D$1001,A28,'Raw Data'!$L$2:$L$1001)</f>
        <v>26537.16300000004</v>
      </c>
      <c r="C28" s="14">
        <f>SUMIF('Raw Data'!$D$2:$D$1001,A28,'Raw Data'!$N$2:$N$1001)</f>
        <v>13932.162999999991</v>
      </c>
      <c r="D28">
        <f>COUNTIF('Raw Data'!$D$2:$D$1001,A28)</f>
        <v>413</v>
      </c>
      <c r="E28" s="7">
        <f>B28/D28</f>
        <v>64.254631961259179</v>
      </c>
      <c r="G28" t="s">
        <v>53</v>
      </c>
      <c r="H28" s="14">
        <f>SUMIF('Raw Data'!$F$2:$F$1001,G28,'Raw Data'!$L$2:$L$1001)</f>
        <v>12709.870499999992</v>
      </c>
      <c r="I28" s="14">
        <f>SUMIF('Raw Data'!$F$2:$F$1001,G28,'Raw Data'!$N$2:$N$1001)</f>
        <v>6698.3704999999927</v>
      </c>
      <c r="J28">
        <f>COUNTIF('Raw Data'!$F$2:$F$1001,G28)</f>
        <v>197</v>
      </c>
      <c r="K28" s="7">
        <f>H28/J28</f>
        <v>64.517109137055797</v>
      </c>
    </row>
    <row r="29" spans="1:14">
      <c r="G29" t="s">
        <v>56</v>
      </c>
      <c r="H29" s="14">
        <f>SUMIF('Raw Data'!$F$2:$F$1001,G29,'Raw Data'!$L$2:$L$1001)</f>
        <v>13794.719499999996</v>
      </c>
      <c r="I29" s="14">
        <f>SUMIF('Raw Data'!$F$2:$F$1001,G29,'Raw Data'!$N$2:$N$1001)</f>
        <v>7300.2194999999974</v>
      </c>
      <c r="J29">
        <f>COUNTIF('Raw Data'!$F$2:$F$1001,G29)</f>
        <v>208</v>
      </c>
      <c r="K29" s="7">
        <f>H29/J29</f>
        <v>66.320766826923062</v>
      </c>
    </row>
    <row r="30" spans="1:14">
      <c r="G30" t="s">
        <v>59</v>
      </c>
      <c r="H30" s="14">
        <f>SUMIF('Raw Data'!$F$2:$F$1001,G30,'Raw Data'!$L$2:$L$1001)</f>
        <v>13260.229499999999</v>
      </c>
      <c r="I30" s="14">
        <f>SUMIF('Raw Data'!$F$2:$F$1001,G30,'Raw Data'!$N$2:$N$1001)</f>
        <v>7001.2294999999986</v>
      </c>
      <c r="J30">
        <f>COUNTIF('Raw Data'!$F$2:$F$1001,G30)</f>
        <v>220</v>
      </c>
      <c r="K30" s="7">
        <f>H30/J30</f>
        <v>60.273770454545449</v>
      </c>
    </row>
    <row r="31" spans="1:14">
      <c r="G31" t="s">
        <v>60</v>
      </c>
      <c r="H31" s="14">
        <f>SUMIF('Raw Data'!$F$2:$F$1001,G31,'Raw Data'!$L$2:$L$1001)</f>
        <v>12216.943999999996</v>
      </c>
      <c r="I31" s="14">
        <f>SUMIF('Raw Data'!$F$2:$F$1001,G31,'Raw Data'!$N$2:$N$1001)</f>
        <v>6407.9439999999995</v>
      </c>
      <c r="J31">
        <f>COUNTIF('Raw Data'!$F$2:$F$1001,G31)</f>
        <v>172</v>
      </c>
      <c r="K31" s="7">
        <f>H31/J31</f>
        <v>71.028744186046481</v>
      </c>
    </row>
    <row r="34" spans="1:14" ht="15">
      <c r="A34" s="37" t="s">
        <v>80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6" spans="1:14" ht="15">
      <c r="A36" s="18" t="s">
        <v>44</v>
      </c>
      <c r="B36" s="18" t="s">
        <v>41</v>
      </c>
      <c r="C36" s="18" t="s">
        <v>42</v>
      </c>
      <c r="D36" s="18" t="s">
        <v>81</v>
      </c>
      <c r="E36" s="18" t="s">
        <v>82</v>
      </c>
      <c r="G36" s="18" t="s">
        <v>83</v>
      </c>
      <c r="H36" s="18" t="s">
        <v>84</v>
      </c>
      <c r="I36" s="18" t="s">
        <v>41</v>
      </c>
      <c r="J36" s="18" t="s">
        <v>42</v>
      </c>
      <c r="K36" s="18" t="s">
        <v>81</v>
      </c>
      <c r="L36" s="18" t="s">
        <v>82</v>
      </c>
    </row>
    <row r="37" spans="1:14">
      <c r="A37" t="s">
        <v>48</v>
      </c>
      <c r="B37" s="14">
        <f>SUMIF('Raw Data'!$H$2:$H$1001,A37,'Raw Data'!$L$2:$L$1001)</f>
        <v>28041.416000000052</v>
      </c>
      <c r="C37" s="14">
        <f>SUMIF('Raw Data'!$H$2:$H$1001,A37,'Raw Data'!$N$2:$N$1001)</f>
        <v>13539.415999999968</v>
      </c>
      <c r="D37" s="13">
        <f>C37/B37</f>
        <v>0.48283638743492635</v>
      </c>
      <c r="E37" s="13">
        <f>B37/$B$10</f>
        <v>0.43099220985568054</v>
      </c>
      <c r="G37" t="s">
        <v>85</v>
      </c>
      <c r="H37">
        <f>SUMIF('Raw Data'!$G$2:$G$1001,G37,'Raw Data'!$I$2:$I$1001)</f>
        <v>159</v>
      </c>
      <c r="I37" s="14">
        <f>SUMIF('Raw Data'!$G$2:$G$1001,G37,'Raw Data'!$L$2:$L$1001)</f>
        <v>8944.5089999999946</v>
      </c>
      <c r="J37" s="14">
        <f>SUMIF('Raw Data'!$G$2:$G$1001,G37,'Raw Data'!$N$2:$N$1001)</f>
        <v>4492.5089999999964</v>
      </c>
      <c r="K37" s="13">
        <f t="shared" ref="K37:K46" si="0">J37/I37</f>
        <v>0.50226446191736174</v>
      </c>
      <c r="L37" s="13">
        <f t="shared" ref="L37:L46" si="1">I37/$B$10</f>
        <v>0.13747571449259244</v>
      </c>
    </row>
    <row r="38" spans="1:14">
      <c r="A38" t="s">
        <v>51</v>
      </c>
      <c r="B38" s="14">
        <f>SUMIF('Raw Data'!$H$2:$H$1001,A38,'Raw Data'!$L$2:$L$1001)</f>
        <v>14052.100000000006</v>
      </c>
      <c r="C38" s="14">
        <f>SUMIF('Raw Data'!$H$2:$H$1001,A38,'Raw Data'!$N$2:$N$1001)</f>
        <v>7819.100000000004</v>
      </c>
      <c r="D38" s="13">
        <f>C38/B38</f>
        <v>0.55643640452316745</v>
      </c>
      <c r="E38" s="13">
        <f>B38/$B$10</f>
        <v>0.21597859509352166</v>
      </c>
      <c r="G38" t="s">
        <v>86</v>
      </c>
      <c r="H38">
        <f>SUMIF('Raw Data'!$G$2:$G$1001,G38,'Raw Data'!$I$2:$I$1001)</f>
        <v>125</v>
      </c>
      <c r="I38" s="14">
        <f>SUMIF('Raw Data'!$G$2:$G$1001,G38,'Raw Data'!$L$2:$L$1001)</f>
        <v>4127.0704999999971</v>
      </c>
      <c r="J38" s="14">
        <f>SUMIF('Raw Data'!$G$2:$G$1001,G38,'Raw Data'!$N$2:$N$1001)</f>
        <v>2127.0705000000007</v>
      </c>
      <c r="K38" s="13">
        <f t="shared" si="0"/>
        <v>0.51539475761317921</v>
      </c>
      <c r="L38" s="13">
        <f t="shared" si="1"/>
        <v>6.3432432763922617E-2</v>
      </c>
    </row>
    <row r="39" spans="1:14">
      <c r="A39" t="s">
        <v>54</v>
      </c>
      <c r="B39" s="14">
        <f>SUMIF('Raw Data'!$H$2:$H$1001,A39,'Raw Data'!$L$2:$L$1001)</f>
        <v>14169.350000000002</v>
      </c>
      <c r="C39" s="14">
        <f>SUMIF('Raw Data'!$H$2:$H$1001,A39,'Raw Data'!$N$2:$N$1001)</f>
        <v>7698.3499999999995</v>
      </c>
      <c r="D39" s="13">
        <f>C39/B39</f>
        <v>0.54331003186455262</v>
      </c>
      <c r="E39" s="13">
        <f>B39/$B$10</f>
        <v>0.21778070938780611</v>
      </c>
      <c r="G39" t="s">
        <v>87</v>
      </c>
      <c r="H39">
        <f>SUMIF('Raw Data'!$G$2:$G$1001,G39,'Raw Data'!$I$2:$I$1001)</f>
        <v>175</v>
      </c>
      <c r="I39" s="14">
        <f>SUMIF('Raw Data'!$G$2:$G$1001,G39,'Raw Data'!$L$2:$L$1001)</f>
        <v>14969.836499999985</v>
      </c>
      <c r="J39" s="14">
        <f>SUMIF('Raw Data'!$G$2:$G$1001,G39,'Raw Data'!$N$2:$N$1001)</f>
        <v>6919.8364999999912</v>
      </c>
      <c r="K39" s="13">
        <f t="shared" si="0"/>
        <v>0.46225197583153282</v>
      </c>
      <c r="L39" s="13">
        <f t="shared" si="1"/>
        <v>0.23008406259916431</v>
      </c>
    </row>
    <row r="40" spans="1:14">
      <c r="A40" t="s">
        <v>57</v>
      </c>
      <c r="B40" s="14">
        <f>SUMIF('Raw Data'!$H$2:$H$1001,A40,'Raw Data'!$L$2:$L$1001)</f>
        <v>8799.6</v>
      </c>
      <c r="C40" s="14">
        <f>SUMIF('Raw Data'!$H$2:$H$1001,A40,'Raw Data'!$N$2:$N$1001)</f>
        <v>5290.1000000000013</v>
      </c>
      <c r="D40" s="13">
        <f>C40/B40</f>
        <v>0.60117505341151878</v>
      </c>
      <c r="E40" s="13">
        <f>B40/$B$10</f>
        <v>0.13524848566299361</v>
      </c>
      <c r="G40" t="s">
        <v>88</v>
      </c>
      <c r="H40">
        <f>SUMIF('Raw Data'!$G$2:$G$1001,G40,'Raw Data'!$I$2:$I$1001)</f>
        <v>149</v>
      </c>
      <c r="I40" s="14">
        <f>SUMIF('Raw Data'!$G$2:$G$1001,G40,'Raw Data'!$L$2:$L$1001)</f>
        <v>5825.4000000000015</v>
      </c>
      <c r="J40" s="14">
        <f>SUMIF('Raw Data'!$G$2:$G$1001,G40,'Raw Data'!$N$2:$N$1001)</f>
        <v>2994.3999999999996</v>
      </c>
      <c r="K40" s="13">
        <f t="shared" si="0"/>
        <v>0.5140247879973906</v>
      </c>
      <c r="L40" s="13">
        <f t="shared" si="1"/>
        <v>8.9535493474840119E-2</v>
      </c>
    </row>
    <row r="41" spans="1:14">
      <c r="G41" t="s">
        <v>89</v>
      </c>
      <c r="H41">
        <f>SUMIF('Raw Data'!$G$2:$G$1001,G41,'Raw Data'!$I$2:$I$1001)</f>
        <v>138</v>
      </c>
      <c r="I41" s="14">
        <f>SUMIF('Raw Data'!$G$2:$G$1001,G41,'Raw Data'!$L$2:$L$1001)</f>
        <v>4989.4000000000005</v>
      </c>
      <c r="J41" s="14">
        <f>SUMIF('Raw Data'!$G$2:$G$1001,G41,'Raw Data'!$N$2:$N$1001)</f>
        <v>2643.4000000000005</v>
      </c>
      <c r="K41" s="13">
        <f t="shared" si="0"/>
        <v>0.52980318274742455</v>
      </c>
      <c r="L41" s="13">
        <f t="shared" si="1"/>
        <v>7.668630328275608E-2</v>
      </c>
    </row>
    <row r="42" spans="1:14">
      <c r="G42" t="s">
        <v>90</v>
      </c>
      <c r="H42">
        <f>SUMIF('Raw Data'!$G$2:$G$1001,G42,'Raw Data'!$I$2:$I$1001)</f>
        <v>143</v>
      </c>
      <c r="I42" s="14">
        <f>SUMIF('Raw Data'!$G$2:$G$1001,G42,'Raw Data'!$L$2:$L$1001)</f>
        <v>3925.15</v>
      </c>
      <c r="J42" s="14">
        <f>SUMIF('Raw Data'!$G$2:$G$1001,G42,'Raw Data'!$N$2:$N$1001)</f>
        <v>2352.1499999999996</v>
      </c>
      <c r="K42" s="13">
        <f t="shared" si="0"/>
        <v>0.59925098403882648</v>
      </c>
      <c r="L42" s="13">
        <f t="shared" si="1"/>
        <v>6.0328946031649094E-2</v>
      </c>
    </row>
    <row r="43" spans="1:14">
      <c r="G43" t="s">
        <v>91</v>
      </c>
      <c r="H43">
        <f>SUMIF('Raw Data'!$G$2:$G$1001,G43,'Raw Data'!$I$2:$I$1001)</f>
        <v>158</v>
      </c>
      <c r="I43" s="14">
        <f>SUMIF('Raw Data'!$G$2:$G$1001,G43,'Raw Data'!$L$2:$L$1001)</f>
        <v>5190.5</v>
      </c>
      <c r="J43" s="14">
        <f>SUMIF('Raw Data'!$G$2:$G$1001,G43,'Raw Data'!$N$2:$N$1001)</f>
        <v>2978.5</v>
      </c>
      <c r="K43" s="13">
        <f t="shared" si="0"/>
        <v>0.57383681726230618</v>
      </c>
      <c r="L43" s="13">
        <f t="shared" si="1"/>
        <v>7.9777179057430828E-2</v>
      </c>
    </row>
    <row r="44" spans="1:14">
      <c r="G44" t="s">
        <v>92</v>
      </c>
      <c r="H44">
        <f>SUMIF('Raw Data'!$G$2:$G$1001,G44,'Raw Data'!$I$2:$I$1001)</f>
        <v>173</v>
      </c>
      <c r="I44" s="14">
        <f>SUMIF('Raw Data'!$G$2:$G$1001,G44,'Raw Data'!$L$2:$L$1001)</f>
        <v>3609.1</v>
      </c>
      <c r="J44" s="14">
        <f>SUMIF('Raw Data'!$G$2:$G$1001,G44,'Raw Data'!$N$2:$N$1001)</f>
        <v>2311.6</v>
      </c>
      <c r="K44" s="13">
        <f t="shared" si="0"/>
        <v>0.64049208944058078</v>
      </c>
      <c r="L44" s="13">
        <f t="shared" si="1"/>
        <v>5.5471306605562778E-2</v>
      </c>
    </row>
    <row r="45" spans="1:14">
      <c r="G45" t="s">
        <v>93</v>
      </c>
      <c r="H45">
        <f>SUMIF('Raw Data'!$G$2:$G$1001,G45,'Raw Data'!$I$2:$I$1001)</f>
        <v>158</v>
      </c>
      <c r="I45" s="14">
        <f>SUMIF('Raw Data'!$G$2:$G$1001,G45,'Raw Data'!$L$2:$L$1001)</f>
        <v>10244.200000000001</v>
      </c>
      <c r="J45" s="14">
        <f>SUMIF('Raw Data'!$G$2:$G$1001,G45,'Raw Data'!$N$2:$N$1001)</f>
        <v>5346.1999999999989</v>
      </c>
      <c r="K45" s="13">
        <f t="shared" si="0"/>
        <v>0.52187579313172316</v>
      </c>
      <c r="L45" s="13">
        <f t="shared" si="1"/>
        <v>0.15745176335615702</v>
      </c>
    </row>
    <row r="46" spans="1:14">
      <c r="G46" t="s">
        <v>94</v>
      </c>
      <c r="H46">
        <f>SUMIF('Raw Data'!$G$2:$G$1001,G46,'Raw Data'!$I$2:$I$1001)</f>
        <v>192</v>
      </c>
      <c r="I46" s="14">
        <f>SUMIF('Raw Data'!$G$2:$G$1001,G46,'Raw Data'!$L$2:$L$1001)</f>
        <v>3237.2999999999984</v>
      </c>
      <c r="J46" s="14">
        <f>SUMIF('Raw Data'!$G$2:$G$1001,G46,'Raw Data'!$N$2:$N$1001)</f>
        <v>2181.2999999999997</v>
      </c>
      <c r="K46" s="13">
        <f t="shared" si="0"/>
        <v>0.67380224260958232</v>
      </c>
      <c r="L46" s="13">
        <f t="shared" si="1"/>
        <v>4.9756798335925383E-2</v>
      </c>
    </row>
    <row r="49" spans="1:14" ht="15">
      <c r="A49" s="37" t="s">
        <v>95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1" spans="1:14" ht="15">
      <c r="A51" s="18" t="s">
        <v>96</v>
      </c>
      <c r="B51" s="18" t="s">
        <v>43</v>
      </c>
      <c r="C51" s="18" t="s">
        <v>41</v>
      </c>
      <c r="D51" s="18" t="s">
        <v>42</v>
      </c>
      <c r="E51" s="18" t="s">
        <v>45</v>
      </c>
      <c r="F51" s="18" t="s">
        <v>77</v>
      </c>
      <c r="H51" s="39" t="s">
        <v>97</v>
      </c>
      <c r="I51" s="39"/>
      <c r="J51" s="39"/>
      <c r="K51" s="39"/>
      <c r="L51" s="39"/>
      <c r="M51" s="39"/>
      <c r="N51" s="39"/>
    </row>
    <row r="52" spans="1:14">
      <c r="A52" s="8">
        <v>0</v>
      </c>
      <c r="B52">
        <f>COUNTIF('Raw Data'!$K$2:$K$1001,A52)</f>
        <v>458</v>
      </c>
      <c r="C52" s="14">
        <f>SUMIF('Raw Data'!$K$2:$K$1001,A52,'Raw Data'!$L$2:$L$1001)</f>
        <v>31090.000000000036</v>
      </c>
      <c r="D52" s="14">
        <f>SUMIF('Raw Data'!$K$2:$K$1001,A52,'Raw Data'!$N$2:$N$1001)</f>
        <v>17242.999999999971</v>
      </c>
      <c r="E52" s="13">
        <f>D52/C52</f>
        <v>0.55461563203602282</v>
      </c>
      <c r="F52" s="7">
        <f>C52/B52</f>
        <v>67.882096069869078</v>
      </c>
      <c r="H52" s="40" t="str">
        <f>"• "&amp;INDEX(G37:G46,MATCH(MAX(I37:I46),I37:I46,0))&amp;" is the highest-revenue product, generating "&amp;TEXT(MAX(I37:I46),"$#,##0")&amp;" in sales."</f>
        <v>• Mechanical Keyboard is the highest-revenue product, generating $14,970 in sales.</v>
      </c>
      <c r="I52" s="40"/>
      <c r="J52" s="40"/>
      <c r="K52" s="40"/>
      <c r="L52" s="40"/>
      <c r="M52" s="40"/>
      <c r="N52" s="40"/>
    </row>
    <row r="53" spans="1:14">
      <c r="A53" s="8">
        <v>0.05</v>
      </c>
      <c r="B53">
        <f>COUNTIF('Raw Data'!$K$2:$K$1001,A53)</f>
        <v>180</v>
      </c>
      <c r="C53" s="14">
        <f>SUMIF('Raw Data'!$K$2:$K$1001,A53,'Raw Data'!$L$2:$L$1001)</f>
        <v>13514.661999999995</v>
      </c>
      <c r="D53" s="14">
        <f>SUMIF('Raw Data'!$K$2:$K$1001,A53,'Raw Data'!$N$2:$N$1001)</f>
        <v>7068.6619999999957</v>
      </c>
      <c r="E53" s="13">
        <f>D53/C53</f>
        <v>0.52303653617086376</v>
      </c>
      <c r="F53" s="7">
        <f>C53/B53</f>
        <v>75.081455555555522</v>
      </c>
      <c r="H53" s="40"/>
      <c r="I53" s="40"/>
      <c r="J53" s="40"/>
      <c r="K53" s="40"/>
      <c r="L53" s="40"/>
      <c r="M53" s="40"/>
      <c r="N53" s="40"/>
    </row>
    <row r="54" spans="1:14">
      <c r="A54" s="8">
        <v>0.1</v>
      </c>
      <c r="B54">
        <f>COUNTIF('Raw Data'!$K$2:$K$1001,A54)</f>
        <v>193</v>
      </c>
      <c r="C54" s="14">
        <f>SUMIF('Raw Data'!$K$2:$K$1001,A54,'Raw Data'!$L$2:$L$1001)</f>
        <v>11642.553000000009</v>
      </c>
      <c r="D54" s="14">
        <f>SUMIF('Raw Data'!$K$2:$K$1001,A54,'Raw Data'!$N$2:$N$1001)</f>
        <v>5887.5529999999962</v>
      </c>
      <c r="E54" s="13">
        <f>D54/C54</f>
        <v>0.50569260882900779</v>
      </c>
      <c r="F54" s="7">
        <f>C54/B54</f>
        <v>60.324108808290205</v>
      </c>
      <c r="H54" s="40" t="str">
        <f>"• "&amp;INDEX(A37:A40,MATCH(MAX(D37:D40),D37:D40,0))&amp;" has the strongest category profit margin at "&amp;TEXT(MAX(D37:D40),"0.0%")&amp;"."</f>
        <v>• Fitness has the strongest category profit margin at 60.1%.</v>
      </c>
      <c r="I54" s="40"/>
      <c r="J54" s="40"/>
      <c r="K54" s="40"/>
      <c r="L54" s="40"/>
      <c r="M54" s="40"/>
      <c r="N54" s="40"/>
    </row>
    <row r="55" spans="1:14">
      <c r="A55" s="8">
        <v>0.15</v>
      </c>
      <c r="B55">
        <f>COUNTIF('Raw Data'!$K$2:$K$1001,A55)</f>
        <v>104</v>
      </c>
      <c r="C55" s="14">
        <f>SUMIF('Raw Data'!$K$2:$K$1001,A55,'Raw Data'!$L$2:$L$1001)</f>
        <v>5790.6590000000033</v>
      </c>
      <c r="D55" s="14">
        <f>SUMIF('Raw Data'!$K$2:$K$1001,A55,'Raw Data'!$N$2:$N$1001)</f>
        <v>2749.6590000000024</v>
      </c>
      <c r="E55" s="13">
        <f>D55/C55</f>
        <v>0.47484388219026552</v>
      </c>
      <c r="F55" s="7">
        <f>C55/B55</f>
        <v>55.679413461538495</v>
      </c>
      <c r="H55" s="40"/>
      <c r="I55" s="40"/>
      <c r="J55" s="40"/>
      <c r="K55" s="40"/>
      <c r="L55" s="40"/>
      <c r="M55" s="40"/>
      <c r="N55" s="40"/>
    </row>
    <row r="56" spans="1:14">
      <c r="A56" s="8">
        <v>0.2</v>
      </c>
      <c r="B56">
        <f>COUNTIF('Raw Data'!$K$2:$K$1001,A56)</f>
        <v>65</v>
      </c>
      <c r="C56" s="14">
        <f>SUMIF('Raw Data'!$K$2:$K$1001,A56,'Raw Data'!$L$2:$L$1001)</f>
        <v>3024.5919999999996</v>
      </c>
      <c r="D56" s="14">
        <f>SUMIF('Raw Data'!$K$2:$K$1001,A56,'Raw Data'!$N$2:$N$1001)</f>
        <v>1398.0920000000001</v>
      </c>
      <c r="E56" s="13">
        <f>D56/C56</f>
        <v>0.46224151885609704</v>
      </c>
      <c r="F56" s="7">
        <f>C56/B56</f>
        <v>46.532184615384608</v>
      </c>
      <c r="H56" s="40" t="str">
        <f>"• "&amp;INDEX(G27:G31,MATCH(MAX(H27:H31),H27:H31,0))&amp;" contributes the most acquisition-channel revenue at "&amp;TEXT(MAX(H27:H31),"$#,##0")&amp;"."</f>
        <v>• Email contributes the most acquisition-channel revenue at $13,795.</v>
      </c>
      <c r="I56" s="40"/>
      <c r="J56" s="40"/>
      <c r="K56" s="40"/>
      <c r="L56" s="40"/>
      <c r="M56" s="40"/>
      <c r="N56" s="40"/>
    </row>
    <row r="57" spans="1:14">
      <c r="H57" s="40"/>
      <c r="I57" s="40"/>
      <c r="J57" s="40"/>
      <c r="K57" s="40"/>
      <c r="L57" s="40"/>
      <c r="M57" s="40"/>
      <c r="N57" s="40"/>
    </row>
    <row r="58" spans="1:14">
      <c r="H58" s="40" t="str">
        <f>"• Returning customers generate "&amp;TEXT(B28/$B$10,"0.0%")&amp;" of revenue with an AOV of "&amp;TEXT(E28,"$0.00")&amp;", compared with "&amp;TEXT(E27,"$0.00")&amp;" for new customers."</f>
        <v>• Returning customers generate 40.8% of revenue with an AOV of $64.25, compared with $65.63 for new customers.</v>
      </c>
      <c r="I58" s="40"/>
      <c r="J58" s="40"/>
      <c r="K58" s="40"/>
      <c r="L58" s="40"/>
      <c r="M58" s="40"/>
      <c r="N58" s="40"/>
    </row>
    <row r="59" spans="1:14">
      <c r="H59" s="40"/>
      <c r="I59" s="40"/>
      <c r="J59" s="40"/>
      <c r="K59" s="40"/>
      <c r="L59" s="40"/>
      <c r="M59" s="40"/>
      <c r="N59" s="40"/>
    </row>
    <row r="62" spans="1:14" ht="15">
      <c r="A62" s="37" t="s">
        <v>98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</row>
    <row r="64" spans="1:14" ht="32">
      <c r="A64" s="20" t="s">
        <v>99</v>
      </c>
      <c r="B64" s="20" t="s">
        <v>100</v>
      </c>
      <c r="C64" s="20" t="s">
        <v>101</v>
      </c>
    </row>
    <row r="65" spans="1:3" ht="45">
      <c r="A65" s="2" t="s">
        <v>102</v>
      </c>
      <c r="B65" s="2" t="s">
        <v>103</v>
      </c>
      <c r="C65" s="2" t="s">
        <v>104</v>
      </c>
    </row>
    <row r="66" spans="1:3" ht="45">
      <c r="A66" s="2" t="s">
        <v>105</v>
      </c>
      <c r="B66" s="2" t="s">
        <v>106</v>
      </c>
      <c r="C66" s="2" t="s">
        <v>107</v>
      </c>
    </row>
    <row r="67" spans="1:3" ht="45">
      <c r="A67" s="2" t="s">
        <v>108</v>
      </c>
      <c r="B67" s="2" t="s">
        <v>109</v>
      </c>
      <c r="C67" s="2" t="s">
        <v>110</v>
      </c>
    </row>
    <row r="68" spans="1:3" ht="30">
      <c r="A68" s="2" t="s">
        <v>111</v>
      </c>
      <c r="B68" s="2" t="s">
        <v>112</v>
      </c>
      <c r="C68" s="2" t="s">
        <v>113</v>
      </c>
    </row>
    <row r="69" spans="1:3" ht="30">
      <c r="A69" s="2" t="s">
        <v>114</v>
      </c>
      <c r="B69" s="2" t="s">
        <v>115</v>
      </c>
      <c r="C69" s="2" t="s">
        <v>116</v>
      </c>
    </row>
  </sheetData>
  <mergeCells count="12">
    <mergeCell ref="H58:N59"/>
    <mergeCell ref="A62:N62"/>
    <mergeCell ref="A49:N49"/>
    <mergeCell ref="H51:N51"/>
    <mergeCell ref="H52:N53"/>
    <mergeCell ref="H54:N55"/>
    <mergeCell ref="H56:N57"/>
    <mergeCell ref="A1:H2"/>
    <mergeCell ref="A4:N5"/>
    <mergeCell ref="A7:N7"/>
    <mergeCell ref="A24:N24"/>
    <mergeCell ref="A34:N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/>
  </sheetViews>
  <sheetFormatPr baseColWidth="10" defaultColWidth="8.83203125" defaultRowHeight="14"/>
  <cols>
    <col min="1" max="8" width="15" customWidth="1"/>
  </cols>
  <sheetData>
    <row r="1" spans="1:8">
      <c r="A1" s="41" t="s">
        <v>117</v>
      </c>
      <c r="B1" s="41"/>
      <c r="C1" s="41"/>
      <c r="D1" s="41"/>
      <c r="E1" s="41"/>
      <c r="F1" s="41"/>
      <c r="G1" s="41"/>
      <c r="H1" s="41"/>
    </row>
    <row r="2" spans="1:8">
      <c r="A2" s="41"/>
      <c r="B2" s="41"/>
      <c r="C2" s="41"/>
      <c r="D2" s="41"/>
      <c r="E2" s="41"/>
      <c r="F2" s="41"/>
      <c r="G2" s="41"/>
      <c r="H2" s="41"/>
    </row>
    <row r="4" spans="1:8">
      <c r="A4" s="22" t="s">
        <v>118</v>
      </c>
      <c r="B4" s="22"/>
      <c r="C4" s="22"/>
      <c r="D4" s="22"/>
      <c r="E4" s="22"/>
      <c r="F4" s="22"/>
      <c r="G4" s="22"/>
      <c r="H4" s="22"/>
    </row>
    <row r="5" spans="1:8">
      <c r="A5" s="22"/>
      <c r="B5" s="22"/>
      <c r="C5" s="22"/>
      <c r="D5" s="22"/>
      <c r="E5" s="22"/>
      <c r="F5" s="22"/>
      <c r="G5" s="22"/>
      <c r="H5" s="22"/>
    </row>
    <row r="7" spans="1:8" ht="15">
      <c r="A7" s="42" t="s">
        <v>119</v>
      </c>
      <c r="B7" s="42"/>
      <c r="C7" s="42"/>
      <c r="D7" s="42"/>
      <c r="E7" s="42"/>
      <c r="F7" s="42"/>
      <c r="G7" s="42"/>
      <c r="H7" s="42"/>
    </row>
    <row r="8" spans="1:8">
      <c r="A8" s="43" t="s">
        <v>120</v>
      </c>
      <c r="B8" s="43"/>
      <c r="C8" s="43"/>
      <c r="D8" s="43"/>
      <c r="E8" s="43"/>
      <c r="F8" s="43"/>
      <c r="G8" s="43"/>
      <c r="H8" s="43"/>
    </row>
    <row r="9" spans="1:8">
      <c r="A9" s="43"/>
      <c r="B9" s="43"/>
      <c r="C9" s="43"/>
      <c r="D9" s="43"/>
      <c r="E9" s="43"/>
      <c r="F9" s="43"/>
      <c r="G9" s="43"/>
      <c r="H9" s="43"/>
    </row>
    <row r="10" spans="1:8">
      <c r="A10" s="43"/>
      <c r="B10" s="43"/>
      <c r="C10" s="43"/>
      <c r="D10" s="43"/>
      <c r="E10" s="43"/>
      <c r="F10" s="43"/>
      <c r="G10" s="43"/>
      <c r="H10" s="43"/>
    </row>
    <row r="11" spans="1:8">
      <c r="A11" s="43"/>
      <c r="B11" s="43"/>
      <c r="C11" s="43"/>
      <c r="D11" s="43"/>
      <c r="E11" s="43"/>
      <c r="F11" s="43"/>
      <c r="G11" s="43"/>
      <c r="H11" s="43"/>
    </row>
    <row r="12" spans="1:8">
      <c r="A12" s="43"/>
      <c r="B12" s="43"/>
      <c r="C12" s="43"/>
      <c r="D12" s="43"/>
      <c r="E12" s="43"/>
      <c r="F12" s="43"/>
      <c r="G12" s="43"/>
      <c r="H12" s="43"/>
    </row>
    <row r="13" spans="1:8">
      <c r="A13" s="43"/>
      <c r="B13" s="43"/>
      <c r="C13" s="43"/>
      <c r="D13" s="43"/>
      <c r="E13" s="43"/>
      <c r="F13" s="43"/>
      <c r="G13" s="43"/>
      <c r="H13" s="43"/>
    </row>
    <row r="14" spans="1:8">
      <c r="A14" s="43"/>
      <c r="B14" s="43"/>
      <c r="C14" s="43"/>
      <c r="D14" s="43"/>
      <c r="E14" s="43"/>
      <c r="F14" s="43"/>
      <c r="G14" s="43"/>
      <c r="H14" s="43"/>
    </row>
    <row r="15" spans="1:8">
      <c r="A15" s="43"/>
      <c r="B15" s="43"/>
      <c r="C15" s="43"/>
      <c r="D15" s="43"/>
      <c r="E15" s="43"/>
      <c r="F15" s="43"/>
      <c r="G15" s="43"/>
      <c r="H15" s="43"/>
    </row>
    <row r="17" spans="1:8" ht="15">
      <c r="A17" s="42" t="s">
        <v>121</v>
      </c>
      <c r="B17" s="42"/>
      <c r="C17" s="42"/>
      <c r="D17" s="42"/>
      <c r="E17" s="42"/>
      <c r="F17" s="42"/>
      <c r="G17" s="42"/>
      <c r="H17" s="42"/>
    </row>
    <row r="18" spans="1:8">
      <c r="A18" s="43" t="s">
        <v>122</v>
      </c>
      <c r="B18" s="43"/>
      <c r="C18" s="43"/>
      <c r="D18" s="43"/>
      <c r="E18" s="43"/>
      <c r="F18" s="43"/>
      <c r="G18" s="43"/>
      <c r="H18" s="43"/>
    </row>
    <row r="19" spans="1:8">
      <c r="A19" s="43"/>
      <c r="B19" s="43"/>
      <c r="C19" s="43"/>
      <c r="D19" s="43"/>
      <c r="E19" s="43"/>
      <c r="F19" s="43"/>
      <c r="G19" s="43"/>
      <c r="H19" s="43"/>
    </row>
    <row r="20" spans="1:8">
      <c r="A20" s="43"/>
      <c r="B20" s="43"/>
      <c r="C20" s="43"/>
      <c r="D20" s="43"/>
      <c r="E20" s="43"/>
      <c r="F20" s="43"/>
      <c r="G20" s="43"/>
      <c r="H20" s="43"/>
    </row>
    <row r="21" spans="1:8">
      <c r="A21" s="43"/>
      <c r="B21" s="43"/>
      <c r="C21" s="43"/>
      <c r="D21" s="43"/>
      <c r="E21" s="43"/>
      <c r="F21" s="43"/>
      <c r="G21" s="43"/>
      <c r="H21" s="43"/>
    </row>
    <row r="22" spans="1:8">
      <c r="A22" s="43"/>
      <c r="B22" s="43"/>
      <c r="C22" s="43"/>
      <c r="D22" s="43"/>
      <c r="E22" s="43"/>
      <c r="F22" s="43"/>
      <c r="G22" s="43"/>
      <c r="H22" s="43"/>
    </row>
    <row r="23" spans="1:8">
      <c r="A23" s="43"/>
      <c r="B23" s="43"/>
      <c r="C23" s="43"/>
      <c r="D23" s="43"/>
      <c r="E23" s="43"/>
      <c r="F23" s="43"/>
      <c r="G23" s="43"/>
      <c r="H23" s="43"/>
    </row>
    <row r="24" spans="1:8">
      <c r="A24" s="43"/>
      <c r="B24" s="43"/>
      <c r="C24" s="43"/>
      <c r="D24" s="43"/>
      <c r="E24" s="43"/>
      <c r="F24" s="43"/>
      <c r="G24" s="43"/>
      <c r="H24" s="43"/>
    </row>
    <row r="25" spans="1:8">
      <c r="A25" s="43"/>
      <c r="B25" s="43"/>
      <c r="C25" s="43"/>
      <c r="D25" s="43"/>
      <c r="E25" s="43"/>
      <c r="F25" s="43"/>
      <c r="G25" s="43"/>
      <c r="H25" s="43"/>
    </row>
    <row r="27" spans="1:8" ht="15">
      <c r="A27" s="42" t="s">
        <v>123</v>
      </c>
      <c r="B27" s="42"/>
      <c r="C27" s="42"/>
      <c r="D27" s="42"/>
      <c r="E27" s="42"/>
      <c r="F27" s="42"/>
      <c r="G27" s="42"/>
      <c r="H27" s="42"/>
    </row>
    <row r="28" spans="1:8">
      <c r="A28" s="43" t="s">
        <v>124</v>
      </c>
      <c r="B28" s="43"/>
      <c r="C28" s="43"/>
      <c r="D28" s="43"/>
      <c r="E28" s="43"/>
      <c r="F28" s="43"/>
      <c r="G28" s="43"/>
      <c r="H28" s="43"/>
    </row>
    <row r="29" spans="1:8">
      <c r="A29" s="43"/>
      <c r="B29" s="43"/>
      <c r="C29" s="43"/>
      <c r="D29" s="43"/>
      <c r="E29" s="43"/>
      <c r="F29" s="43"/>
      <c r="G29" s="43"/>
      <c r="H29" s="43"/>
    </row>
    <row r="30" spans="1:8">
      <c r="A30" s="43"/>
      <c r="B30" s="43"/>
      <c r="C30" s="43"/>
      <c r="D30" s="43"/>
      <c r="E30" s="43"/>
      <c r="F30" s="43"/>
      <c r="G30" s="43"/>
      <c r="H30" s="43"/>
    </row>
    <row r="31" spans="1:8">
      <c r="A31" s="43"/>
      <c r="B31" s="43"/>
      <c r="C31" s="43"/>
      <c r="D31" s="43"/>
      <c r="E31" s="43"/>
      <c r="F31" s="43"/>
      <c r="G31" s="43"/>
      <c r="H31" s="43"/>
    </row>
    <row r="32" spans="1:8">
      <c r="A32" s="43"/>
      <c r="B32" s="43"/>
      <c r="C32" s="43"/>
      <c r="D32" s="43"/>
      <c r="E32" s="43"/>
      <c r="F32" s="43"/>
      <c r="G32" s="43"/>
      <c r="H32" s="43"/>
    </row>
    <row r="33" spans="1:8">
      <c r="A33" s="43"/>
      <c r="B33" s="43"/>
      <c r="C33" s="43"/>
      <c r="D33" s="43"/>
      <c r="E33" s="43"/>
      <c r="F33" s="43"/>
      <c r="G33" s="43"/>
      <c r="H33" s="43"/>
    </row>
    <row r="34" spans="1:8">
      <c r="A34" s="43"/>
      <c r="B34" s="43"/>
      <c r="C34" s="43"/>
      <c r="D34" s="43"/>
      <c r="E34" s="43"/>
      <c r="F34" s="43"/>
      <c r="G34" s="43"/>
      <c r="H34" s="43"/>
    </row>
    <row r="35" spans="1:8">
      <c r="A35" s="43"/>
      <c r="B35" s="43"/>
      <c r="C35" s="43"/>
      <c r="D35" s="43"/>
      <c r="E35" s="43"/>
      <c r="F35" s="43"/>
      <c r="G35" s="43"/>
      <c r="H35" s="43"/>
    </row>
    <row r="37" spans="1:8" ht="15">
      <c r="A37" s="42" t="s">
        <v>125</v>
      </c>
      <c r="B37" s="42"/>
      <c r="C37" s="42"/>
      <c r="D37" s="42"/>
      <c r="E37" s="42"/>
      <c r="F37" s="42"/>
      <c r="G37" s="42"/>
      <c r="H37" s="42"/>
    </row>
    <row r="38" spans="1:8">
      <c r="A38" s="43" t="s">
        <v>126</v>
      </c>
      <c r="B38" s="43"/>
      <c r="C38" s="43"/>
      <c r="D38" s="43"/>
      <c r="E38" s="43"/>
      <c r="F38" s="43"/>
      <c r="G38" s="43"/>
      <c r="H38" s="43"/>
    </row>
    <row r="39" spans="1:8">
      <c r="A39" s="43"/>
      <c r="B39" s="43"/>
      <c r="C39" s="43"/>
      <c r="D39" s="43"/>
      <c r="E39" s="43"/>
      <c r="F39" s="43"/>
      <c r="G39" s="43"/>
      <c r="H39" s="43"/>
    </row>
    <row r="40" spans="1:8">
      <c r="A40" s="43"/>
      <c r="B40" s="43"/>
      <c r="C40" s="43"/>
      <c r="D40" s="43"/>
      <c r="E40" s="43"/>
      <c r="F40" s="43"/>
      <c r="G40" s="43"/>
      <c r="H40" s="43"/>
    </row>
    <row r="41" spans="1:8">
      <c r="A41" s="43"/>
      <c r="B41" s="43"/>
      <c r="C41" s="43"/>
      <c r="D41" s="43"/>
      <c r="E41" s="43"/>
      <c r="F41" s="43"/>
      <c r="G41" s="43"/>
      <c r="H41" s="43"/>
    </row>
    <row r="42" spans="1:8">
      <c r="A42" s="43"/>
      <c r="B42" s="43"/>
      <c r="C42" s="43"/>
      <c r="D42" s="43"/>
      <c r="E42" s="43"/>
      <c r="F42" s="43"/>
      <c r="G42" s="43"/>
      <c r="H42" s="43"/>
    </row>
    <row r="43" spans="1:8">
      <c r="A43" s="43"/>
      <c r="B43" s="43"/>
      <c r="C43" s="43"/>
      <c r="D43" s="43"/>
      <c r="E43" s="43"/>
      <c r="F43" s="43"/>
      <c r="G43" s="43"/>
      <c r="H43" s="43"/>
    </row>
    <row r="44" spans="1:8">
      <c r="A44" s="43"/>
      <c r="B44" s="43"/>
      <c r="C44" s="43"/>
      <c r="D44" s="43"/>
      <c r="E44" s="43"/>
      <c r="F44" s="43"/>
      <c r="G44" s="43"/>
      <c r="H44" s="43"/>
    </row>
    <row r="45" spans="1:8">
      <c r="A45" s="43"/>
      <c r="B45" s="43"/>
      <c r="C45" s="43"/>
      <c r="D45" s="43"/>
      <c r="E45" s="43"/>
      <c r="F45" s="43"/>
      <c r="G45" s="43"/>
      <c r="H45" s="43"/>
    </row>
    <row r="47" spans="1:8" ht="15">
      <c r="A47" s="42" t="s">
        <v>127</v>
      </c>
      <c r="B47" s="42"/>
      <c r="C47" s="42"/>
      <c r="D47" s="42"/>
      <c r="E47" s="42"/>
      <c r="F47" s="42"/>
      <c r="G47" s="42"/>
      <c r="H47" s="42"/>
    </row>
    <row r="48" spans="1:8">
      <c r="A48" s="43" t="s">
        <v>128</v>
      </c>
      <c r="B48" s="43"/>
      <c r="C48" s="43"/>
      <c r="D48" s="43"/>
      <c r="E48" s="43"/>
      <c r="F48" s="43"/>
      <c r="G48" s="43"/>
      <c r="H48" s="43"/>
    </row>
    <row r="49" spans="1:8">
      <c r="A49" s="43"/>
      <c r="B49" s="43"/>
      <c r="C49" s="43"/>
      <c r="D49" s="43"/>
      <c r="E49" s="43"/>
      <c r="F49" s="43"/>
      <c r="G49" s="43"/>
      <c r="H49" s="43"/>
    </row>
    <row r="50" spans="1:8">
      <c r="A50" s="43"/>
      <c r="B50" s="43"/>
      <c r="C50" s="43"/>
      <c r="D50" s="43"/>
      <c r="E50" s="43"/>
      <c r="F50" s="43"/>
      <c r="G50" s="43"/>
      <c r="H50" s="43"/>
    </row>
    <row r="51" spans="1:8">
      <c r="A51" s="43"/>
      <c r="B51" s="43"/>
      <c r="C51" s="43"/>
      <c r="D51" s="43"/>
      <c r="E51" s="43"/>
      <c r="F51" s="43"/>
      <c r="G51" s="43"/>
      <c r="H51" s="43"/>
    </row>
    <row r="52" spans="1:8">
      <c r="A52" s="43"/>
      <c r="B52" s="43"/>
      <c r="C52" s="43"/>
      <c r="D52" s="43"/>
      <c r="E52" s="43"/>
      <c r="F52" s="43"/>
      <c r="G52" s="43"/>
      <c r="H52" s="43"/>
    </row>
    <row r="53" spans="1:8">
      <c r="A53" s="43"/>
      <c r="B53" s="43"/>
      <c r="C53" s="43"/>
      <c r="D53" s="43"/>
      <c r="E53" s="43"/>
      <c r="F53" s="43"/>
      <c r="G53" s="43"/>
      <c r="H53" s="43"/>
    </row>
    <row r="54" spans="1:8">
      <c r="A54" s="43"/>
      <c r="B54" s="43"/>
      <c r="C54" s="43"/>
      <c r="D54" s="43"/>
      <c r="E54" s="43"/>
      <c r="F54" s="43"/>
      <c r="G54" s="43"/>
      <c r="H54" s="43"/>
    </row>
    <row r="55" spans="1:8">
      <c r="A55" s="43"/>
      <c r="B55" s="43"/>
      <c r="C55" s="43"/>
      <c r="D55" s="43"/>
      <c r="E55" s="43"/>
      <c r="F55" s="43"/>
      <c r="G55" s="43"/>
      <c r="H55" s="43"/>
    </row>
    <row r="57" spans="1:8" ht="15">
      <c r="A57" s="42" t="s">
        <v>129</v>
      </c>
      <c r="B57" s="42"/>
      <c r="C57" s="42"/>
      <c r="D57" s="42"/>
      <c r="E57" s="42"/>
      <c r="F57" s="42"/>
      <c r="G57" s="42"/>
      <c r="H57" s="42"/>
    </row>
    <row r="58" spans="1:8">
      <c r="A58" s="43" t="s">
        <v>130</v>
      </c>
      <c r="B58" s="43"/>
      <c r="C58" s="43"/>
      <c r="D58" s="43"/>
      <c r="E58" s="43"/>
      <c r="F58" s="43"/>
      <c r="G58" s="43"/>
      <c r="H58" s="43"/>
    </row>
    <row r="59" spans="1:8">
      <c r="A59" s="43"/>
      <c r="B59" s="43"/>
      <c r="C59" s="43"/>
      <c r="D59" s="43"/>
      <c r="E59" s="43"/>
      <c r="F59" s="43"/>
      <c r="G59" s="43"/>
      <c r="H59" s="43"/>
    </row>
    <row r="60" spans="1:8">
      <c r="A60" s="43"/>
      <c r="B60" s="43"/>
      <c r="C60" s="43"/>
      <c r="D60" s="43"/>
      <c r="E60" s="43"/>
      <c r="F60" s="43"/>
      <c r="G60" s="43"/>
      <c r="H60" s="43"/>
    </row>
    <row r="61" spans="1:8">
      <c r="A61" s="43"/>
      <c r="B61" s="43"/>
      <c r="C61" s="43"/>
      <c r="D61" s="43"/>
      <c r="E61" s="43"/>
      <c r="F61" s="43"/>
      <c r="G61" s="43"/>
      <c r="H61" s="43"/>
    </row>
    <row r="62" spans="1:8">
      <c r="A62" s="43"/>
      <c r="B62" s="43"/>
      <c r="C62" s="43"/>
      <c r="D62" s="43"/>
      <c r="E62" s="43"/>
      <c r="F62" s="43"/>
      <c r="G62" s="43"/>
      <c r="H62" s="43"/>
    </row>
    <row r="63" spans="1:8">
      <c r="A63" s="43"/>
      <c r="B63" s="43"/>
      <c r="C63" s="43"/>
      <c r="D63" s="43"/>
      <c r="E63" s="43"/>
      <c r="F63" s="43"/>
      <c r="G63" s="43"/>
      <c r="H63" s="43"/>
    </row>
    <row r="64" spans="1:8">
      <c r="A64" s="43"/>
      <c r="B64" s="43"/>
      <c r="C64" s="43"/>
      <c r="D64" s="43"/>
      <c r="E64" s="43"/>
      <c r="F64" s="43"/>
      <c r="G64" s="43"/>
      <c r="H64" s="43"/>
    </row>
    <row r="65" spans="1:8">
      <c r="A65" s="43"/>
      <c r="B65" s="43"/>
      <c r="C65" s="43"/>
      <c r="D65" s="43"/>
      <c r="E65" s="43"/>
      <c r="F65" s="43"/>
      <c r="G65" s="43"/>
      <c r="H65" s="43"/>
    </row>
    <row r="66" spans="1:8">
      <c r="A66" s="43"/>
      <c r="B66" s="43"/>
      <c r="C66" s="43"/>
      <c r="D66" s="43"/>
      <c r="E66" s="43"/>
      <c r="F66" s="43"/>
      <c r="G66" s="43"/>
      <c r="H66" s="43"/>
    </row>
    <row r="67" spans="1:8">
      <c r="A67" s="43"/>
      <c r="B67" s="43"/>
      <c r="C67" s="43"/>
      <c r="D67" s="43"/>
      <c r="E67" s="43"/>
      <c r="F67" s="43"/>
      <c r="G67" s="43"/>
      <c r="H67" s="43"/>
    </row>
  </sheetData>
  <mergeCells count="14">
    <mergeCell ref="A47:H47"/>
    <mergeCell ref="A48:H55"/>
    <mergeCell ref="A57:H57"/>
    <mergeCell ref="A58:H67"/>
    <mergeCell ref="A18:H25"/>
    <mergeCell ref="A27:H27"/>
    <mergeCell ref="A28:H35"/>
    <mergeCell ref="A37:H37"/>
    <mergeCell ref="A38:H45"/>
    <mergeCell ref="A1:H2"/>
    <mergeCell ref="A4:H5"/>
    <mergeCell ref="A7:H7"/>
    <mergeCell ref="A8:H15"/>
    <mergeCell ref="A17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1"/>
  <sheetViews>
    <sheetView workbookViewId="0"/>
  </sheetViews>
  <sheetFormatPr baseColWidth="10" defaultColWidth="8.83203125" defaultRowHeight="14"/>
  <cols>
    <col min="1" max="5" width="16" customWidth="1"/>
    <col min="6" max="6" width="20" customWidth="1"/>
    <col min="7" max="7" width="22" customWidth="1"/>
    <col min="8" max="14" width="16" customWidth="1"/>
  </cols>
  <sheetData>
    <row r="1" spans="1:14" ht="15">
      <c r="A1" s="5" t="s">
        <v>131</v>
      </c>
      <c r="B1" s="5" t="s">
        <v>132</v>
      </c>
      <c r="C1" s="5" t="s">
        <v>133</v>
      </c>
      <c r="D1" s="5" t="s">
        <v>76</v>
      </c>
      <c r="E1" s="5" t="s">
        <v>46</v>
      </c>
      <c r="F1" s="5" t="s">
        <v>134</v>
      </c>
      <c r="G1" s="5" t="s">
        <v>83</v>
      </c>
      <c r="H1" s="5" t="s">
        <v>44</v>
      </c>
      <c r="I1" s="5" t="s">
        <v>135</v>
      </c>
      <c r="J1" s="5" t="s">
        <v>136</v>
      </c>
      <c r="K1" s="5" t="s">
        <v>137</v>
      </c>
      <c r="L1" s="5" t="s">
        <v>41</v>
      </c>
      <c r="M1" s="5" t="s">
        <v>138</v>
      </c>
      <c r="N1" s="5" t="s">
        <v>42</v>
      </c>
    </row>
    <row r="2" spans="1:14">
      <c r="A2" t="s">
        <v>139</v>
      </c>
      <c r="B2" s="6">
        <v>45985</v>
      </c>
      <c r="C2" t="s">
        <v>140</v>
      </c>
      <c r="D2" t="s">
        <v>78</v>
      </c>
      <c r="E2" t="s">
        <v>49</v>
      </c>
      <c r="F2" t="s">
        <v>60</v>
      </c>
      <c r="G2" t="s">
        <v>86</v>
      </c>
      <c r="H2" t="s">
        <v>48</v>
      </c>
      <c r="I2">
        <v>1</v>
      </c>
      <c r="J2" s="7">
        <v>34.99</v>
      </c>
      <c r="K2" s="8">
        <v>0</v>
      </c>
      <c r="L2" s="9">
        <v>34.99</v>
      </c>
      <c r="M2" s="9">
        <v>16</v>
      </c>
      <c r="N2" s="9">
        <v>18.990000000000002</v>
      </c>
    </row>
    <row r="3" spans="1:14">
      <c r="A3" t="s">
        <v>141</v>
      </c>
      <c r="B3" s="6">
        <v>45702</v>
      </c>
      <c r="C3" t="s">
        <v>142</v>
      </c>
      <c r="D3" t="s">
        <v>78</v>
      </c>
      <c r="E3" t="s">
        <v>49</v>
      </c>
      <c r="F3" t="s">
        <v>60</v>
      </c>
      <c r="G3" t="s">
        <v>94</v>
      </c>
      <c r="H3" t="s">
        <v>51</v>
      </c>
      <c r="I3">
        <v>1</v>
      </c>
      <c r="J3" s="7">
        <v>18</v>
      </c>
      <c r="K3" s="8">
        <v>0</v>
      </c>
      <c r="L3" s="9">
        <v>18</v>
      </c>
      <c r="M3" s="9">
        <v>5.5</v>
      </c>
      <c r="N3" s="9">
        <v>12.5</v>
      </c>
    </row>
    <row r="4" spans="1:14">
      <c r="A4" t="s">
        <v>143</v>
      </c>
      <c r="B4" s="6">
        <v>45759</v>
      </c>
      <c r="C4" t="s">
        <v>144</v>
      </c>
      <c r="D4" t="s">
        <v>78</v>
      </c>
      <c r="E4" t="s">
        <v>52</v>
      </c>
      <c r="F4" t="s">
        <v>59</v>
      </c>
      <c r="G4" t="s">
        <v>93</v>
      </c>
      <c r="H4" t="s">
        <v>54</v>
      </c>
      <c r="I4">
        <v>1</v>
      </c>
      <c r="J4" s="7">
        <v>68</v>
      </c>
      <c r="K4" s="8">
        <v>0</v>
      </c>
      <c r="L4" s="9">
        <v>68</v>
      </c>
      <c r="M4" s="9">
        <v>31</v>
      </c>
      <c r="N4" s="9">
        <v>37</v>
      </c>
    </row>
    <row r="5" spans="1:14">
      <c r="A5" t="s">
        <v>145</v>
      </c>
      <c r="B5" s="6">
        <v>45832</v>
      </c>
      <c r="C5" t="s">
        <v>146</v>
      </c>
      <c r="D5" t="s">
        <v>78</v>
      </c>
      <c r="E5" t="s">
        <v>58</v>
      </c>
      <c r="F5" t="s">
        <v>50</v>
      </c>
      <c r="G5" t="s">
        <v>89</v>
      </c>
      <c r="H5" t="s">
        <v>51</v>
      </c>
      <c r="I5">
        <v>1</v>
      </c>
      <c r="J5" s="7">
        <v>38</v>
      </c>
      <c r="K5" s="8">
        <v>0.2</v>
      </c>
      <c r="L5" s="9">
        <v>30.400000000000002</v>
      </c>
      <c r="M5" s="9">
        <v>17</v>
      </c>
      <c r="N5" s="9">
        <v>13.400000000000002</v>
      </c>
    </row>
    <row r="6" spans="1:14">
      <c r="A6" t="s">
        <v>147</v>
      </c>
      <c r="B6" s="6">
        <v>45841</v>
      </c>
      <c r="C6" t="s">
        <v>148</v>
      </c>
      <c r="D6" t="s">
        <v>79</v>
      </c>
      <c r="E6" t="s">
        <v>49</v>
      </c>
      <c r="F6" t="s">
        <v>59</v>
      </c>
      <c r="G6" t="s">
        <v>90</v>
      </c>
      <c r="H6" t="s">
        <v>54</v>
      </c>
      <c r="I6">
        <v>2</v>
      </c>
      <c r="J6" s="7">
        <v>29</v>
      </c>
      <c r="K6" s="8">
        <v>0.1</v>
      </c>
      <c r="L6" s="9">
        <v>52.2</v>
      </c>
      <c r="M6" s="9">
        <v>22</v>
      </c>
      <c r="N6" s="9">
        <v>30.200000000000003</v>
      </c>
    </row>
    <row r="7" spans="1:14">
      <c r="A7" t="s">
        <v>149</v>
      </c>
      <c r="B7" s="6">
        <v>45698</v>
      </c>
      <c r="C7" t="s">
        <v>150</v>
      </c>
      <c r="D7" t="s">
        <v>79</v>
      </c>
      <c r="E7" t="s">
        <v>52</v>
      </c>
      <c r="F7" t="s">
        <v>50</v>
      </c>
      <c r="G7" t="s">
        <v>93</v>
      </c>
      <c r="H7" t="s">
        <v>54</v>
      </c>
      <c r="I7">
        <v>1</v>
      </c>
      <c r="J7" s="7">
        <v>68</v>
      </c>
      <c r="K7" s="8">
        <v>0.05</v>
      </c>
      <c r="L7" s="9">
        <v>64.599999999999994</v>
      </c>
      <c r="M7" s="9">
        <v>31</v>
      </c>
      <c r="N7" s="9">
        <v>33.599999999999994</v>
      </c>
    </row>
    <row r="8" spans="1:14">
      <c r="A8" t="s">
        <v>151</v>
      </c>
      <c r="B8" s="6">
        <v>45681</v>
      </c>
      <c r="C8" t="s">
        <v>152</v>
      </c>
      <c r="D8" t="s">
        <v>79</v>
      </c>
      <c r="E8" t="s">
        <v>58</v>
      </c>
      <c r="F8" t="s">
        <v>56</v>
      </c>
      <c r="G8" t="s">
        <v>88</v>
      </c>
      <c r="H8" t="s">
        <v>51</v>
      </c>
      <c r="I8">
        <v>2</v>
      </c>
      <c r="J8" s="7">
        <v>42</v>
      </c>
      <c r="K8" s="8">
        <v>0.2</v>
      </c>
      <c r="L8" s="9">
        <v>67.2</v>
      </c>
      <c r="M8" s="9">
        <v>38</v>
      </c>
      <c r="N8" s="9">
        <v>29.200000000000003</v>
      </c>
    </row>
    <row r="9" spans="1:14">
      <c r="A9" t="s">
        <v>153</v>
      </c>
      <c r="B9" s="6">
        <v>45890</v>
      </c>
      <c r="C9" t="s">
        <v>154</v>
      </c>
      <c r="D9" t="s">
        <v>79</v>
      </c>
      <c r="E9" t="s">
        <v>52</v>
      </c>
      <c r="F9" t="s">
        <v>60</v>
      </c>
      <c r="G9" t="s">
        <v>90</v>
      </c>
      <c r="H9" t="s">
        <v>54</v>
      </c>
      <c r="I9">
        <v>1</v>
      </c>
      <c r="J9" s="7">
        <v>29</v>
      </c>
      <c r="K9" s="8">
        <v>0</v>
      </c>
      <c r="L9" s="9">
        <v>29</v>
      </c>
      <c r="M9" s="9">
        <v>11</v>
      </c>
      <c r="N9" s="9">
        <v>18</v>
      </c>
    </row>
    <row r="10" spans="1:14">
      <c r="A10" t="s">
        <v>155</v>
      </c>
      <c r="B10" s="6">
        <v>45783</v>
      </c>
      <c r="C10" t="s">
        <v>156</v>
      </c>
      <c r="D10" t="s">
        <v>79</v>
      </c>
      <c r="E10" t="s">
        <v>52</v>
      </c>
      <c r="F10" t="s">
        <v>56</v>
      </c>
      <c r="G10" t="s">
        <v>87</v>
      </c>
      <c r="H10" t="s">
        <v>48</v>
      </c>
      <c r="I10">
        <v>1</v>
      </c>
      <c r="J10" s="7">
        <v>89.99</v>
      </c>
      <c r="K10" s="8">
        <v>0</v>
      </c>
      <c r="L10" s="9">
        <v>89.99</v>
      </c>
      <c r="M10" s="9">
        <v>46</v>
      </c>
      <c r="N10" s="9">
        <v>43.989999999999995</v>
      </c>
    </row>
    <row r="11" spans="1:14">
      <c r="A11" t="s">
        <v>157</v>
      </c>
      <c r="B11" s="6">
        <v>45686</v>
      </c>
      <c r="C11" t="s">
        <v>158</v>
      </c>
      <c r="D11" t="s">
        <v>78</v>
      </c>
      <c r="E11" t="s">
        <v>52</v>
      </c>
      <c r="F11" t="s">
        <v>60</v>
      </c>
      <c r="G11" t="s">
        <v>88</v>
      </c>
      <c r="H11" t="s">
        <v>51</v>
      </c>
      <c r="I11">
        <v>2</v>
      </c>
      <c r="J11" s="7">
        <v>42</v>
      </c>
      <c r="K11" s="8">
        <v>0.1</v>
      </c>
      <c r="L11" s="9">
        <v>75.600000000000009</v>
      </c>
      <c r="M11" s="9">
        <v>38</v>
      </c>
      <c r="N11" s="9">
        <v>37.600000000000009</v>
      </c>
    </row>
    <row r="12" spans="1:14">
      <c r="A12" t="s">
        <v>159</v>
      </c>
      <c r="B12" s="6">
        <v>45819</v>
      </c>
      <c r="C12" t="s">
        <v>160</v>
      </c>
      <c r="D12" t="s">
        <v>79</v>
      </c>
      <c r="E12" t="s">
        <v>52</v>
      </c>
      <c r="F12" t="s">
        <v>56</v>
      </c>
      <c r="G12" t="s">
        <v>88</v>
      </c>
      <c r="H12" t="s">
        <v>51</v>
      </c>
      <c r="I12">
        <v>2</v>
      </c>
      <c r="J12" s="7">
        <v>42</v>
      </c>
      <c r="K12" s="8">
        <v>0</v>
      </c>
      <c r="L12" s="9">
        <v>84</v>
      </c>
      <c r="M12" s="9">
        <v>38</v>
      </c>
      <c r="N12" s="9">
        <v>46</v>
      </c>
    </row>
    <row r="13" spans="1:14">
      <c r="A13" t="s">
        <v>161</v>
      </c>
      <c r="B13" s="6">
        <v>45729</v>
      </c>
      <c r="C13" t="s">
        <v>162</v>
      </c>
      <c r="D13" t="s">
        <v>79</v>
      </c>
      <c r="E13" t="s">
        <v>58</v>
      </c>
      <c r="F13" t="s">
        <v>56</v>
      </c>
      <c r="G13" t="s">
        <v>88</v>
      </c>
      <c r="H13" t="s">
        <v>51</v>
      </c>
      <c r="I13">
        <v>2</v>
      </c>
      <c r="J13" s="7">
        <v>42</v>
      </c>
      <c r="K13" s="8">
        <v>0.05</v>
      </c>
      <c r="L13" s="9">
        <v>79.8</v>
      </c>
      <c r="M13" s="9">
        <v>38</v>
      </c>
      <c r="N13" s="9">
        <v>41.8</v>
      </c>
    </row>
    <row r="14" spans="1:14">
      <c r="A14" t="s">
        <v>163</v>
      </c>
      <c r="B14" s="6">
        <v>45770</v>
      </c>
      <c r="C14" t="s">
        <v>164</v>
      </c>
      <c r="D14" t="s">
        <v>78</v>
      </c>
      <c r="E14" t="s">
        <v>52</v>
      </c>
      <c r="F14" t="s">
        <v>53</v>
      </c>
      <c r="G14" t="s">
        <v>87</v>
      </c>
      <c r="H14" t="s">
        <v>48</v>
      </c>
      <c r="I14">
        <v>1</v>
      </c>
      <c r="J14" s="7">
        <v>89.99</v>
      </c>
      <c r="K14" s="8">
        <v>0</v>
      </c>
      <c r="L14" s="9">
        <v>89.99</v>
      </c>
      <c r="M14" s="9">
        <v>46</v>
      </c>
      <c r="N14" s="9">
        <v>43.989999999999995</v>
      </c>
    </row>
    <row r="15" spans="1:14">
      <c r="A15" t="s">
        <v>165</v>
      </c>
      <c r="B15" s="6">
        <v>46006</v>
      </c>
      <c r="C15" t="s">
        <v>166</v>
      </c>
      <c r="D15" t="s">
        <v>79</v>
      </c>
      <c r="E15" t="s">
        <v>55</v>
      </c>
      <c r="F15" t="s">
        <v>60</v>
      </c>
      <c r="G15" t="s">
        <v>91</v>
      </c>
      <c r="H15" t="s">
        <v>57</v>
      </c>
      <c r="I15">
        <v>1</v>
      </c>
      <c r="J15" s="7">
        <v>35</v>
      </c>
      <c r="K15" s="8">
        <v>0</v>
      </c>
      <c r="L15" s="9">
        <v>35</v>
      </c>
      <c r="M15" s="9">
        <v>14</v>
      </c>
      <c r="N15" s="9">
        <v>21</v>
      </c>
    </row>
    <row r="16" spans="1:14">
      <c r="A16" t="s">
        <v>167</v>
      </c>
      <c r="B16" s="6">
        <v>45663</v>
      </c>
      <c r="C16" t="s">
        <v>168</v>
      </c>
      <c r="D16" t="s">
        <v>78</v>
      </c>
      <c r="E16" t="s">
        <v>55</v>
      </c>
      <c r="F16" t="s">
        <v>50</v>
      </c>
      <c r="G16" t="s">
        <v>86</v>
      </c>
      <c r="H16" t="s">
        <v>48</v>
      </c>
      <c r="I16">
        <v>2</v>
      </c>
      <c r="J16" s="7">
        <v>34.99</v>
      </c>
      <c r="K16" s="8">
        <v>0.05</v>
      </c>
      <c r="L16" s="9">
        <v>66.480999999999995</v>
      </c>
      <c r="M16" s="9">
        <v>32</v>
      </c>
      <c r="N16" s="9">
        <v>34.480999999999995</v>
      </c>
    </row>
    <row r="17" spans="1:14">
      <c r="A17" t="s">
        <v>169</v>
      </c>
      <c r="B17" s="6">
        <v>45808</v>
      </c>
      <c r="C17" t="s">
        <v>170</v>
      </c>
      <c r="D17" t="s">
        <v>79</v>
      </c>
      <c r="E17" t="s">
        <v>52</v>
      </c>
      <c r="F17" t="s">
        <v>60</v>
      </c>
      <c r="G17" t="s">
        <v>91</v>
      </c>
      <c r="H17" t="s">
        <v>57</v>
      </c>
      <c r="I17">
        <v>1</v>
      </c>
      <c r="J17" s="7">
        <v>35</v>
      </c>
      <c r="K17" s="8">
        <v>0</v>
      </c>
      <c r="L17" s="9">
        <v>35</v>
      </c>
      <c r="M17" s="9">
        <v>14</v>
      </c>
      <c r="N17" s="9">
        <v>21</v>
      </c>
    </row>
    <row r="18" spans="1:14">
      <c r="A18" t="s">
        <v>171</v>
      </c>
      <c r="B18" s="6">
        <v>45712</v>
      </c>
      <c r="C18" t="s">
        <v>172</v>
      </c>
      <c r="D18" t="s">
        <v>78</v>
      </c>
      <c r="E18" t="s">
        <v>52</v>
      </c>
      <c r="F18" t="s">
        <v>60</v>
      </c>
      <c r="G18" t="s">
        <v>89</v>
      </c>
      <c r="H18" t="s">
        <v>51</v>
      </c>
      <c r="I18">
        <v>2</v>
      </c>
      <c r="J18" s="7">
        <v>38</v>
      </c>
      <c r="K18" s="8">
        <v>0.05</v>
      </c>
      <c r="L18" s="9">
        <v>72.2</v>
      </c>
      <c r="M18" s="9">
        <v>34</v>
      </c>
      <c r="N18" s="9">
        <v>38.200000000000003</v>
      </c>
    </row>
    <row r="19" spans="1:14">
      <c r="A19" t="s">
        <v>173</v>
      </c>
      <c r="B19" s="6">
        <v>45929</v>
      </c>
      <c r="C19" t="s">
        <v>174</v>
      </c>
      <c r="D19" t="s">
        <v>78</v>
      </c>
      <c r="E19" t="s">
        <v>55</v>
      </c>
      <c r="F19" t="s">
        <v>53</v>
      </c>
      <c r="G19" t="s">
        <v>85</v>
      </c>
      <c r="H19" t="s">
        <v>48</v>
      </c>
      <c r="I19">
        <v>1</v>
      </c>
      <c r="J19" s="7">
        <v>59.99</v>
      </c>
      <c r="K19" s="8">
        <v>0.05</v>
      </c>
      <c r="L19" s="9">
        <v>56.990499999999997</v>
      </c>
      <c r="M19" s="9">
        <v>28</v>
      </c>
      <c r="N19" s="9">
        <v>28.990499999999997</v>
      </c>
    </row>
    <row r="20" spans="1:14">
      <c r="A20" t="s">
        <v>175</v>
      </c>
      <c r="B20" s="6">
        <v>45687</v>
      </c>
      <c r="C20" t="s">
        <v>176</v>
      </c>
      <c r="D20" t="s">
        <v>78</v>
      </c>
      <c r="E20" t="s">
        <v>49</v>
      </c>
      <c r="F20" t="s">
        <v>60</v>
      </c>
      <c r="G20" t="s">
        <v>88</v>
      </c>
      <c r="H20" t="s">
        <v>51</v>
      </c>
      <c r="I20">
        <v>3</v>
      </c>
      <c r="J20" s="7">
        <v>42</v>
      </c>
      <c r="K20" s="8">
        <v>0.2</v>
      </c>
      <c r="L20" s="9">
        <v>100.80000000000001</v>
      </c>
      <c r="M20" s="9">
        <v>57</v>
      </c>
      <c r="N20" s="9">
        <v>43.800000000000011</v>
      </c>
    </row>
    <row r="21" spans="1:14">
      <c r="A21" t="s">
        <v>177</v>
      </c>
      <c r="B21" s="6">
        <v>45722</v>
      </c>
      <c r="C21" t="s">
        <v>178</v>
      </c>
      <c r="D21" t="s">
        <v>78</v>
      </c>
      <c r="E21" t="s">
        <v>58</v>
      </c>
      <c r="F21" t="s">
        <v>53</v>
      </c>
      <c r="G21" t="s">
        <v>87</v>
      </c>
      <c r="H21" t="s">
        <v>48</v>
      </c>
      <c r="I21">
        <v>2</v>
      </c>
      <c r="J21" s="7">
        <v>89.99</v>
      </c>
      <c r="K21" s="8">
        <v>0.2</v>
      </c>
      <c r="L21" s="9">
        <v>143.98400000000001</v>
      </c>
      <c r="M21" s="9">
        <v>92</v>
      </c>
      <c r="N21" s="9">
        <v>51.984000000000009</v>
      </c>
    </row>
    <row r="22" spans="1:14">
      <c r="A22" t="s">
        <v>179</v>
      </c>
      <c r="B22" s="6">
        <v>45934</v>
      </c>
      <c r="C22" t="s">
        <v>180</v>
      </c>
      <c r="D22" t="s">
        <v>79</v>
      </c>
      <c r="E22" t="s">
        <v>58</v>
      </c>
      <c r="F22" t="s">
        <v>60</v>
      </c>
      <c r="G22" t="s">
        <v>88</v>
      </c>
      <c r="H22" t="s">
        <v>51</v>
      </c>
      <c r="I22">
        <v>2</v>
      </c>
      <c r="J22" s="7">
        <v>42</v>
      </c>
      <c r="K22" s="8">
        <v>0</v>
      </c>
      <c r="L22" s="9">
        <v>84</v>
      </c>
      <c r="M22" s="9">
        <v>38</v>
      </c>
      <c r="N22" s="9">
        <v>46</v>
      </c>
    </row>
    <row r="23" spans="1:14">
      <c r="A23" t="s">
        <v>181</v>
      </c>
      <c r="B23" s="6">
        <v>45889</v>
      </c>
      <c r="C23" t="s">
        <v>182</v>
      </c>
      <c r="D23" t="s">
        <v>78</v>
      </c>
      <c r="E23" t="s">
        <v>52</v>
      </c>
      <c r="F23" t="s">
        <v>60</v>
      </c>
      <c r="G23" t="s">
        <v>86</v>
      </c>
      <c r="H23" t="s">
        <v>48</v>
      </c>
      <c r="I23">
        <v>1</v>
      </c>
      <c r="J23" s="7">
        <v>34.99</v>
      </c>
      <c r="K23" s="8">
        <v>0</v>
      </c>
      <c r="L23" s="9">
        <v>34.99</v>
      </c>
      <c r="M23" s="9">
        <v>16</v>
      </c>
      <c r="N23" s="9">
        <v>18.990000000000002</v>
      </c>
    </row>
    <row r="24" spans="1:14">
      <c r="A24" t="s">
        <v>183</v>
      </c>
      <c r="B24" s="6">
        <v>45770</v>
      </c>
      <c r="C24" t="s">
        <v>184</v>
      </c>
      <c r="D24" t="s">
        <v>78</v>
      </c>
      <c r="E24" t="s">
        <v>55</v>
      </c>
      <c r="F24" t="s">
        <v>50</v>
      </c>
      <c r="G24" t="s">
        <v>85</v>
      </c>
      <c r="H24" t="s">
        <v>48</v>
      </c>
      <c r="I24">
        <v>1</v>
      </c>
      <c r="J24" s="7">
        <v>59.99</v>
      </c>
      <c r="K24" s="8">
        <v>0.05</v>
      </c>
      <c r="L24" s="9">
        <v>56.990499999999997</v>
      </c>
      <c r="M24" s="9">
        <v>28</v>
      </c>
      <c r="N24" s="9">
        <v>28.990499999999997</v>
      </c>
    </row>
    <row r="25" spans="1:14">
      <c r="A25" t="s">
        <v>185</v>
      </c>
      <c r="B25" s="6">
        <v>45921</v>
      </c>
      <c r="C25" t="s">
        <v>186</v>
      </c>
      <c r="D25" t="s">
        <v>78</v>
      </c>
      <c r="E25" t="s">
        <v>58</v>
      </c>
      <c r="F25" t="s">
        <v>53</v>
      </c>
      <c r="G25" t="s">
        <v>88</v>
      </c>
      <c r="H25" t="s">
        <v>51</v>
      </c>
      <c r="I25">
        <v>1</v>
      </c>
      <c r="J25" s="7">
        <v>42</v>
      </c>
      <c r="K25" s="8">
        <v>0.05</v>
      </c>
      <c r="L25" s="9">
        <v>39.9</v>
      </c>
      <c r="M25" s="9">
        <v>19</v>
      </c>
      <c r="N25" s="9">
        <v>20.9</v>
      </c>
    </row>
    <row r="26" spans="1:14">
      <c r="A26" t="s">
        <v>187</v>
      </c>
      <c r="B26" s="6">
        <v>45900</v>
      </c>
      <c r="C26" t="s">
        <v>188</v>
      </c>
      <c r="D26" t="s">
        <v>78</v>
      </c>
      <c r="E26" t="s">
        <v>58</v>
      </c>
      <c r="F26" t="s">
        <v>59</v>
      </c>
      <c r="G26" t="s">
        <v>91</v>
      </c>
      <c r="H26" t="s">
        <v>57</v>
      </c>
      <c r="I26">
        <v>1</v>
      </c>
      <c r="J26" s="7">
        <v>35</v>
      </c>
      <c r="K26" s="8">
        <v>0</v>
      </c>
      <c r="L26" s="9">
        <v>35</v>
      </c>
      <c r="M26" s="9">
        <v>14</v>
      </c>
      <c r="N26" s="9">
        <v>21</v>
      </c>
    </row>
    <row r="27" spans="1:14">
      <c r="A27" t="s">
        <v>189</v>
      </c>
      <c r="B27" s="6">
        <v>45685</v>
      </c>
      <c r="C27" t="s">
        <v>190</v>
      </c>
      <c r="D27" t="s">
        <v>79</v>
      </c>
      <c r="E27" t="s">
        <v>52</v>
      </c>
      <c r="F27" t="s">
        <v>53</v>
      </c>
      <c r="G27" t="s">
        <v>86</v>
      </c>
      <c r="H27" t="s">
        <v>48</v>
      </c>
      <c r="I27">
        <v>1</v>
      </c>
      <c r="J27" s="7">
        <v>34.99</v>
      </c>
      <c r="K27" s="8">
        <v>0.1</v>
      </c>
      <c r="L27" s="9">
        <v>31.491000000000003</v>
      </c>
      <c r="M27" s="9">
        <v>16</v>
      </c>
      <c r="N27" s="9">
        <v>15.491000000000003</v>
      </c>
    </row>
    <row r="28" spans="1:14">
      <c r="A28" t="s">
        <v>191</v>
      </c>
      <c r="B28" s="6">
        <v>45755</v>
      </c>
      <c r="C28" t="s">
        <v>192</v>
      </c>
      <c r="D28" t="s">
        <v>78</v>
      </c>
      <c r="E28" t="s">
        <v>49</v>
      </c>
      <c r="F28" t="s">
        <v>59</v>
      </c>
      <c r="G28" t="s">
        <v>93</v>
      </c>
      <c r="H28" t="s">
        <v>54</v>
      </c>
      <c r="I28">
        <v>1</v>
      </c>
      <c r="J28" s="7">
        <v>68</v>
      </c>
      <c r="K28" s="8">
        <v>0</v>
      </c>
      <c r="L28" s="9">
        <v>68</v>
      </c>
      <c r="M28" s="9">
        <v>31</v>
      </c>
      <c r="N28" s="9">
        <v>37</v>
      </c>
    </row>
    <row r="29" spans="1:14">
      <c r="A29" t="s">
        <v>193</v>
      </c>
      <c r="B29" s="6">
        <v>45939</v>
      </c>
      <c r="C29" t="s">
        <v>194</v>
      </c>
      <c r="D29" t="s">
        <v>79</v>
      </c>
      <c r="E29" t="s">
        <v>52</v>
      </c>
      <c r="F29" t="s">
        <v>53</v>
      </c>
      <c r="G29" t="s">
        <v>86</v>
      </c>
      <c r="H29" t="s">
        <v>48</v>
      </c>
      <c r="I29">
        <v>1</v>
      </c>
      <c r="J29" s="7">
        <v>34.99</v>
      </c>
      <c r="K29" s="8">
        <v>0.2</v>
      </c>
      <c r="L29" s="9">
        <v>27.992000000000004</v>
      </c>
      <c r="M29" s="9">
        <v>16</v>
      </c>
      <c r="N29" s="9">
        <v>11.992000000000004</v>
      </c>
    </row>
    <row r="30" spans="1:14">
      <c r="A30" t="s">
        <v>195</v>
      </c>
      <c r="B30" s="6">
        <v>45866</v>
      </c>
      <c r="C30" t="s">
        <v>196</v>
      </c>
      <c r="D30" t="s">
        <v>79</v>
      </c>
      <c r="E30" t="s">
        <v>58</v>
      </c>
      <c r="F30" t="s">
        <v>50</v>
      </c>
      <c r="G30" t="s">
        <v>92</v>
      </c>
      <c r="H30" t="s">
        <v>57</v>
      </c>
      <c r="I30">
        <v>1</v>
      </c>
      <c r="J30" s="7">
        <v>22</v>
      </c>
      <c r="K30" s="8">
        <v>0.15</v>
      </c>
      <c r="L30" s="9">
        <v>18.7</v>
      </c>
      <c r="M30" s="9">
        <v>7.5</v>
      </c>
      <c r="N30" s="9">
        <v>11.2</v>
      </c>
    </row>
    <row r="31" spans="1:14">
      <c r="A31" t="s">
        <v>197</v>
      </c>
      <c r="B31" s="6">
        <v>45857</v>
      </c>
      <c r="C31" t="s">
        <v>198</v>
      </c>
      <c r="D31" t="s">
        <v>78</v>
      </c>
      <c r="E31" t="s">
        <v>58</v>
      </c>
      <c r="F31" t="s">
        <v>53</v>
      </c>
      <c r="G31" t="s">
        <v>89</v>
      </c>
      <c r="H31" t="s">
        <v>51</v>
      </c>
      <c r="I31">
        <v>3</v>
      </c>
      <c r="J31" s="7">
        <v>38</v>
      </c>
      <c r="K31" s="8">
        <v>0.1</v>
      </c>
      <c r="L31" s="9">
        <v>102.60000000000001</v>
      </c>
      <c r="M31" s="9">
        <v>51</v>
      </c>
      <c r="N31" s="9">
        <v>51.600000000000009</v>
      </c>
    </row>
    <row r="32" spans="1:14">
      <c r="A32" t="s">
        <v>199</v>
      </c>
      <c r="B32" s="6">
        <v>45755</v>
      </c>
      <c r="C32" t="s">
        <v>200</v>
      </c>
      <c r="D32" t="s">
        <v>79</v>
      </c>
      <c r="E32" t="s">
        <v>55</v>
      </c>
      <c r="F32" t="s">
        <v>50</v>
      </c>
      <c r="G32" t="s">
        <v>89</v>
      </c>
      <c r="H32" t="s">
        <v>51</v>
      </c>
      <c r="I32">
        <v>1</v>
      </c>
      <c r="J32" s="7">
        <v>38</v>
      </c>
      <c r="K32" s="8">
        <v>0</v>
      </c>
      <c r="L32" s="9">
        <v>38</v>
      </c>
      <c r="M32" s="9">
        <v>17</v>
      </c>
      <c r="N32" s="9">
        <v>21</v>
      </c>
    </row>
    <row r="33" spans="1:14">
      <c r="A33" t="s">
        <v>201</v>
      </c>
      <c r="B33" s="6">
        <v>45683</v>
      </c>
      <c r="C33" t="s">
        <v>202</v>
      </c>
      <c r="D33" t="s">
        <v>78</v>
      </c>
      <c r="E33" t="s">
        <v>49</v>
      </c>
      <c r="F33" t="s">
        <v>53</v>
      </c>
      <c r="G33" t="s">
        <v>94</v>
      </c>
      <c r="H33" t="s">
        <v>51</v>
      </c>
      <c r="I33">
        <v>1</v>
      </c>
      <c r="J33" s="7">
        <v>18</v>
      </c>
      <c r="K33" s="8">
        <v>0.15</v>
      </c>
      <c r="L33" s="9">
        <v>15.299999999999999</v>
      </c>
      <c r="M33" s="9">
        <v>5.5</v>
      </c>
      <c r="N33" s="9">
        <v>9.7999999999999989</v>
      </c>
    </row>
    <row r="34" spans="1:14">
      <c r="A34" t="s">
        <v>203</v>
      </c>
      <c r="B34" s="6">
        <v>45693</v>
      </c>
      <c r="C34" t="s">
        <v>204</v>
      </c>
      <c r="D34" t="s">
        <v>78</v>
      </c>
      <c r="E34" t="s">
        <v>52</v>
      </c>
      <c r="F34" t="s">
        <v>60</v>
      </c>
      <c r="G34" t="s">
        <v>94</v>
      </c>
      <c r="H34" t="s">
        <v>51</v>
      </c>
      <c r="I34">
        <v>1</v>
      </c>
      <c r="J34" s="7">
        <v>18</v>
      </c>
      <c r="K34" s="8">
        <v>0.15</v>
      </c>
      <c r="L34" s="9">
        <v>15.299999999999999</v>
      </c>
      <c r="M34" s="9">
        <v>5.5</v>
      </c>
      <c r="N34" s="9">
        <v>9.7999999999999989</v>
      </c>
    </row>
    <row r="35" spans="1:14">
      <c r="A35" t="s">
        <v>205</v>
      </c>
      <c r="B35" s="6">
        <v>45962</v>
      </c>
      <c r="C35" t="s">
        <v>206</v>
      </c>
      <c r="D35" t="s">
        <v>79</v>
      </c>
      <c r="E35" t="s">
        <v>55</v>
      </c>
      <c r="F35" t="s">
        <v>56</v>
      </c>
      <c r="G35" t="s">
        <v>85</v>
      </c>
      <c r="H35" t="s">
        <v>48</v>
      </c>
      <c r="I35">
        <v>2</v>
      </c>
      <c r="J35" s="7">
        <v>59.99</v>
      </c>
      <c r="K35" s="8">
        <v>0</v>
      </c>
      <c r="L35" s="9">
        <v>119.98</v>
      </c>
      <c r="M35" s="9">
        <v>56</v>
      </c>
      <c r="N35" s="9">
        <v>63.980000000000004</v>
      </c>
    </row>
    <row r="36" spans="1:14">
      <c r="A36" t="s">
        <v>207</v>
      </c>
      <c r="B36" s="6">
        <v>45762</v>
      </c>
      <c r="C36" t="s">
        <v>208</v>
      </c>
      <c r="D36" t="s">
        <v>79</v>
      </c>
      <c r="E36" t="s">
        <v>58</v>
      </c>
      <c r="F36" t="s">
        <v>56</v>
      </c>
      <c r="G36" t="s">
        <v>90</v>
      </c>
      <c r="H36" t="s">
        <v>54</v>
      </c>
      <c r="I36">
        <v>1</v>
      </c>
      <c r="J36" s="7">
        <v>29</v>
      </c>
      <c r="K36" s="8">
        <v>0</v>
      </c>
      <c r="L36" s="9">
        <v>29</v>
      </c>
      <c r="M36" s="9">
        <v>11</v>
      </c>
      <c r="N36" s="9">
        <v>18</v>
      </c>
    </row>
    <row r="37" spans="1:14">
      <c r="A37" t="s">
        <v>209</v>
      </c>
      <c r="B37" s="6">
        <v>45695</v>
      </c>
      <c r="C37" t="s">
        <v>154</v>
      </c>
      <c r="D37" t="s">
        <v>79</v>
      </c>
      <c r="E37" t="s">
        <v>52</v>
      </c>
      <c r="F37" t="s">
        <v>60</v>
      </c>
      <c r="G37" t="s">
        <v>85</v>
      </c>
      <c r="H37" t="s">
        <v>48</v>
      </c>
      <c r="I37">
        <v>1</v>
      </c>
      <c r="J37" s="7">
        <v>59.99</v>
      </c>
      <c r="K37" s="8">
        <v>0.2</v>
      </c>
      <c r="L37" s="9">
        <v>47.992000000000004</v>
      </c>
      <c r="M37" s="9">
        <v>28</v>
      </c>
      <c r="N37" s="9">
        <v>19.992000000000004</v>
      </c>
    </row>
    <row r="38" spans="1:14">
      <c r="A38" t="s">
        <v>210</v>
      </c>
      <c r="B38" s="6">
        <v>45793</v>
      </c>
      <c r="C38" t="s">
        <v>211</v>
      </c>
      <c r="D38" t="s">
        <v>79</v>
      </c>
      <c r="E38" t="s">
        <v>55</v>
      </c>
      <c r="F38" t="s">
        <v>53</v>
      </c>
      <c r="G38" t="s">
        <v>87</v>
      </c>
      <c r="H38" t="s">
        <v>48</v>
      </c>
      <c r="I38">
        <v>3</v>
      </c>
      <c r="J38" s="7">
        <v>89.99</v>
      </c>
      <c r="K38" s="8">
        <v>0.15</v>
      </c>
      <c r="L38" s="9">
        <v>229.47449999999998</v>
      </c>
      <c r="M38" s="9">
        <v>138</v>
      </c>
      <c r="N38" s="9">
        <v>91.474499999999978</v>
      </c>
    </row>
    <row r="39" spans="1:14">
      <c r="A39" t="s">
        <v>212</v>
      </c>
      <c r="B39" s="6">
        <v>45882</v>
      </c>
      <c r="C39" t="s">
        <v>213</v>
      </c>
      <c r="D39" t="s">
        <v>79</v>
      </c>
      <c r="E39" t="s">
        <v>49</v>
      </c>
      <c r="F39" t="s">
        <v>60</v>
      </c>
      <c r="G39" t="s">
        <v>93</v>
      </c>
      <c r="H39" t="s">
        <v>54</v>
      </c>
      <c r="I39">
        <v>2</v>
      </c>
      <c r="J39" s="7">
        <v>68</v>
      </c>
      <c r="K39" s="8">
        <v>0.05</v>
      </c>
      <c r="L39" s="9">
        <v>129.19999999999999</v>
      </c>
      <c r="M39" s="9">
        <v>62</v>
      </c>
      <c r="N39" s="9">
        <v>67.199999999999989</v>
      </c>
    </row>
    <row r="40" spans="1:14">
      <c r="A40" t="s">
        <v>214</v>
      </c>
      <c r="B40" s="6">
        <v>45811</v>
      </c>
      <c r="C40" t="s">
        <v>215</v>
      </c>
      <c r="D40" t="s">
        <v>78</v>
      </c>
      <c r="E40" t="s">
        <v>52</v>
      </c>
      <c r="F40" t="s">
        <v>56</v>
      </c>
      <c r="G40" t="s">
        <v>86</v>
      </c>
      <c r="H40" t="s">
        <v>48</v>
      </c>
      <c r="I40">
        <v>3</v>
      </c>
      <c r="J40" s="7">
        <v>34.99</v>
      </c>
      <c r="K40" s="8">
        <v>0</v>
      </c>
      <c r="L40" s="9">
        <v>104.97</v>
      </c>
      <c r="M40" s="9">
        <v>48</v>
      </c>
      <c r="N40" s="9">
        <v>56.97</v>
      </c>
    </row>
    <row r="41" spans="1:14">
      <c r="A41" t="s">
        <v>216</v>
      </c>
      <c r="B41" s="6">
        <v>45802</v>
      </c>
      <c r="C41" t="s">
        <v>170</v>
      </c>
      <c r="D41" t="s">
        <v>79</v>
      </c>
      <c r="E41" t="s">
        <v>58</v>
      </c>
      <c r="F41" t="s">
        <v>56</v>
      </c>
      <c r="G41" t="s">
        <v>94</v>
      </c>
      <c r="H41" t="s">
        <v>51</v>
      </c>
      <c r="I41">
        <v>1</v>
      </c>
      <c r="J41" s="7">
        <v>18</v>
      </c>
      <c r="K41" s="8">
        <v>0</v>
      </c>
      <c r="L41" s="9">
        <v>18</v>
      </c>
      <c r="M41" s="9">
        <v>5.5</v>
      </c>
      <c r="N41" s="9">
        <v>12.5</v>
      </c>
    </row>
    <row r="42" spans="1:14">
      <c r="A42" t="s">
        <v>217</v>
      </c>
      <c r="B42" s="6">
        <v>45684</v>
      </c>
      <c r="C42" t="s">
        <v>218</v>
      </c>
      <c r="D42" t="s">
        <v>78</v>
      </c>
      <c r="E42" t="s">
        <v>52</v>
      </c>
      <c r="F42" t="s">
        <v>56</v>
      </c>
      <c r="G42" t="s">
        <v>86</v>
      </c>
      <c r="H42" t="s">
        <v>48</v>
      </c>
      <c r="I42">
        <v>2</v>
      </c>
      <c r="J42" s="7">
        <v>34.99</v>
      </c>
      <c r="K42" s="8">
        <v>0.1</v>
      </c>
      <c r="L42" s="9">
        <v>62.982000000000006</v>
      </c>
      <c r="M42" s="9">
        <v>32</v>
      </c>
      <c r="N42" s="9">
        <v>30.982000000000006</v>
      </c>
    </row>
    <row r="43" spans="1:14">
      <c r="A43" t="s">
        <v>219</v>
      </c>
      <c r="B43" s="6">
        <v>45740</v>
      </c>
      <c r="C43" t="s">
        <v>220</v>
      </c>
      <c r="D43" t="s">
        <v>78</v>
      </c>
      <c r="E43" t="s">
        <v>52</v>
      </c>
      <c r="F43" t="s">
        <v>60</v>
      </c>
      <c r="G43" t="s">
        <v>92</v>
      </c>
      <c r="H43" t="s">
        <v>57</v>
      </c>
      <c r="I43">
        <v>1</v>
      </c>
      <c r="J43" s="7">
        <v>22</v>
      </c>
      <c r="K43" s="8">
        <v>0</v>
      </c>
      <c r="L43" s="9">
        <v>22</v>
      </c>
      <c r="M43" s="9">
        <v>7.5</v>
      </c>
      <c r="N43" s="9">
        <v>14.5</v>
      </c>
    </row>
    <row r="44" spans="1:14">
      <c r="A44" t="s">
        <v>221</v>
      </c>
      <c r="B44" s="6">
        <v>45676</v>
      </c>
      <c r="C44" t="s">
        <v>222</v>
      </c>
      <c r="D44" t="s">
        <v>78</v>
      </c>
      <c r="E44" t="s">
        <v>55</v>
      </c>
      <c r="F44" t="s">
        <v>50</v>
      </c>
      <c r="G44" t="s">
        <v>90</v>
      </c>
      <c r="H44" t="s">
        <v>54</v>
      </c>
      <c r="I44">
        <v>1</v>
      </c>
      <c r="J44" s="7">
        <v>29</v>
      </c>
      <c r="K44" s="8">
        <v>0</v>
      </c>
      <c r="L44" s="9">
        <v>29</v>
      </c>
      <c r="M44" s="9">
        <v>11</v>
      </c>
      <c r="N44" s="9">
        <v>18</v>
      </c>
    </row>
    <row r="45" spans="1:14">
      <c r="A45" t="s">
        <v>223</v>
      </c>
      <c r="B45" s="6">
        <v>45841</v>
      </c>
      <c r="C45" t="s">
        <v>224</v>
      </c>
      <c r="D45" t="s">
        <v>78</v>
      </c>
      <c r="E45" t="s">
        <v>58</v>
      </c>
      <c r="F45" t="s">
        <v>60</v>
      </c>
      <c r="G45" t="s">
        <v>88</v>
      </c>
      <c r="H45" t="s">
        <v>51</v>
      </c>
      <c r="I45">
        <v>2</v>
      </c>
      <c r="J45" s="7">
        <v>42</v>
      </c>
      <c r="K45" s="8">
        <v>0.1</v>
      </c>
      <c r="L45" s="9">
        <v>75.600000000000009</v>
      </c>
      <c r="M45" s="9">
        <v>38</v>
      </c>
      <c r="N45" s="9">
        <v>37.600000000000009</v>
      </c>
    </row>
    <row r="46" spans="1:14">
      <c r="A46" t="s">
        <v>225</v>
      </c>
      <c r="B46" s="6">
        <v>45737</v>
      </c>
      <c r="C46" t="s">
        <v>226</v>
      </c>
      <c r="D46" t="s">
        <v>79</v>
      </c>
      <c r="E46" t="s">
        <v>49</v>
      </c>
      <c r="F46" t="s">
        <v>53</v>
      </c>
      <c r="G46" t="s">
        <v>88</v>
      </c>
      <c r="H46" t="s">
        <v>51</v>
      </c>
      <c r="I46">
        <v>3</v>
      </c>
      <c r="J46" s="7">
        <v>42</v>
      </c>
      <c r="K46" s="8">
        <v>0.2</v>
      </c>
      <c r="L46" s="9">
        <v>100.80000000000001</v>
      </c>
      <c r="M46" s="9">
        <v>57</v>
      </c>
      <c r="N46" s="9">
        <v>43.800000000000011</v>
      </c>
    </row>
    <row r="47" spans="1:14">
      <c r="A47" t="s">
        <v>227</v>
      </c>
      <c r="B47" s="6">
        <v>45828</v>
      </c>
      <c r="C47" t="s">
        <v>228</v>
      </c>
      <c r="D47" t="s">
        <v>79</v>
      </c>
      <c r="E47" t="s">
        <v>52</v>
      </c>
      <c r="F47" t="s">
        <v>50</v>
      </c>
      <c r="G47" t="s">
        <v>91</v>
      </c>
      <c r="H47" t="s">
        <v>57</v>
      </c>
      <c r="I47">
        <v>2</v>
      </c>
      <c r="J47" s="7">
        <v>35</v>
      </c>
      <c r="K47" s="8">
        <v>0.15</v>
      </c>
      <c r="L47" s="9">
        <v>59.5</v>
      </c>
      <c r="M47" s="9">
        <v>28</v>
      </c>
      <c r="N47" s="9">
        <v>31.5</v>
      </c>
    </row>
    <row r="48" spans="1:14">
      <c r="A48" t="s">
        <v>229</v>
      </c>
      <c r="B48" s="6">
        <v>45853</v>
      </c>
      <c r="C48" t="s">
        <v>160</v>
      </c>
      <c r="D48" t="s">
        <v>79</v>
      </c>
      <c r="E48" t="s">
        <v>55</v>
      </c>
      <c r="F48" t="s">
        <v>56</v>
      </c>
      <c r="G48" t="s">
        <v>85</v>
      </c>
      <c r="H48" t="s">
        <v>48</v>
      </c>
      <c r="I48">
        <v>3</v>
      </c>
      <c r="J48" s="7">
        <v>59.99</v>
      </c>
      <c r="K48" s="8">
        <v>0</v>
      </c>
      <c r="L48" s="9">
        <v>179.97</v>
      </c>
      <c r="M48" s="9">
        <v>84</v>
      </c>
      <c r="N48" s="9">
        <v>95.97</v>
      </c>
    </row>
    <row r="49" spans="1:14">
      <c r="A49" t="s">
        <v>230</v>
      </c>
      <c r="B49" s="6">
        <v>45774</v>
      </c>
      <c r="C49" t="s">
        <v>231</v>
      </c>
      <c r="D49" t="s">
        <v>78</v>
      </c>
      <c r="E49" t="s">
        <v>55</v>
      </c>
      <c r="F49" t="s">
        <v>56</v>
      </c>
      <c r="G49" t="s">
        <v>88</v>
      </c>
      <c r="H49" t="s">
        <v>51</v>
      </c>
      <c r="I49">
        <v>1</v>
      </c>
      <c r="J49" s="7">
        <v>42</v>
      </c>
      <c r="K49" s="8">
        <v>0</v>
      </c>
      <c r="L49" s="9">
        <v>42</v>
      </c>
      <c r="M49" s="9">
        <v>19</v>
      </c>
      <c r="N49" s="9">
        <v>23</v>
      </c>
    </row>
    <row r="50" spans="1:14">
      <c r="A50" t="s">
        <v>232</v>
      </c>
      <c r="B50" s="6">
        <v>45986</v>
      </c>
      <c r="C50" t="s">
        <v>233</v>
      </c>
      <c r="D50" t="s">
        <v>78</v>
      </c>
      <c r="E50" t="s">
        <v>49</v>
      </c>
      <c r="F50" t="s">
        <v>56</v>
      </c>
      <c r="G50" t="s">
        <v>93</v>
      </c>
      <c r="H50" t="s">
        <v>54</v>
      </c>
      <c r="I50">
        <v>1</v>
      </c>
      <c r="J50" s="7">
        <v>68</v>
      </c>
      <c r="K50" s="8">
        <v>0.2</v>
      </c>
      <c r="L50" s="9">
        <v>54.400000000000006</v>
      </c>
      <c r="M50" s="9">
        <v>31</v>
      </c>
      <c r="N50" s="9">
        <v>23.400000000000006</v>
      </c>
    </row>
    <row r="51" spans="1:14">
      <c r="A51" t="s">
        <v>234</v>
      </c>
      <c r="B51" s="6">
        <v>45749</v>
      </c>
      <c r="C51" t="s">
        <v>235</v>
      </c>
      <c r="D51" t="s">
        <v>78</v>
      </c>
      <c r="E51" t="s">
        <v>55</v>
      </c>
      <c r="F51" t="s">
        <v>56</v>
      </c>
      <c r="G51" t="s">
        <v>94</v>
      </c>
      <c r="H51" t="s">
        <v>51</v>
      </c>
      <c r="I51">
        <v>4</v>
      </c>
      <c r="J51" s="7">
        <v>18</v>
      </c>
      <c r="K51" s="8">
        <v>0</v>
      </c>
      <c r="L51" s="9">
        <v>72</v>
      </c>
      <c r="M51" s="9">
        <v>22</v>
      </c>
      <c r="N51" s="9">
        <v>50</v>
      </c>
    </row>
    <row r="52" spans="1:14">
      <c r="A52" t="s">
        <v>236</v>
      </c>
      <c r="B52" s="6">
        <v>45881</v>
      </c>
      <c r="C52" t="s">
        <v>237</v>
      </c>
      <c r="D52" t="s">
        <v>79</v>
      </c>
      <c r="E52" t="s">
        <v>55</v>
      </c>
      <c r="F52" t="s">
        <v>50</v>
      </c>
      <c r="G52" t="s">
        <v>94</v>
      </c>
      <c r="H52" t="s">
        <v>51</v>
      </c>
      <c r="I52">
        <v>4</v>
      </c>
      <c r="J52" s="7">
        <v>18</v>
      </c>
      <c r="K52" s="8">
        <v>0</v>
      </c>
      <c r="L52" s="9">
        <v>72</v>
      </c>
      <c r="M52" s="9">
        <v>22</v>
      </c>
      <c r="N52" s="9">
        <v>50</v>
      </c>
    </row>
    <row r="53" spans="1:14">
      <c r="A53" t="s">
        <v>238</v>
      </c>
      <c r="B53" s="6">
        <v>46020</v>
      </c>
      <c r="C53" t="s">
        <v>239</v>
      </c>
      <c r="D53" t="s">
        <v>78</v>
      </c>
      <c r="E53" t="s">
        <v>52</v>
      </c>
      <c r="F53" t="s">
        <v>56</v>
      </c>
      <c r="G53" t="s">
        <v>91</v>
      </c>
      <c r="H53" t="s">
        <v>57</v>
      </c>
      <c r="I53">
        <v>1</v>
      </c>
      <c r="J53" s="7">
        <v>35</v>
      </c>
      <c r="K53" s="8">
        <v>0.15</v>
      </c>
      <c r="L53" s="9">
        <v>29.75</v>
      </c>
      <c r="M53" s="9">
        <v>14</v>
      </c>
      <c r="N53" s="9">
        <v>15.75</v>
      </c>
    </row>
    <row r="54" spans="1:14">
      <c r="A54" t="s">
        <v>240</v>
      </c>
      <c r="B54" s="6">
        <v>45878</v>
      </c>
      <c r="C54" t="s">
        <v>241</v>
      </c>
      <c r="D54" t="s">
        <v>79</v>
      </c>
      <c r="E54" t="s">
        <v>55</v>
      </c>
      <c r="F54" t="s">
        <v>60</v>
      </c>
      <c r="G54" t="s">
        <v>86</v>
      </c>
      <c r="H54" t="s">
        <v>48</v>
      </c>
      <c r="I54">
        <v>3</v>
      </c>
      <c r="J54" s="7">
        <v>34.99</v>
      </c>
      <c r="K54" s="8">
        <v>0.15</v>
      </c>
      <c r="L54" s="9">
        <v>89.224499999999992</v>
      </c>
      <c r="M54" s="9">
        <v>48</v>
      </c>
      <c r="N54" s="9">
        <v>41.224499999999992</v>
      </c>
    </row>
    <row r="55" spans="1:14">
      <c r="A55" t="s">
        <v>242</v>
      </c>
      <c r="B55" s="6">
        <v>45816</v>
      </c>
      <c r="C55" t="s">
        <v>243</v>
      </c>
      <c r="D55" t="s">
        <v>78</v>
      </c>
      <c r="E55" t="s">
        <v>58</v>
      </c>
      <c r="F55" t="s">
        <v>59</v>
      </c>
      <c r="G55" t="s">
        <v>91</v>
      </c>
      <c r="H55" t="s">
        <v>57</v>
      </c>
      <c r="I55">
        <v>1</v>
      </c>
      <c r="J55" s="7">
        <v>35</v>
      </c>
      <c r="K55" s="8">
        <v>0.1</v>
      </c>
      <c r="L55" s="9">
        <v>31.5</v>
      </c>
      <c r="M55" s="9">
        <v>14</v>
      </c>
      <c r="N55" s="9">
        <v>17.5</v>
      </c>
    </row>
    <row r="56" spans="1:14">
      <c r="A56" t="s">
        <v>244</v>
      </c>
      <c r="B56" s="6">
        <v>46004</v>
      </c>
      <c r="C56" t="s">
        <v>245</v>
      </c>
      <c r="D56" t="s">
        <v>78</v>
      </c>
      <c r="E56" t="s">
        <v>55</v>
      </c>
      <c r="F56" t="s">
        <v>56</v>
      </c>
      <c r="G56" t="s">
        <v>87</v>
      </c>
      <c r="H56" t="s">
        <v>48</v>
      </c>
      <c r="I56">
        <v>2</v>
      </c>
      <c r="J56" s="7">
        <v>89.99</v>
      </c>
      <c r="K56" s="8">
        <v>0</v>
      </c>
      <c r="L56" s="9">
        <v>179.98</v>
      </c>
      <c r="M56" s="9">
        <v>92</v>
      </c>
      <c r="N56" s="9">
        <v>87.97999999999999</v>
      </c>
    </row>
    <row r="57" spans="1:14">
      <c r="A57" t="s">
        <v>246</v>
      </c>
      <c r="B57" s="6">
        <v>45765</v>
      </c>
      <c r="C57" t="s">
        <v>247</v>
      </c>
      <c r="D57" t="s">
        <v>78</v>
      </c>
      <c r="E57" t="s">
        <v>58</v>
      </c>
      <c r="F57" t="s">
        <v>53</v>
      </c>
      <c r="G57" t="s">
        <v>91</v>
      </c>
      <c r="H57" t="s">
        <v>57</v>
      </c>
      <c r="I57">
        <v>2</v>
      </c>
      <c r="J57" s="7">
        <v>35</v>
      </c>
      <c r="K57" s="8">
        <v>0.05</v>
      </c>
      <c r="L57" s="9">
        <v>66.5</v>
      </c>
      <c r="M57" s="9">
        <v>28</v>
      </c>
      <c r="N57" s="9">
        <v>38.5</v>
      </c>
    </row>
    <row r="58" spans="1:14">
      <c r="A58" t="s">
        <v>248</v>
      </c>
      <c r="B58" s="6">
        <v>45919</v>
      </c>
      <c r="C58" t="s">
        <v>249</v>
      </c>
      <c r="D58" t="s">
        <v>79</v>
      </c>
      <c r="E58" t="s">
        <v>55</v>
      </c>
      <c r="F58" t="s">
        <v>60</v>
      </c>
      <c r="G58" t="s">
        <v>92</v>
      </c>
      <c r="H58" t="s">
        <v>57</v>
      </c>
      <c r="I58">
        <v>2</v>
      </c>
      <c r="J58" s="7">
        <v>22</v>
      </c>
      <c r="K58" s="8">
        <v>0.2</v>
      </c>
      <c r="L58" s="9">
        <v>35.200000000000003</v>
      </c>
      <c r="M58" s="9">
        <v>15</v>
      </c>
      <c r="N58" s="9">
        <v>20.200000000000003</v>
      </c>
    </row>
    <row r="59" spans="1:14">
      <c r="A59" t="s">
        <v>250</v>
      </c>
      <c r="B59" s="6">
        <v>45997</v>
      </c>
      <c r="C59" t="s">
        <v>251</v>
      </c>
      <c r="D59" t="s">
        <v>79</v>
      </c>
      <c r="E59" t="s">
        <v>52</v>
      </c>
      <c r="F59" t="s">
        <v>53</v>
      </c>
      <c r="G59" t="s">
        <v>94</v>
      </c>
      <c r="H59" t="s">
        <v>51</v>
      </c>
      <c r="I59">
        <v>1</v>
      </c>
      <c r="J59" s="7">
        <v>18</v>
      </c>
      <c r="K59" s="8">
        <v>0.1</v>
      </c>
      <c r="L59" s="9">
        <v>16.2</v>
      </c>
      <c r="M59" s="9">
        <v>5.5</v>
      </c>
      <c r="N59" s="9">
        <v>10.7</v>
      </c>
    </row>
    <row r="60" spans="1:14">
      <c r="A60" t="s">
        <v>252</v>
      </c>
      <c r="B60" s="6">
        <v>45733</v>
      </c>
      <c r="C60" t="s">
        <v>154</v>
      </c>
      <c r="D60" t="s">
        <v>79</v>
      </c>
      <c r="E60" t="s">
        <v>58</v>
      </c>
      <c r="F60" t="s">
        <v>59</v>
      </c>
      <c r="G60" t="s">
        <v>85</v>
      </c>
      <c r="H60" t="s">
        <v>48</v>
      </c>
      <c r="I60">
        <v>1</v>
      </c>
      <c r="J60" s="7">
        <v>59.99</v>
      </c>
      <c r="K60" s="8">
        <v>0.2</v>
      </c>
      <c r="L60" s="9">
        <v>47.992000000000004</v>
      </c>
      <c r="M60" s="9">
        <v>28</v>
      </c>
      <c r="N60" s="9">
        <v>19.992000000000004</v>
      </c>
    </row>
    <row r="61" spans="1:14">
      <c r="A61" t="s">
        <v>253</v>
      </c>
      <c r="B61" s="6">
        <v>45980</v>
      </c>
      <c r="C61" t="s">
        <v>254</v>
      </c>
      <c r="D61" t="s">
        <v>78</v>
      </c>
      <c r="E61" t="s">
        <v>52</v>
      </c>
      <c r="F61" t="s">
        <v>50</v>
      </c>
      <c r="G61" t="s">
        <v>94</v>
      </c>
      <c r="H61" t="s">
        <v>51</v>
      </c>
      <c r="I61">
        <v>1</v>
      </c>
      <c r="J61" s="7">
        <v>18</v>
      </c>
      <c r="K61" s="8">
        <v>0.1</v>
      </c>
      <c r="L61" s="9">
        <v>16.2</v>
      </c>
      <c r="M61" s="9">
        <v>5.5</v>
      </c>
      <c r="N61" s="9">
        <v>10.7</v>
      </c>
    </row>
    <row r="62" spans="1:14">
      <c r="A62" t="s">
        <v>255</v>
      </c>
      <c r="B62" s="6">
        <v>45712</v>
      </c>
      <c r="C62" t="s">
        <v>256</v>
      </c>
      <c r="D62" t="s">
        <v>79</v>
      </c>
      <c r="E62" t="s">
        <v>49</v>
      </c>
      <c r="F62" t="s">
        <v>60</v>
      </c>
      <c r="G62" t="s">
        <v>91</v>
      </c>
      <c r="H62" t="s">
        <v>57</v>
      </c>
      <c r="I62">
        <v>1</v>
      </c>
      <c r="J62" s="7">
        <v>35</v>
      </c>
      <c r="K62" s="8">
        <v>0.1</v>
      </c>
      <c r="L62" s="9">
        <v>31.5</v>
      </c>
      <c r="M62" s="9">
        <v>14</v>
      </c>
      <c r="N62" s="9">
        <v>17.5</v>
      </c>
    </row>
    <row r="63" spans="1:14">
      <c r="A63" t="s">
        <v>257</v>
      </c>
      <c r="B63" s="6">
        <v>45785</v>
      </c>
      <c r="C63" t="s">
        <v>258</v>
      </c>
      <c r="D63" t="s">
        <v>79</v>
      </c>
      <c r="E63" t="s">
        <v>55</v>
      </c>
      <c r="F63" t="s">
        <v>59</v>
      </c>
      <c r="G63" t="s">
        <v>86</v>
      </c>
      <c r="H63" t="s">
        <v>48</v>
      </c>
      <c r="I63">
        <v>1</v>
      </c>
      <c r="J63" s="7">
        <v>34.99</v>
      </c>
      <c r="K63" s="8">
        <v>0.1</v>
      </c>
      <c r="L63" s="9">
        <v>31.491000000000003</v>
      </c>
      <c r="M63" s="9">
        <v>16</v>
      </c>
      <c r="N63" s="9">
        <v>15.491000000000003</v>
      </c>
    </row>
    <row r="64" spans="1:14">
      <c r="A64" t="s">
        <v>259</v>
      </c>
      <c r="B64" s="6">
        <v>45971</v>
      </c>
      <c r="C64" t="s">
        <v>260</v>
      </c>
      <c r="D64" t="s">
        <v>78</v>
      </c>
      <c r="E64" t="s">
        <v>58</v>
      </c>
      <c r="F64" t="s">
        <v>59</v>
      </c>
      <c r="G64" t="s">
        <v>93</v>
      </c>
      <c r="H64" t="s">
        <v>54</v>
      </c>
      <c r="I64">
        <v>1</v>
      </c>
      <c r="J64" s="7">
        <v>68</v>
      </c>
      <c r="K64" s="8">
        <v>0.15</v>
      </c>
      <c r="L64" s="9">
        <v>57.8</v>
      </c>
      <c r="M64" s="9">
        <v>31</v>
      </c>
      <c r="N64" s="9">
        <v>26.799999999999997</v>
      </c>
    </row>
    <row r="65" spans="1:14">
      <c r="A65" t="s">
        <v>261</v>
      </c>
      <c r="B65" s="6">
        <v>45790</v>
      </c>
      <c r="C65" t="s">
        <v>254</v>
      </c>
      <c r="D65" t="s">
        <v>79</v>
      </c>
      <c r="E65" t="s">
        <v>52</v>
      </c>
      <c r="F65" t="s">
        <v>56</v>
      </c>
      <c r="G65" t="s">
        <v>88</v>
      </c>
      <c r="H65" t="s">
        <v>51</v>
      </c>
      <c r="I65">
        <v>2</v>
      </c>
      <c r="J65" s="7">
        <v>42</v>
      </c>
      <c r="K65" s="8">
        <v>0</v>
      </c>
      <c r="L65" s="9">
        <v>84</v>
      </c>
      <c r="M65" s="9">
        <v>38</v>
      </c>
      <c r="N65" s="9">
        <v>46</v>
      </c>
    </row>
    <row r="66" spans="1:14">
      <c r="A66" t="s">
        <v>262</v>
      </c>
      <c r="B66" s="6">
        <v>45883</v>
      </c>
      <c r="C66" t="s">
        <v>263</v>
      </c>
      <c r="D66" t="s">
        <v>78</v>
      </c>
      <c r="E66" t="s">
        <v>49</v>
      </c>
      <c r="F66" t="s">
        <v>53</v>
      </c>
      <c r="G66" t="s">
        <v>86</v>
      </c>
      <c r="H66" t="s">
        <v>48</v>
      </c>
      <c r="I66">
        <v>2</v>
      </c>
      <c r="J66" s="7">
        <v>34.99</v>
      </c>
      <c r="K66" s="8">
        <v>0</v>
      </c>
      <c r="L66" s="9">
        <v>69.98</v>
      </c>
      <c r="M66" s="9">
        <v>32</v>
      </c>
      <c r="N66" s="9">
        <v>37.980000000000004</v>
      </c>
    </row>
    <row r="67" spans="1:14">
      <c r="A67" t="s">
        <v>264</v>
      </c>
      <c r="B67" s="6">
        <v>45735</v>
      </c>
      <c r="C67" t="s">
        <v>265</v>
      </c>
      <c r="D67" t="s">
        <v>78</v>
      </c>
      <c r="E67" t="s">
        <v>58</v>
      </c>
      <c r="F67" t="s">
        <v>56</v>
      </c>
      <c r="G67" t="s">
        <v>88</v>
      </c>
      <c r="H67" t="s">
        <v>51</v>
      </c>
      <c r="I67">
        <v>1</v>
      </c>
      <c r="J67" s="7">
        <v>42</v>
      </c>
      <c r="K67" s="8">
        <v>0</v>
      </c>
      <c r="L67" s="9">
        <v>42</v>
      </c>
      <c r="M67" s="9">
        <v>19</v>
      </c>
      <c r="N67" s="9">
        <v>23</v>
      </c>
    </row>
    <row r="68" spans="1:14">
      <c r="A68" t="s">
        <v>266</v>
      </c>
      <c r="B68" s="6">
        <v>45935</v>
      </c>
      <c r="C68" t="s">
        <v>267</v>
      </c>
      <c r="D68" t="s">
        <v>78</v>
      </c>
      <c r="E68" t="s">
        <v>49</v>
      </c>
      <c r="F68" t="s">
        <v>60</v>
      </c>
      <c r="G68" t="s">
        <v>92</v>
      </c>
      <c r="H68" t="s">
        <v>57</v>
      </c>
      <c r="I68">
        <v>1</v>
      </c>
      <c r="J68" s="7">
        <v>22</v>
      </c>
      <c r="K68" s="8">
        <v>0</v>
      </c>
      <c r="L68" s="9">
        <v>22</v>
      </c>
      <c r="M68" s="9">
        <v>7.5</v>
      </c>
      <c r="N68" s="9">
        <v>14.5</v>
      </c>
    </row>
    <row r="69" spans="1:14">
      <c r="A69" t="s">
        <v>268</v>
      </c>
      <c r="B69" s="6">
        <v>45852</v>
      </c>
      <c r="C69" t="s">
        <v>269</v>
      </c>
      <c r="D69" t="s">
        <v>79</v>
      </c>
      <c r="E69" t="s">
        <v>52</v>
      </c>
      <c r="F69" t="s">
        <v>59</v>
      </c>
      <c r="G69" t="s">
        <v>92</v>
      </c>
      <c r="H69" t="s">
        <v>57</v>
      </c>
      <c r="I69">
        <v>1</v>
      </c>
      <c r="J69" s="7">
        <v>22</v>
      </c>
      <c r="K69" s="8">
        <v>0</v>
      </c>
      <c r="L69" s="9">
        <v>22</v>
      </c>
      <c r="M69" s="9">
        <v>7.5</v>
      </c>
      <c r="N69" s="9">
        <v>14.5</v>
      </c>
    </row>
    <row r="70" spans="1:14">
      <c r="A70" t="s">
        <v>270</v>
      </c>
      <c r="B70" s="6">
        <v>45770</v>
      </c>
      <c r="C70" t="s">
        <v>271</v>
      </c>
      <c r="D70" t="s">
        <v>78</v>
      </c>
      <c r="E70" t="s">
        <v>58</v>
      </c>
      <c r="F70" t="s">
        <v>53</v>
      </c>
      <c r="G70" t="s">
        <v>89</v>
      </c>
      <c r="H70" t="s">
        <v>51</v>
      </c>
      <c r="I70">
        <v>1</v>
      </c>
      <c r="J70" s="7">
        <v>38</v>
      </c>
      <c r="K70" s="8">
        <v>0</v>
      </c>
      <c r="L70" s="9">
        <v>38</v>
      </c>
      <c r="M70" s="9">
        <v>17</v>
      </c>
      <c r="N70" s="9">
        <v>21</v>
      </c>
    </row>
    <row r="71" spans="1:14">
      <c r="A71" t="s">
        <v>272</v>
      </c>
      <c r="B71" s="6">
        <v>45897</v>
      </c>
      <c r="C71" t="s">
        <v>273</v>
      </c>
      <c r="D71" t="s">
        <v>79</v>
      </c>
      <c r="E71" t="s">
        <v>49</v>
      </c>
      <c r="F71" t="s">
        <v>50</v>
      </c>
      <c r="G71" t="s">
        <v>87</v>
      </c>
      <c r="H71" t="s">
        <v>48</v>
      </c>
      <c r="I71">
        <v>4</v>
      </c>
      <c r="J71" s="7">
        <v>89.99</v>
      </c>
      <c r="K71" s="8">
        <v>0.05</v>
      </c>
      <c r="L71" s="9">
        <v>341.96199999999999</v>
      </c>
      <c r="M71" s="9">
        <v>184</v>
      </c>
      <c r="N71" s="9">
        <v>157.96199999999999</v>
      </c>
    </row>
    <row r="72" spans="1:14">
      <c r="A72" t="s">
        <v>274</v>
      </c>
      <c r="B72" s="6">
        <v>45987</v>
      </c>
      <c r="C72" t="s">
        <v>275</v>
      </c>
      <c r="D72" t="s">
        <v>78</v>
      </c>
      <c r="E72" t="s">
        <v>55</v>
      </c>
      <c r="F72" t="s">
        <v>53</v>
      </c>
      <c r="G72" t="s">
        <v>91</v>
      </c>
      <c r="H72" t="s">
        <v>57</v>
      </c>
      <c r="I72">
        <v>1</v>
      </c>
      <c r="J72" s="7">
        <v>35</v>
      </c>
      <c r="K72" s="8">
        <v>0</v>
      </c>
      <c r="L72" s="9">
        <v>35</v>
      </c>
      <c r="M72" s="9">
        <v>14</v>
      </c>
      <c r="N72" s="9">
        <v>21</v>
      </c>
    </row>
    <row r="73" spans="1:14">
      <c r="A73" t="s">
        <v>276</v>
      </c>
      <c r="B73" s="6">
        <v>45890</v>
      </c>
      <c r="C73" t="s">
        <v>277</v>
      </c>
      <c r="D73" t="s">
        <v>78</v>
      </c>
      <c r="E73" t="s">
        <v>55</v>
      </c>
      <c r="F73" t="s">
        <v>50</v>
      </c>
      <c r="G73" t="s">
        <v>90</v>
      </c>
      <c r="H73" t="s">
        <v>54</v>
      </c>
      <c r="I73">
        <v>1</v>
      </c>
      <c r="J73" s="7">
        <v>29</v>
      </c>
      <c r="K73" s="8">
        <v>0.15</v>
      </c>
      <c r="L73" s="9">
        <v>24.65</v>
      </c>
      <c r="M73" s="9">
        <v>11</v>
      </c>
      <c r="N73" s="9">
        <v>13.649999999999999</v>
      </c>
    </row>
    <row r="74" spans="1:14">
      <c r="A74" t="s">
        <v>278</v>
      </c>
      <c r="B74" s="6">
        <v>45898</v>
      </c>
      <c r="C74" t="s">
        <v>279</v>
      </c>
      <c r="D74" t="s">
        <v>79</v>
      </c>
      <c r="E74" t="s">
        <v>49</v>
      </c>
      <c r="F74" t="s">
        <v>50</v>
      </c>
      <c r="G74" t="s">
        <v>85</v>
      </c>
      <c r="H74" t="s">
        <v>48</v>
      </c>
      <c r="I74">
        <v>2</v>
      </c>
      <c r="J74" s="7">
        <v>59.99</v>
      </c>
      <c r="K74" s="8">
        <v>0</v>
      </c>
      <c r="L74" s="9">
        <v>119.98</v>
      </c>
      <c r="M74" s="9">
        <v>56</v>
      </c>
      <c r="N74" s="9">
        <v>63.980000000000004</v>
      </c>
    </row>
    <row r="75" spans="1:14">
      <c r="A75" t="s">
        <v>280</v>
      </c>
      <c r="B75" s="6">
        <v>45673</v>
      </c>
      <c r="C75" t="s">
        <v>281</v>
      </c>
      <c r="D75" t="s">
        <v>78</v>
      </c>
      <c r="E75" t="s">
        <v>58</v>
      </c>
      <c r="F75" t="s">
        <v>50</v>
      </c>
      <c r="G75" t="s">
        <v>88</v>
      </c>
      <c r="H75" t="s">
        <v>51</v>
      </c>
      <c r="I75">
        <v>1</v>
      </c>
      <c r="J75" s="7">
        <v>42</v>
      </c>
      <c r="K75" s="8">
        <v>0</v>
      </c>
      <c r="L75" s="9">
        <v>42</v>
      </c>
      <c r="M75" s="9">
        <v>19</v>
      </c>
      <c r="N75" s="9">
        <v>23</v>
      </c>
    </row>
    <row r="76" spans="1:14">
      <c r="A76" t="s">
        <v>282</v>
      </c>
      <c r="B76" s="6">
        <v>45946</v>
      </c>
      <c r="C76" t="s">
        <v>283</v>
      </c>
      <c r="D76" t="s">
        <v>78</v>
      </c>
      <c r="E76" t="s">
        <v>49</v>
      </c>
      <c r="F76" t="s">
        <v>53</v>
      </c>
      <c r="G76" t="s">
        <v>88</v>
      </c>
      <c r="H76" t="s">
        <v>51</v>
      </c>
      <c r="I76">
        <v>1</v>
      </c>
      <c r="J76" s="7">
        <v>42</v>
      </c>
      <c r="K76" s="8">
        <v>0</v>
      </c>
      <c r="L76" s="9">
        <v>42</v>
      </c>
      <c r="M76" s="9">
        <v>19</v>
      </c>
      <c r="N76" s="9">
        <v>23</v>
      </c>
    </row>
    <row r="77" spans="1:14">
      <c r="A77" t="s">
        <v>284</v>
      </c>
      <c r="B77" s="6">
        <v>45817</v>
      </c>
      <c r="C77" t="s">
        <v>285</v>
      </c>
      <c r="D77" t="s">
        <v>78</v>
      </c>
      <c r="E77" t="s">
        <v>58</v>
      </c>
      <c r="F77" t="s">
        <v>53</v>
      </c>
      <c r="G77" t="s">
        <v>86</v>
      </c>
      <c r="H77" t="s">
        <v>48</v>
      </c>
      <c r="I77">
        <v>1</v>
      </c>
      <c r="J77" s="7">
        <v>34.99</v>
      </c>
      <c r="K77" s="8">
        <v>0.15</v>
      </c>
      <c r="L77" s="9">
        <v>29.741500000000002</v>
      </c>
      <c r="M77" s="9">
        <v>16</v>
      </c>
      <c r="N77" s="9">
        <v>13.741500000000002</v>
      </c>
    </row>
    <row r="78" spans="1:14">
      <c r="A78" t="s">
        <v>286</v>
      </c>
      <c r="B78" s="6">
        <v>45696</v>
      </c>
      <c r="C78" t="s">
        <v>287</v>
      </c>
      <c r="D78" t="s">
        <v>78</v>
      </c>
      <c r="E78" t="s">
        <v>55</v>
      </c>
      <c r="F78" t="s">
        <v>60</v>
      </c>
      <c r="G78" t="s">
        <v>94</v>
      </c>
      <c r="H78" t="s">
        <v>51</v>
      </c>
      <c r="I78">
        <v>2</v>
      </c>
      <c r="J78" s="7">
        <v>18</v>
      </c>
      <c r="K78" s="8">
        <v>0.05</v>
      </c>
      <c r="L78" s="9">
        <v>34.199999999999996</v>
      </c>
      <c r="M78" s="9">
        <v>11</v>
      </c>
      <c r="N78" s="9">
        <v>23.199999999999996</v>
      </c>
    </row>
    <row r="79" spans="1:14">
      <c r="A79" t="s">
        <v>288</v>
      </c>
      <c r="B79" s="6">
        <v>45719</v>
      </c>
      <c r="C79" t="s">
        <v>289</v>
      </c>
      <c r="D79" t="s">
        <v>78</v>
      </c>
      <c r="E79" t="s">
        <v>49</v>
      </c>
      <c r="F79" t="s">
        <v>60</v>
      </c>
      <c r="G79" t="s">
        <v>94</v>
      </c>
      <c r="H79" t="s">
        <v>51</v>
      </c>
      <c r="I79">
        <v>2</v>
      </c>
      <c r="J79" s="7">
        <v>18</v>
      </c>
      <c r="K79" s="8">
        <v>0</v>
      </c>
      <c r="L79" s="9">
        <v>36</v>
      </c>
      <c r="M79" s="9">
        <v>11</v>
      </c>
      <c r="N79" s="9">
        <v>25</v>
      </c>
    </row>
    <row r="80" spans="1:14">
      <c r="A80" t="s">
        <v>290</v>
      </c>
      <c r="B80" s="6">
        <v>45989</v>
      </c>
      <c r="C80" t="s">
        <v>291</v>
      </c>
      <c r="D80" t="s">
        <v>78</v>
      </c>
      <c r="E80" t="s">
        <v>55</v>
      </c>
      <c r="F80" t="s">
        <v>59</v>
      </c>
      <c r="G80" t="s">
        <v>90</v>
      </c>
      <c r="H80" t="s">
        <v>54</v>
      </c>
      <c r="I80">
        <v>1</v>
      </c>
      <c r="J80" s="7">
        <v>29</v>
      </c>
      <c r="K80" s="8">
        <v>0</v>
      </c>
      <c r="L80" s="9">
        <v>29</v>
      </c>
      <c r="M80" s="9">
        <v>11</v>
      </c>
      <c r="N80" s="9">
        <v>18</v>
      </c>
    </row>
    <row r="81" spans="1:14">
      <c r="A81" t="s">
        <v>292</v>
      </c>
      <c r="B81" s="6">
        <v>46020</v>
      </c>
      <c r="C81" t="s">
        <v>293</v>
      </c>
      <c r="D81" t="s">
        <v>79</v>
      </c>
      <c r="E81" t="s">
        <v>58</v>
      </c>
      <c r="F81" t="s">
        <v>59</v>
      </c>
      <c r="G81" t="s">
        <v>87</v>
      </c>
      <c r="H81" t="s">
        <v>48</v>
      </c>
      <c r="I81">
        <v>1</v>
      </c>
      <c r="J81" s="7">
        <v>89.99</v>
      </c>
      <c r="K81" s="8">
        <v>0.1</v>
      </c>
      <c r="L81" s="9">
        <v>80.991</v>
      </c>
      <c r="M81" s="9">
        <v>46</v>
      </c>
      <c r="N81" s="9">
        <v>34.991</v>
      </c>
    </row>
    <row r="82" spans="1:14">
      <c r="A82" t="s">
        <v>294</v>
      </c>
      <c r="B82" s="6">
        <v>45881</v>
      </c>
      <c r="C82" t="s">
        <v>295</v>
      </c>
      <c r="D82" t="s">
        <v>79</v>
      </c>
      <c r="E82" t="s">
        <v>55</v>
      </c>
      <c r="F82" t="s">
        <v>59</v>
      </c>
      <c r="G82" t="s">
        <v>94</v>
      </c>
      <c r="H82" t="s">
        <v>51</v>
      </c>
      <c r="I82">
        <v>1</v>
      </c>
      <c r="J82" s="7">
        <v>18</v>
      </c>
      <c r="K82" s="8">
        <v>0.15</v>
      </c>
      <c r="L82" s="9">
        <v>15.299999999999999</v>
      </c>
      <c r="M82" s="9">
        <v>5.5</v>
      </c>
      <c r="N82" s="9">
        <v>9.7999999999999989</v>
      </c>
    </row>
    <row r="83" spans="1:14">
      <c r="A83" t="s">
        <v>296</v>
      </c>
      <c r="B83" s="6">
        <v>45782</v>
      </c>
      <c r="C83" t="s">
        <v>297</v>
      </c>
      <c r="D83" t="s">
        <v>78</v>
      </c>
      <c r="E83" t="s">
        <v>55</v>
      </c>
      <c r="F83" t="s">
        <v>53</v>
      </c>
      <c r="G83" t="s">
        <v>92</v>
      </c>
      <c r="H83" t="s">
        <v>57</v>
      </c>
      <c r="I83">
        <v>1</v>
      </c>
      <c r="J83" s="7">
        <v>22</v>
      </c>
      <c r="K83" s="8">
        <v>0.1</v>
      </c>
      <c r="L83" s="9">
        <v>19.8</v>
      </c>
      <c r="M83" s="9">
        <v>7.5</v>
      </c>
      <c r="N83" s="9">
        <v>12.3</v>
      </c>
    </row>
    <row r="84" spans="1:14">
      <c r="A84" t="s">
        <v>298</v>
      </c>
      <c r="B84" s="6">
        <v>45907</v>
      </c>
      <c r="C84" t="s">
        <v>299</v>
      </c>
      <c r="D84" t="s">
        <v>78</v>
      </c>
      <c r="E84" t="s">
        <v>55</v>
      </c>
      <c r="F84" t="s">
        <v>60</v>
      </c>
      <c r="G84" t="s">
        <v>88</v>
      </c>
      <c r="H84" t="s">
        <v>51</v>
      </c>
      <c r="I84">
        <v>1</v>
      </c>
      <c r="J84" s="7">
        <v>42</v>
      </c>
      <c r="K84" s="8">
        <v>0</v>
      </c>
      <c r="L84" s="9">
        <v>42</v>
      </c>
      <c r="M84" s="9">
        <v>19</v>
      </c>
      <c r="N84" s="9">
        <v>23</v>
      </c>
    </row>
    <row r="85" spans="1:14">
      <c r="A85" t="s">
        <v>300</v>
      </c>
      <c r="B85" s="6">
        <v>45663</v>
      </c>
      <c r="C85" t="s">
        <v>301</v>
      </c>
      <c r="D85" t="s">
        <v>79</v>
      </c>
      <c r="E85" t="s">
        <v>52</v>
      </c>
      <c r="F85" t="s">
        <v>59</v>
      </c>
      <c r="G85" t="s">
        <v>93</v>
      </c>
      <c r="H85" t="s">
        <v>54</v>
      </c>
      <c r="I85">
        <v>3</v>
      </c>
      <c r="J85" s="7">
        <v>68</v>
      </c>
      <c r="K85" s="8">
        <v>0</v>
      </c>
      <c r="L85" s="9">
        <v>204</v>
      </c>
      <c r="M85" s="9">
        <v>93</v>
      </c>
      <c r="N85" s="9">
        <v>111</v>
      </c>
    </row>
    <row r="86" spans="1:14">
      <c r="A86" t="s">
        <v>302</v>
      </c>
      <c r="B86" s="6">
        <v>45988</v>
      </c>
      <c r="C86" t="s">
        <v>303</v>
      </c>
      <c r="D86" t="s">
        <v>78</v>
      </c>
      <c r="E86" t="s">
        <v>52</v>
      </c>
      <c r="F86" t="s">
        <v>56</v>
      </c>
      <c r="G86" t="s">
        <v>92</v>
      </c>
      <c r="H86" t="s">
        <v>57</v>
      </c>
      <c r="I86">
        <v>1</v>
      </c>
      <c r="J86" s="7">
        <v>22</v>
      </c>
      <c r="K86" s="8">
        <v>0</v>
      </c>
      <c r="L86" s="9">
        <v>22</v>
      </c>
      <c r="M86" s="9">
        <v>7.5</v>
      </c>
      <c r="N86" s="9">
        <v>14.5</v>
      </c>
    </row>
    <row r="87" spans="1:14">
      <c r="A87" t="s">
        <v>304</v>
      </c>
      <c r="B87" s="6">
        <v>45997</v>
      </c>
      <c r="C87" t="s">
        <v>305</v>
      </c>
      <c r="D87" t="s">
        <v>78</v>
      </c>
      <c r="E87" t="s">
        <v>55</v>
      </c>
      <c r="F87" t="s">
        <v>56</v>
      </c>
      <c r="G87" t="s">
        <v>94</v>
      </c>
      <c r="H87" t="s">
        <v>51</v>
      </c>
      <c r="I87">
        <v>1</v>
      </c>
      <c r="J87" s="7">
        <v>18</v>
      </c>
      <c r="K87" s="8">
        <v>0.05</v>
      </c>
      <c r="L87" s="9">
        <v>17.099999999999998</v>
      </c>
      <c r="M87" s="9">
        <v>5.5</v>
      </c>
      <c r="N87" s="9">
        <v>11.599999999999998</v>
      </c>
    </row>
    <row r="88" spans="1:14">
      <c r="A88" t="s">
        <v>306</v>
      </c>
      <c r="B88" s="6">
        <v>46017</v>
      </c>
      <c r="C88" t="s">
        <v>243</v>
      </c>
      <c r="D88" t="s">
        <v>78</v>
      </c>
      <c r="E88" t="s">
        <v>55</v>
      </c>
      <c r="F88" t="s">
        <v>50</v>
      </c>
      <c r="G88" t="s">
        <v>92</v>
      </c>
      <c r="H88" t="s">
        <v>57</v>
      </c>
      <c r="I88">
        <v>1</v>
      </c>
      <c r="J88" s="7">
        <v>22</v>
      </c>
      <c r="K88" s="8">
        <v>0</v>
      </c>
      <c r="L88" s="9">
        <v>22</v>
      </c>
      <c r="M88" s="9">
        <v>7.5</v>
      </c>
      <c r="N88" s="9">
        <v>14.5</v>
      </c>
    </row>
    <row r="89" spans="1:14">
      <c r="A89" t="s">
        <v>307</v>
      </c>
      <c r="B89" s="6">
        <v>45932</v>
      </c>
      <c r="C89" t="s">
        <v>308</v>
      </c>
      <c r="D89" t="s">
        <v>78</v>
      </c>
      <c r="E89" t="s">
        <v>55</v>
      </c>
      <c r="F89" t="s">
        <v>50</v>
      </c>
      <c r="G89" t="s">
        <v>87</v>
      </c>
      <c r="H89" t="s">
        <v>48</v>
      </c>
      <c r="I89">
        <v>1</v>
      </c>
      <c r="J89" s="7">
        <v>89.99</v>
      </c>
      <c r="K89" s="8">
        <v>0.1</v>
      </c>
      <c r="L89" s="9">
        <v>80.991</v>
      </c>
      <c r="M89" s="9">
        <v>46</v>
      </c>
      <c r="N89" s="9">
        <v>34.991</v>
      </c>
    </row>
    <row r="90" spans="1:14">
      <c r="A90" t="s">
        <v>309</v>
      </c>
      <c r="B90" s="6">
        <v>45757</v>
      </c>
      <c r="C90" t="s">
        <v>310</v>
      </c>
      <c r="D90" t="s">
        <v>78</v>
      </c>
      <c r="E90" t="s">
        <v>52</v>
      </c>
      <c r="F90" t="s">
        <v>56</v>
      </c>
      <c r="G90" t="s">
        <v>89</v>
      </c>
      <c r="H90" t="s">
        <v>51</v>
      </c>
      <c r="I90">
        <v>1</v>
      </c>
      <c r="J90" s="7">
        <v>38</v>
      </c>
      <c r="K90" s="8">
        <v>0</v>
      </c>
      <c r="L90" s="9">
        <v>38</v>
      </c>
      <c r="M90" s="9">
        <v>17</v>
      </c>
      <c r="N90" s="9">
        <v>21</v>
      </c>
    </row>
    <row r="91" spans="1:14">
      <c r="A91" t="s">
        <v>311</v>
      </c>
      <c r="B91" s="6">
        <v>45681</v>
      </c>
      <c r="C91" t="s">
        <v>312</v>
      </c>
      <c r="D91" t="s">
        <v>78</v>
      </c>
      <c r="E91" t="s">
        <v>58</v>
      </c>
      <c r="F91" t="s">
        <v>50</v>
      </c>
      <c r="G91" t="s">
        <v>85</v>
      </c>
      <c r="H91" t="s">
        <v>48</v>
      </c>
      <c r="I91">
        <v>1</v>
      </c>
      <c r="J91" s="7">
        <v>59.99</v>
      </c>
      <c r="K91" s="8">
        <v>0.1</v>
      </c>
      <c r="L91" s="9">
        <v>53.991</v>
      </c>
      <c r="M91" s="9">
        <v>28</v>
      </c>
      <c r="N91" s="9">
        <v>25.991</v>
      </c>
    </row>
    <row r="92" spans="1:14">
      <c r="A92" t="s">
        <v>313</v>
      </c>
      <c r="B92" s="6">
        <v>45664</v>
      </c>
      <c r="C92" t="s">
        <v>314</v>
      </c>
      <c r="D92" t="s">
        <v>78</v>
      </c>
      <c r="E92" t="s">
        <v>55</v>
      </c>
      <c r="F92" t="s">
        <v>59</v>
      </c>
      <c r="G92" t="s">
        <v>94</v>
      </c>
      <c r="H92" t="s">
        <v>51</v>
      </c>
      <c r="I92">
        <v>1</v>
      </c>
      <c r="J92" s="7">
        <v>18</v>
      </c>
      <c r="K92" s="8">
        <v>0</v>
      </c>
      <c r="L92" s="9">
        <v>18</v>
      </c>
      <c r="M92" s="9">
        <v>5.5</v>
      </c>
      <c r="N92" s="9">
        <v>12.5</v>
      </c>
    </row>
    <row r="93" spans="1:14">
      <c r="A93" t="s">
        <v>315</v>
      </c>
      <c r="B93" s="6">
        <v>45716</v>
      </c>
      <c r="C93" t="s">
        <v>316</v>
      </c>
      <c r="D93" t="s">
        <v>79</v>
      </c>
      <c r="E93" t="s">
        <v>52</v>
      </c>
      <c r="F93" t="s">
        <v>53</v>
      </c>
      <c r="G93" t="s">
        <v>86</v>
      </c>
      <c r="H93" t="s">
        <v>48</v>
      </c>
      <c r="I93">
        <v>1</v>
      </c>
      <c r="J93" s="7">
        <v>34.99</v>
      </c>
      <c r="K93" s="8">
        <v>0</v>
      </c>
      <c r="L93" s="9">
        <v>34.99</v>
      </c>
      <c r="M93" s="9">
        <v>16</v>
      </c>
      <c r="N93" s="9">
        <v>18.990000000000002</v>
      </c>
    </row>
    <row r="94" spans="1:14">
      <c r="A94" t="s">
        <v>317</v>
      </c>
      <c r="B94" s="6">
        <v>45946</v>
      </c>
      <c r="C94" t="s">
        <v>318</v>
      </c>
      <c r="D94" t="s">
        <v>78</v>
      </c>
      <c r="E94" t="s">
        <v>52</v>
      </c>
      <c r="F94" t="s">
        <v>60</v>
      </c>
      <c r="G94" t="s">
        <v>89</v>
      </c>
      <c r="H94" t="s">
        <v>51</v>
      </c>
      <c r="I94">
        <v>1</v>
      </c>
      <c r="J94" s="7">
        <v>38</v>
      </c>
      <c r="K94" s="8">
        <v>0</v>
      </c>
      <c r="L94" s="9">
        <v>38</v>
      </c>
      <c r="M94" s="9">
        <v>17</v>
      </c>
      <c r="N94" s="9">
        <v>21</v>
      </c>
    </row>
    <row r="95" spans="1:14">
      <c r="A95" t="s">
        <v>319</v>
      </c>
      <c r="B95" s="6">
        <v>45852</v>
      </c>
      <c r="C95" t="s">
        <v>162</v>
      </c>
      <c r="D95" t="s">
        <v>79</v>
      </c>
      <c r="E95" t="s">
        <v>55</v>
      </c>
      <c r="F95" t="s">
        <v>60</v>
      </c>
      <c r="G95" t="s">
        <v>92</v>
      </c>
      <c r="H95" t="s">
        <v>57</v>
      </c>
      <c r="I95">
        <v>3</v>
      </c>
      <c r="J95" s="7">
        <v>22</v>
      </c>
      <c r="K95" s="8">
        <v>0</v>
      </c>
      <c r="L95" s="9">
        <v>66</v>
      </c>
      <c r="M95" s="9">
        <v>22.5</v>
      </c>
      <c r="N95" s="9">
        <v>43.5</v>
      </c>
    </row>
    <row r="96" spans="1:14">
      <c r="A96" t="s">
        <v>320</v>
      </c>
      <c r="B96" s="6">
        <v>45975</v>
      </c>
      <c r="C96" t="s">
        <v>321</v>
      </c>
      <c r="D96" t="s">
        <v>79</v>
      </c>
      <c r="E96" t="s">
        <v>52</v>
      </c>
      <c r="F96" t="s">
        <v>56</v>
      </c>
      <c r="G96" t="s">
        <v>85</v>
      </c>
      <c r="H96" t="s">
        <v>48</v>
      </c>
      <c r="I96">
        <v>2</v>
      </c>
      <c r="J96" s="7">
        <v>59.99</v>
      </c>
      <c r="K96" s="8">
        <v>0.1</v>
      </c>
      <c r="L96" s="9">
        <v>107.982</v>
      </c>
      <c r="M96" s="9">
        <v>56</v>
      </c>
      <c r="N96" s="9">
        <v>51.981999999999999</v>
      </c>
    </row>
    <row r="97" spans="1:14">
      <c r="A97" t="s">
        <v>322</v>
      </c>
      <c r="B97" s="6">
        <v>45996</v>
      </c>
      <c r="C97" t="s">
        <v>323</v>
      </c>
      <c r="D97" t="s">
        <v>78</v>
      </c>
      <c r="E97" t="s">
        <v>58</v>
      </c>
      <c r="F97" t="s">
        <v>59</v>
      </c>
      <c r="G97" t="s">
        <v>86</v>
      </c>
      <c r="H97" t="s">
        <v>48</v>
      </c>
      <c r="I97">
        <v>1</v>
      </c>
      <c r="J97" s="7">
        <v>34.99</v>
      </c>
      <c r="K97" s="8">
        <v>0</v>
      </c>
      <c r="L97" s="9">
        <v>34.99</v>
      </c>
      <c r="M97" s="9">
        <v>16</v>
      </c>
      <c r="N97" s="9">
        <v>18.990000000000002</v>
      </c>
    </row>
    <row r="98" spans="1:14">
      <c r="A98" t="s">
        <v>324</v>
      </c>
      <c r="B98" s="6">
        <v>46010</v>
      </c>
      <c r="C98" t="s">
        <v>325</v>
      </c>
      <c r="D98" t="s">
        <v>78</v>
      </c>
      <c r="E98" t="s">
        <v>58</v>
      </c>
      <c r="F98" t="s">
        <v>50</v>
      </c>
      <c r="G98" t="s">
        <v>94</v>
      </c>
      <c r="H98" t="s">
        <v>51</v>
      </c>
      <c r="I98">
        <v>1</v>
      </c>
      <c r="J98" s="7">
        <v>18</v>
      </c>
      <c r="K98" s="8">
        <v>0</v>
      </c>
      <c r="L98" s="9">
        <v>18</v>
      </c>
      <c r="M98" s="9">
        <v>5.5</v>
      </c>
      <c r="N98" s="9">
        <v>12.5</v>
      </c>
    </row>
    <row r="99" spans="1:14">
      <c r="A99" t="s">
        <v>326</v>
      </c>
      <c r="B99" s="6">
        <v>46009</v>
      </c>
      <c r="C99" t="s">
        <v>327</v>
      </c>
      <c r="D99" t="s">
        <v>79</v>
      </c>
      <c r="E99" t="s">
        <v>58</v>
      </c>
      <c r="F99" t="s">
        <v>50</v>
      </c>
      <c r="G99" t="s">
        <v>88</v>
      </c>
      <c r="H99" t="s">
        <v>51</v>
      </c>
      <c r="I99">
        <v>3</v>
      </c>
      <c r="J99" s="7">
        <v>42</v>
      </c>
      <c r="K99" s="8">
        <v>0.1</v>
      </c>
      <c r="L99" s="9">
        <v>113.4</v>
      </c>
      <c r="M99" s="9">
        <v>57</v>
      </c>
      <c r="N99" s="9">
        <v>56.400000000000006</v>
      </c>
    </row>
    <row r="100" spans="1:14">
      <c r="A100" t="s">
        <v>328</v>
      </c>
      <c r="B100" s="6">
        <v>45936</v>
      </c>
      <c r="C100" t="s">
        <v>154</v>
      </c>
      <c r="D100" t="s">
        <v>79</v>
      </c>
      <c r="E100" t="s">
        <v>49</v>
      </c>
      <c r="F100" t="s">
        <v>53</v>
      </c>
      <c r="G100" t="s">
        <v>88</v>
      </c>
      <c r="H100" t="s">
        <v>51</v>
      </c>
      <c r="I100">
        <v>2</v>
      </c>
      <c r="J100" s="7">
        <v>42</v>
      </c>
      <c r="K100" s="8">
        <v>0.15</v>
      </c>
      <c r="L100" s="9">
        <v>71.399999999999991</v>
      </c>
      <c r="M100" s="9">
        <v>38</v>
      </c>
      <c r="N100" s="9">
        <v>33.399999999999991</v>
      </c>
    </row>
    <row r="101" spans="1:14">
      <c r="A101" t="s">
        <v>329</v>
      </c>
      <c r="B101" s="6">
        <v>45815</v>
      </c>
      <c r="C101" t="s">
        <v>330</v>
      </c>
      <c r="D101" t="s">
        <v>78</v>
      </c>
      <c r="E101" t="s">
        <v>58</v>
      </c>
      <c r="F101" t="s">
        <v>56</v>
      </c>
      <c r="G101" t="s">
        <v>94</v>
      </c>
      <c r="H101" t="s">
        <v>51</v>
      </c>
      <c r="I101">
        <v>2</v>
      </c>
      <c r="J101" s="7">
        <v>18</v>
      </c>
      <c r="K101" s="8">
        <v>0.05</v>
      </c>
      <c r="L101" s="9">
        <v>34.199999999999996</v>
      </c>
      <c r="M101" s="9">
        <v>11</v>
      </c>
      <c r="N101" s="9">
        <v>23.199999999999996</v>
      </c>
    </row>
    <row r="102" spans="1:14">
      <c r="A102" t="s">
        <v>331</v>
      </c>
      <c r="B102" s="6">
        <v>46016</v>
      </c>
      <c r="C102" t="s">
        <v>332</v>
      </c>
      <c r="D102" t="s">
        <v>78</v>
      </c>
      <c r="E102" t="s">
        <v>49</v>
      </c>
      <c r="F102" t="s">
        <v>59</v>
      </c>
      <c r="G102" t="s">
        <v>91</v>
      </c>
      <c r="H102" t="s">
        <v>57</v>
      </c>
      <c r="I102">
        <v>3</v>
      </c>
      <c r="J102" s="7">
        <v>35</v>
      </c>
      <c r="K102" s="8">
        <v>0.05</v>
      </c>
      <c r="L102" s="9">
        <v>99.75</v>
      </c>
      <c r="M102" s="9">
        <v>42</v>
      </c>
      <c r="N102" s="9">
        <v>57.75</v>
      </c>
    </row>
    <row r="103" spans="1:14">
      <c r="A103" t="s">
        <v>333</v>
      </c>
      <c r="B103" s="6">
        <v>45823</v>
      </c>
      <c r="C103" t="s">
        <v>334</v>
      </c>
      <c r="D103" t="s">
        <v>79</v>
      </c>
      <c r="E103" t="s">
        <v>49</v>
      </c>
      <c r="F103" t="s">
        <v>56</v>
      </c>
      <c r="G103" t="s">
        <v>94</v>
      </c>
      <c r="H103" t="s">
        <v>51</v>
      </c>
      <c r="I103">
        <v>1</v>
      </c>
      <c r="J103" s="7">
        <v>18</v>
      </c>
      <c r="K103" s="8">
        <v>0</v>
      </c>
      <c r="L103" s="9">
        <v>18</v>
      </c>
      <c r="M103" s="9">
        <v>5.5</v>
      </c>
      <c r="N103" s="9">
        <v>12.5</v>
      </c>
    </row>
    <row r="104" spans="1:14">
      <c r="A104" t="s">
        <v>335</v>
      </c>
      <c r="B104" s="6">
        <v>45953</v>
      </c>
      <c r="C104" t="s">
        <v>247</v>
      </c>
      <c r="D104" t="s">
        <v>78</v>
      </c>
      <c r="E104" t="s">
        <v>55</v>
      </c>
      <c r="F104" t="s">
        <v>53</v>
      </c>
      <c r="G104" t="s">
        <v>85</v>
      </c>
      <c r="H104" t="s">
        <v>48</v>
      </c>
      <c r="I104">
        <v>2</v>
      </c>
      <c r="J104" s="7">
        <v>59.99</v>
      </c>
      <c r="K104" s="8">
        <v>0</v>
      </c>
      <c r="L104" s="9">
        <v>119.98</v>
      </c>
      <c r="M104" s="9">
        <v>56</v>
      </c>
      <c r="N104" s="9">
        <v>63.980000000000004</v>
      </c>
    </row>
    <row r="105" spans="1:14">
      <c r="A105" t="s">
        <v>336</v>
      </c>
      <c r="B105" s="6">
        <v>45957</v>
      </c>
      <c r="C105" t="s">
        <v>337</v>
      </c>
      <c r="D105" t="s">
        <v>78</v>
      </c>
      <c r="E105" t="s">
        <v>58</v>
      </c>
      <c r="F105" t="s">
        <v>56</v>
      </c>
      <c r="G105" t="s">
        <v>91</v>
      </c>
      <c r="H105" t="s">
        <v>57</v>
      </c>
      <c r="I105">
        <v>2</v>
      </c>
      <c r="J105" s="7">
        <v>35</v>
      </c>
      <c r="K105" s="8">
        <v>0.05</v>
      </c>
      <c r="L105" s="9">
        <v>66.5</v>
      </c>
      <c r="M105" s="9">
        <v>28</v>
      </c>
      <c r="N105" s="9">
        <v>38.5</v>
      </c>
    </row>
    <row r="106" spans="1:14">
      <c r="A106" t="s">
        <v>338</v>
      </c>
      <c r="B106" s="6">
        <v>45822</v>
      </c>
      <c r="C106" t="s">
        <v>339</v>
      </c>
      <c r="D106" t="s">
        <v>79</v>
      </c>
      <c r="E106" t="s">
        <v>58</v>
      </c>
      <c r="F106" t="s">
        <v>60</v>
      </c>
      <c r="G106" t="s">
        <v>86</v>
      </c>
      <c r="H106" t="s">
        <v>48</v>
      </c>
      <c r="I106">
        <v>3</v>
      </c>
      <c r="J106" s="7">
        <v>34.99</v>
      </c>
      <c r="K106" s="8">
        <v>0</v>
      </c>
      <c r="L106" s="9">
        <v>104.97</v>
      </c>
      <c r="M106" s="9">
        <v>48</v>
      </c>
      <c r="N106" s="9">
        <v>56.97</v>
      </c>
    </row>
    <row r="107" spans="1:14">
      <c r="A107" t="s">
        <v>340</v>
      </c>
      <c r="B107" s="6">
        <v>45676</v>
      </c>
      <c r="C107" t="s">
        <v>287</v>
      </c>
      <c r="D107" t="s">
        <v>78</v>
      </c>
      <c r="E107" t="s">
        <v>58</v>
      </c>
      <c r="F107" t="s">
        <v>60</v>
      </c>
      <c r="G107" t="s">
        <v>92</v>
      </c>
      <c r="H107" t="s">
        <v>57</v>
      </c>
      <c r="I107">
        <v>1</v>
      </c>
      <c r="J107" s="7">
        <v>22</v>
      </c>
      <c r="K107" s="8">
        <v>0</v>
      </c>
      <c r="L107" s="9">
        <v>22</v>
      </c>
      <c r="M107" s="9">
        <v>7.5</v>
      </c>
      <c r="N107" s="9">
        <v>14.5</v>
      </c>
    </row>
    <row r="108" spans="1:14">
      <c r="A108" t="s">
        <v>341</v>
      </c>
      <c r="B108" s="6">
        <v>45658</v>
      </c>
      <c r="C108" t="s">
        <v>342</v>
      </c>
      <c r="D108" t="s">
        <v>78</v>
      </c>
      <c r="E108" t="s">
        <v>58</v>
      </c>
      <c r="F108" t="s">
        <v>59</v>
      </c>
      <c r="G108" t="s">
        <v>93</v>
      </c>
      <c r="H108" t="s">
        <v>54</v>
      </c>
      <c r="I108">
        <v>1</v>
      </c>
      <c r="J108" s="7">
        <v>68</v>
      </c>
      <c r="K108" s="8">
        <v>0</v>
      </c>
      <c r="L108" s="9">
        <v>68</v>
      </c>
      <c r="M108" s="9">
        <v>31</v>
      </c>
      <c r="N108" s="9">
        <v>37</v>
      </c>
    </row>
    <row r="109" spans="1:14">
      <c r="A109" t="s">
        <v>343</v>
      </c>
      <c r="B109" s="6">
        <v>45684</v>
      </c>
      <c r="C109" t="s">
        <v>344</v>
      </c>
      <c r="D109" t="s">
        <v>78</v>
      </c>
      <c r="E109" t="s">
        <v>58</v>
      </c>
      <c r="F109" t="s">
        <v>50</v>
      </c>
      <c r="G109" t="s">
        <v>88</v>
      </c>
      <c r="H109" t="s">
        <v>51</v>
      </c>
      <c r="I109">
        <v>1</v>
      </c>
      <c r="J109" s="7">
        <v>42</v>
      </c>
      <c r="K109" s="8">
        <v>0</v>
      </c>
      <c r="L109" s="9">
        <v>42</v>
      </c>
      <c r="M109" s="9">
        <v>19</v>
      </c>
      <c r="N109" s="9">
        <v>23</v>
      </c>
    </row>
    <row r="110" spans="1:14">
      <c r="A110" t="s">
        <v>345</v>
      </c>
      <c r="B110" s="6">
        <v>45672</v>
      </c>
      <c r="C110" t="s">
        <v>346</v>
      </c>
      <c r="D110" t="s">
        <v>78</v>
      </c>
      <c r="E110" t="s">
        <v>58</v>
      </c>
      <c r="F110" t="s">
        <v>50</v>
      </c>
      <c r="G110" t="s">
        <v>94</v>
      </c>
      <c r="H110" t="s">
        <v>51</v>
      </c>
      <c r="I110">
        <v>2</v>
      </c>
      <c r="J110" s="7">
        <v>18</v>
      </c>
      <c r="K110" s="8">
        <v>0.1</v>
      </c>
      <c r="L110" s="9">
        <v>32.4</v>
      </c>
      <c r="M110" s="9">
        <v>11</v>
      </c>
      <c r="N110" s="9">
        <v>21.4</v>
      </c>
    </row>
    <row r="111" spans="1:14">
      <c r="A111" t="s">
        <v>347</v>
      </c>
      <c r="B111" s="6">
        <v>45773</v>
      </c>
      <c r="C111" t="s">
        <v>192</v>
      </c>
      <c r="D111" t="s">
        <v>79</v>
      </c>
      <c r="E111" t="s">
        <v>55</v>
      </c>
      <c r="F111" t="s">
        <v>60</v>
      </c>
      <c r="G111" t="s">
        <v>86</v>
      </c>
      <c r="H111" t="s">
        <v>48</v>
      </c>
      <c r="I111">
        <v>1</v>
      </c>
      <c r="J111" s="7">
        <v>34.99</v>
      </c>
      <c r="K111" s="8">
        <v>0</v>
      </c>
      <c r="L111" s="9">
        <v>34.99</v>
      </c>
      <c r="M111" s="9">
        <v>16</v>
      </c>
      <c r="N111" s="9">
        <v>18.990000000000002</v>
      </c>
    </row>
    <row r="112" spans="1:14">
      <c r="A112" t="s">
        <v>348</v>
      </c>
      <c r="B112" s="6">
        <v>46019</v>
      </c>
      <c r="C112" t="s">
        <v>349</v>
      </c>
      <c r="D112" t="s">
        <v>78</v>
      </c>
      <c r="E112" t="s">
        <v>52</v>
      </c>
      <c r="F112" t="s">
        <v>59</v>
      </c>
      <c r="G112" t="s">
        <v>89</v>
      </c>
      <c r="H112" t="s">
        <v>51</v>
      </c>
      <c r="I112">
        <v>1</v>
      </c>
      <c r="J112" s="7">
        <v>38</v>
      </c>
      <c r="K112" s="8">
        <v>0.05</v>
      </c>
      <c r="L112" s="9">
        <v>36.1</v>
      </c>
      <c r="M112" s="9">
        <v>17</v>
      </c>
      <c r="N112" s="9">
        <v>19.100000000000001</v>
      </c>
    </row>
    <row r="113" spans="1:14">
      <c r="A113" t="s">
        <v>350</v>
      </c>
      <c r="B113" s="6">
        <v>45755</v>
      </c>
      <c r="C113" t="s">
        <v>351</v>
      </c>
      <c r="D113" t="s">
        <v>79</v>
      </c>
      <c r="E113" t="s">
        <v>58</v>
      </c>
      <c r="F113" t="s">
        <v>56</v>
      </c>
      <c r="G113" t="s">
        <v>94</v>
      </c>
      <c r="H113" t="s">
        <v>51</v>
      </c>
      <c r="I113">
        <v>1</v>
      </c>
      <c r="J113" s="7">
        <v>18</v>
      </c>
      <c r="K113" s="8">
        <v>0.15</v>
      </c>
      <c r="L113" s="9">
        <v>15.299999999999999</v>
      </c>
      <c r="M113" s="9">
        <v>5.5</v>
      </c>
      <c r="N113" s="9">
        <v>9.7999999999999989</v>
      </c>
    </row>
    <row r="114" spans="1:14">
      <c r="A114" t="s">
        <v>352</v>
      </c>
      <c r="B114" s="6">
        <v>45917</v>
      </c>
      <c r="C114" t="s">
        <v>353</v>
      </c>
      <c r="D114" t="s">
        <v>78</v>
      </c>
      <c r="E114" t="s">
        <v>58</v>
      </c>
      <c r="F114" t="s">
        <v>53</v>
      </c>
      <c r="G114" t="s">
        <v>89</v>
      </c>
      <c r="H114" t="s">
        <v>51</v>
      </c>
      <c r="I114">
        <v>2</v>
      </c>
      <c r="J114" s="7">
        <v>38</v>
      </c>
      <c r="K114" s="8">
        <v>0</v>
      </c>
      <c r="L114" s="9">
        <v>76</v>
      </c>
      <c r="M114" s="9">
        <v>34</v>
      </c>
      <c r="N114" s="9">
        <v>42</v>
      </c>
    </row>
    <row r="115" spans="1:14">
      <c r="A115" t="s">
        <v>354</v>
      </c>
      <c r="B115" s="6">
        <v>45886</v>
      </c>
      <c r="C115" t="s">
        <v>355</v>
      </c>
      <c r="D115" t="s">
        <v>79</v>
      </c>
      <c r="E115" t="s">
        <v>58</v>
      </c>
      <c r="F115" t="s">
        <v>56</v>
      </c>
      <c r="G115" t="s">
        <v>93</v>
      </c>
      <c r="H115" t="s">
        <v>54</v>
      </c>
      <c r="I115">
        <v>1</v>
      </c>
      <c r="J115" s="7">
        <v>68</v>
      </c>
      <c r="K115" s="8">
        <v>0</v>
      </c>
      <c r="L115" s="9">
        <v>68</v>
      </c>
      <c r="M115" s="9">
        <v>31</v>
      </c>
      <c r="N115" s="9">
        <v>37</v>
      </c>
    </row>
    <row r="116" spans="1:14">
      <c r="A116" t="s">
        <v>356</v>
      </c>
      <c r="B116" s="6">
        <v>45754</v>
      </c>
      <c r="C116" t="s">
        <v>357</v>
      </c>
      <c r="D116" t="s">
        <v>79</v>
      </c>
      <c r="E116" t="s">
        <v>55</v>
      </c>
      <c r="F116" t="s">
        <v>59</v>
      </c>
      <c r="G116" t="s">
        <v>88</v>
      </c>
      <c r="H116" t="s">
        <v>51</v>
      </c>
      <c r="I116">
        <v>1</v>
      </c>
      <c r="J116" s="7">
        <v>42</v>
      </c>
      <c r="K116" s="8">
        <v>0</v>
      </c>
      <c r="L116" s="9">
        <v>42</v>
      </c>
      <c r="M116" s="9">
        <v>19</v>
      </c>
      <c r="N116" s="9">
        <v>23</v>
      </c>
    </row>
    <row r="117" spans="1:14">
      <c r="A117" t="s">
        <v>358</v>
      </c>
      <c r="B117" s="6">
        <v>46019</v>
      </c>
      <c r="C117" t="s">
        <v>220</v>
      </c>
      <c r="D117" t="s">
        <v>79</v>
      </c>
      <c r="E117" t="s">
        <v>58</v>
      </c>
      <c r="F117" t="s">
        <v>50</v>
      </c>
      <c r="G117" t="s">
        <v>91</v>
      </c>
      <c r="H117" t="s">
        <v>57</v>
      </c>
      <c r="I117">
        <v>1</v>
      </c>
      <c r="J117" s="7">
        <v>35</v>
      </c>
      <c r="K117" s="8">
        <v>0.1</v>
      </c>
      <c r="L117" s="9">
        <v>31.5</v>
      </c>
      <c r="M117" s="9">
        <v>14</v>
      </c>
      <c r="N117" s="9">
        <v>17.5</v>
      </c>
    </row>
    <row r="118" spans="1:14">
      <c r="A118" t="s">
        <v>359</v>
      </c>
      <c r="B118" s="6">
        <v>45722</v>
      </c>
      <c r="C118" t="s">
        <v>360</v>
      </c>
      <c r="D118" t="s">
        <v>78</v>
      </c>
      <c r="E118" t="s">
        <v>49</v>
      </c>
      <c r="F118" t="s">
        <v>60</v>
      </c>
      <c r="G118" t="s">
        <v>93</v>
      </c>
      <c r="H118" t="s">
        <v>54</v>
      </c>
      <c r="I118">
        <v>4</v>
      </c>
      <c r="J118" s="7">
        <v>68</v>
      </c>
      <c r="K118" s="8">
        <v>0</v>
      </c>
      <c r="L118" s="9">
        <v>272</v>
      </c>
      <c r="M118" s="9">
        <v>124</v>
      </c>
      <c r="N118" s="9">
        <v>148</v>
      </c>
    </row>
    <row r="119" spans="1:14">
      <c r="A119" t="s">
        <v>361</v>
      </c>
      <c r="B119" s="6">
        <v>45891</v>
      </c>
      <c r="C119" t="s">
        <v>362</v>
      </c>
      <c r="D119" t="s">
        <v>79</v>
      </c>
      <c r="E119" t="s">
        <v>49</v>
      </c>
      <c r="F119" t="s">
        <v>59</v>
      </c>
      <c r="G119" t="s">
        <v>85</v>
      </c>
      <c r="H119" t="s">
        <v>48</v>
      </c>
      <c r="I119">
        <v>2</v>
      </c>
      <c r="J119" s="7">
        <v>59.99</v>
      </c>
      <c r="K119" s="8">
        <v>0</v>
      </c>
      <c r="L119" s="9">
        <v>119.98</v>
      </c>
      <c r="M119" s="9">
        <v>56</v>
      </c>
      <c r="N119" s="9">
        <v>63.980000000000004</v>
      </c>
    </row>
    <row r="120" spans="1:14">
      <c r="A120" t="s">
        <v>363</v>
      </c>
      <c r="B120" s="6">
        <v>45793</v>
      </c>
      <c r="C120" t="s">
        <v>364</v>
      </c>
      <c r="D120" t="s">
        <v>78</v>
      </c>
      <c r="E120" t="s">
        <v>58</v>
      </c>
      <c r="F120" t="s">
        <v>56</v>
      </c>
      <c r="G120" t="s">
        <v>90</v>
      </c>
      <c r="H120" t="s">
        <v>54</v>
      </c>
      <c r="I120">
        <v>2</v>
      </c>
      <c r="J120" s="7">
        <v>29</v>
      </c>
      <c r="K120" s="8">
        <v>0</v>
      </c>
      <c r="L120" s="9">
        <v>58</v>
      </c>
      <c r="M120" s="9">
        <v>22</v>
      </c>
      <c r="N120" s="9">
        <v>36</v>
      </c>
    </row>
    <row r="121" spans="1:14">
      <c r="A121" t="s">
        <v>365</v>
      </c>
      <c r="B121" s="6">
        <v>45978</v>
      </c>
      <c r="C121" t="s">
        <v>366</v>
      </c>
      <c r="D121" t="s">
        <v>78</v>
      </c>
      <c r="E121" t="s">
        <v>55</v>
      </c>
      <c r="F121" t="s">
        <v>53</v>
      </c>
      <c r="G121" t="s">
        <v>92</v>
      </c>
      <c r="H121" t="s">
        <v>57</v>
      </c>
      <c r="I121">
        <v>3</v>
      </c>
      <c r="J121" s="7">
        <v>22</v>
      </c>
      <c r="K121" s="8">
        <v>0</v>
      </c>
      <c r="L121" s="9">
        <v>66</v>
      </c>
      <c r="M121" s="9">
        <v>22.5</v>
      </c>
      <c r="N121" s="9">
        <v>43.5</v>
      </c>
    </row>
    <row r="122" spans="1:14">
      <c r="A122" t="s">
        <v>367</v>
      </c>
      <c r="B122" s="6">
        <v>45704</v>
      </c>
      <c r="C122" t="s">
        <v>152</v>
      </c>
      <c r="D122" t="s">
        <v>79</v>
      </c>
      <c r="E122" t="s">
        <v>58</v>
      </c>
      <c r="F122" t="s">
        <v>53</v>
      </c>
      <c r="G122" t="s">
        <v>91</v>
      </c>
      <c r="H122" t="s">
        <v>57</v>
      </c>
      <c r="I122">
        <v>4</v>
      </c>
      <c r="J122" s="7">
        <v>35</v>
      </c>
      <c r="K122" s="8">
        <v>0.1</v>
      </c>
      <c r="L122" s="9">
        <v>126</v>
      </c>
      <c r="M122" s="9">
        <v>56</v>
      </c>
      <c r="N122" s="9">
        <v>70</v>
      </c>
    </row>
    <row r="123" spans="1:14">
      <c r="A123" t="s">
        <v>368</v>
      </c>
      <c r="B123" s="6">
        <v>46013</v>
      </c>
      <c r="C123" t="s">
        <v>369</v>
      </c>
      <c r="D123" t="s">
        <v>79</v>
      </c>
      <c r="E123" t="s">
        <v>55</v>
      </c>
      <c r="F123" t="s">
        <v>56</v>
      </c>
      <c r="G123" t="s">
        <v>89</v>
      </c>
      <c r="H123" t="s">
        <v>51</v>
      </c>
      <c r="I123">
        <v>3</v>
      </c>
      <c r="J123" s="7">
        <v>38</v>
      </c>
      <c r="K123" s="8">
        <v>0</v>
      </c>
      <c r="L123" s="9">
        <v>114</v>
      </c>
      <c r="M123" s="9">
        <v>51</v>
      </c>
      <c r="N123" s="9">
        <v>63</v>
      </c>
    </row>
    <row r="124" spans="1:14">
      <c r="A124" t="s">
        <v>370</v>
      </c>
      <c r="B124" s="6">
        <v>45878</v>
      </c>
      <c r="C124" t="s">
        <v>371</v>
      </c>
      <c r="D124" t="s">
        <v>79</v>
      </c>
      <c r="E124" t="s">
        <v>52</v>
      </c>
      <c r="F124" t="s">
        <v>53</v>
      </c>
      <c r="G124" t="s">
        <v>87</v>
      </c>
      <c r="H124" t="s">
        <v>48</v>
      </c>
      <c r="I124">
        <v>1</v>
      </c>
      <c r="J124" s="7">
        <v>89.99</v>
      </c>
      <c r="K124" s="8">
        <v>0</v>
      </c>
      <c r="L124" s="9">
        <v>89.99</v>
      </c>
      <c r="M124" s="9">
        <v>46</v>
      </c>
      <c r="N124" s="9">
        <v>43.989999999999995</v>
      </c>
    </row>
    <row r="125" spans="1:14">
      <c r="A125" t="s">
        <v>372</v>
      </c>
      <c r="B125" s="6">
        <v>45698</v>
      </c>
      <c r="C125" t="s">
        <v>373</v>
      </c>
      <c r="D125" t="s">
        <v>78</v>
      </c>
      <c r="E125" t="s">
        <v>52</v>
      </c>
      <c r="F125" t="s">
        <v>53</v>
      </c>
      <c r="G125" t="s">
        <v>94</v>
      </c>
      <c r="H125" t="s">
        <v>51</v>
      </c>
      <c r="I125">
        <v>3</v>
      </c>
      <c r="J125" s="7">
        <v>18</v>
      </c>
      <c r="K125" s="8">
        <v>0.05</v>
      </c>
      <c r="L125" s="9">
        <v>51.3</v>
      </c>
      <c r="M125" s="9">
        <v>16.5</v>
      </c>
      <c r="N125" s="9">
        <v>34.799999999999997</v>
      </c>
    </row>
    <row r="126" spans="1:14">
      <c r="A126" t="s">
        <v>374</v>
      </c>
      <c r="B126" s="6">
        <v>45894</v>
      </c>
      <c r="C126" t="s">
        <v>166</v>
      </c>
      <c r="D126" t="s">
        <v>79</v>
      </c>
      <c r="E126" t="s">
        <v>55</v>
      </c>
      <c r="F126" t="s">
        <v>60</v>
      </c>
      <c r="G126" t="s">
        <v>89</v>
      </c>
      <c r="H126" t="s">
        <v>51</v>
      </c>
      <c r="I126">
        <v>1</v>
      </c>
      <c r="J126" s="7">
        <v>38</v>
      </c>
      <c r="K126" s="8">
        <v>0.1</v>
      </c>
      <c r="L126" s="9">
        <v>34.200000000000003</v>
      </c>
      <c r="M126" s="9">
        <v>17</v>
      </c>
      <c r="N126" s="9">
        <v>17.200000000000003</v>
      </c>
    </row>
    <row r="127" spans="1:14">
      <c r="A127" t="s">
        <v>375</v>
      </c>
      <c r="B127" s="6">
        <v>45738</v>
      </c>
      <c r="C127" t="s">
        <v>376</v>
      </c>
      <c r="D127" t="s">
        <v>79</v>
      </c>
      <c r="E127" t="s">
        <v>55</v>
      </c>
      <c r="F127" t="s">
        <v>59</v>
      </c>
      <c r="G127" t="s">
        <v>86</v>
      </c>
      <c r="H127" t="s">
        <v>48</v>
      </c>
      <c r="I127">
        <v>1</v>
      </c>
      <c r="J127" s="7">
        <v>34.99</v>
      </c>
      <c r="K127" s="8">
        <v>0</v>
      </c>
      <c r="L127" s="9">
        <v>34.99</v>
      </c>
      <c r="M127" s="9">
        <v>16</v>
      </c>
      <c r="N127" s="9">
        <v>18.990000000000002</v>
      </c>
    </row>
    <row r="128" spans="1:14">
      <c r="A128" t="s">
        <v>377</v>
      </c>
      <c r="B128" s="6">
        <v>45812</v>
      </c>
      <c r="C128" t="s">
        <v>378</v>
      </c>
      <c r="D128" t="s">
        <v>78</v>
      </c>
      <c r="E128" t="s">
        <v>55</v>
      </c>
      <c r="F128" t="s">
        <v>60</v>
      </c>
      <c r="G128" t="s">
        <v>88</v>
      </c>
      <c r="H128" t="s">
        <v>51</v>
      </c>
      <c r="I128">
        <v>4</v>
      </c>
      <c r="J128" s="7">
        <v>42</v>
      </c>
      <c r="K128" s="8">
        <v>0.15</v>
      </c>
      <c r="L128" s="9">
        <v>142.79999999999998</v>
      </c>
      <c r="M128" s="9">
        <v>76</v>
      </c>
      <c r="N128" s="9">
        <v>66.799999999999983</v>
      </c>
    </row>
    <row r="129" spans="1:14">
      <c r="A129" t="s">
        <v>379</v>
      </c>
      <c r="B129" s="6">
        <v>45809</v>
      </c>
      <c r="C129" t="s">
        <v>380</v>
      </c>
      <c r="D129" t="s">
        <v>78</v>
      </c>
      <c r="E129" t="s">
        <v>49</v>
      </c>
      <c r="F129" t="s">
        <v>60</v>
      </c>
      <c r="G129" t="s">
        <v>89</v>
      </c>
      <c r="H129" t="s">
        <v>51</v>
      </c>
      <c r="I129">
        <v>1</v>
      </c>
      <c r="J129" s="7">
        <v>38</v>
      </c>
      <c r="K129" s="8">
        <v>0.1</v>
      </c>
      <c r="L129" s="9">
        <v>34.200000000000003</v>
      </c>
      <c r="M129" s="9">
        <v>17</v>
      </c>
      <c r="N129" s="9">
        <v>17.200000000000003</v>
      </c>
    </row>
    <row r="130" spans="1:14">
      <c r="A130" t="s">
        <v>381</v>
      </c>
      <c r="B130" s="6">
        <v>45912</v>
      </c>
      <c r="C130" t="s">
        <v>164</v>
      </c>
      <c r="D130" t="s">
        <v>79</v>
      </c>
      <c r="E130" t="s">
        <v>52</v>
      </c>
      <c r="F130" t="s">
        <v>60</v>
      </c>
      <c r="G130" t="s">
        <v>89</v>
      </c>
      <c r="H130" t="s">
        <v>51</v>
      </c>
      <c r="I130">
        <v>2</v>
      </c>
      <c r="J130" s="7">
        <v>38</v>
      </c>
      <c r="K130" s="8">
        <v>0</v>
      </c>
      <c r="L130" s="9">
        <v>76</v>
      </c>
      <c r="M130" s="9">
        <v>34</v>
      </c>
      <c r="N130" s="9">
        <v>42</v>
      </c>
    </row>
    <row r="131" spans="1:14">
      <c r="A131" t="s">
        <v>382</v>
      </c>
      <c r="B131" s="6">
        <v>45786</v>
      </c>
      <c r="C131" t="s">
        <v>251</v>
      </c>
      <c r="D131" t="s">
        <v>79</v>
      </c>
      <c r="E131" t="s">
        <v>58</v>
      </c>
      <c r="F131" t="s">
        <v>50</v>
      </c>
      <c r="G131" t="s">
        <v>87</v>
      </c>
      <c r="H131" t="s">
        <v>48</v>
      </c>
      <c r="I131">
        <v>2</v>
      </c>
      <c r="J131" s="7">
        <v>89.99</v>
      </c>
      <c r="K131" s="8">
        <v>0.15</v>
      </c>
      <c r="L131" s="9">
        <v>152.98299999999998</v>
      </c>
      <c r="M131" s="9">
        <v>92</v>
      </c>
      <c r="N131" s="9">
        <v>60.982999999999976</v>
      </c>
    </row>
    <row r="132" spans="1:14">
      <c r="A132" t="s">
        <v>383</v>
      </c>
      <c r="B132" s="6">
        <v>45954</v>
      </c>
      <c r="C132" t="s">
        <v>384</v>
      </c>
      <c r="D132" t="s">
        <v>78</v>
      </c>
      <c r="E132" t="s">
        <v>58</v>
      </c>
      <c r="F132" t="s">
        <v>53</v>
      </c>
      <c r="G132" t="s">
        <v>90</v>
      </c>
      <c r="H132" t="s">
        <v>54</v>
      </c>
      <c r="I132">
        <v>2</v>
      </c>
      <c r="J132" s="7">
        <v>29</v>
      </c>
      <c r="K132" s="8">
        <v>0</v>
      </c>
      <c r="L132" s="9">
        <v>58</v>
      </c>
      <c r="M132" s="9">
        <v>22</v>
      </c>
      <c r="N132" s="9">
        <v>36</v>
      </c>
    </row>
    <row r="133" spans="1:14">
      <c r="A133" t="s">
        <v>385</v>
      </c>
      <c r="B133" s="6">
        <v>45760</v>
      </c>
      <c r="C133" t="s">
        <v>386</v>
      </c>
      <c r="D133" t="s">
        <v>78</v>
      </c>
      <c r="E133" t="s">
        <v>55</v>
      </c>
      <c r="F133" t="s">
        <v>53</v>
      </c>
      <c r="G133" t="s">
        <v>87</v>
      </c>
      <c r="H133" t="s">
        <v>48</v>
      </c>
      <c r="I133">
        <v>2</v>
      </c>
      <c r="J133" s="7">
        <v>89.99</v>
      </c>
      <c r="K133" s="8">
        <v>0.15</v>
      </c>
      <c r="L133" s="9">
        <v>152.98299999999998</v>
      </c>
      <c r="M133" s="9">
        <v>92</v>
      </c>
      <c r="N133" s="9">
        <v>60.982999999999976</v>
      </c>
    </row>
    <row r="134" spans="1:14">
      <c r="A134" t="s">
        <v>387</v>
      </c>
      <c r="B134" s="6">
        <v>45789</v>
      </c>
      <c r="C134" t="s">
        <v>202</v>
      </c>
      <c r="D134" t="s">
        <v>79</v>
      </c>
      <c r="E134" t="s">
        <v>58</v>
      </c>
      <c r="F134" t="s">
        <v>50</v>
      </c>
      <c r="G134" t="s">
        <v>92</v>
      </c>
      <c r="H134" t="s">
        <v>57</v>
      </c>
      <c r="I134">
        <v>4</v>
      </c>
      <c r="J134" s="7">
        <v>22</v>
      </c>
      <c r="K134" s="8">
        <v>0</v>
      </c>
      <c r="L134" s="9">
        <v>88</v>
      </c>
      <c r="M134" s="9">
        <v>30</v>
      </c>
      <c r="N134" s="9">
        <v>58</v>
      </c>
    </row>
    <row r="135" spans="1:14">
      <c r="A135" t="s">
        <v>388</v>
      </c>
      <c r="B135" s="6">
        <v>45730</v>
      </c>
      <c r="C135" t="s">
        <v>156</v>
      </c>
      <c r="D135" t="s">
        <v>79</v>
      </c>
      <c r="E135" t="s">
        <v>55</v>
      </c>
      <c r="F135" t="s">
        <v>50</v>
      </c>
      <c r="G135" t="s">
        <v>88</v>
      </c>
      <c r="H135" t="s">
        <v>51</v>
      </c>
      <c r="I135">
        <v>3</v>
      </c>
      <c r="J135" s="7">
        <v>42</v>
      </c>
      <c r="K135" s="8">
        <v>0.1</v>
      </c>
      <c r="L135" s="9">
        <v>113.4</v>
      </c>
      <c r="M135" s="9">
        <v>57</v>
      </c>
      <c r="N135" s="9">
        <v>56.400000000000006</v>
      </c>
    </row>
    <row r="136" spans="1:14">
      <c r="A136" t="s">
        <v>389</v>
      </c>
      <c r="B136" s="6">
        <v>45860</v>
      </c>
      <c r="C136" t="s">
        <v>390</v>
      </c>
      <c r="D136" t="s">
        <v>78</v>
      </c>
      <c r="E136" t="s">
        <v>55</v>
      </c>
      <c r="F136" t="s">
        <v>60</v>
      </c>
      <c r="G136" t="s">
        <v>85</v>
      </c>
      <c r="H136" t="s">
        <v>48</v>
      </c>
      <c r="I136">
        <v>1</v>
      </c>
      <c r="J136" s="7">
        <v>59.99</v>
      </c>
      <c r="K136" s="8">
        <v>0</v>
      </c>
      <c r="L136" s="9">
        <v>59.99</v>
      </c>
      <c r="M136" s="9">
        <v>28</v>
      </c>
      <c r="N136" s="9">
        <v>31.990000000000002</v>
      </c>
    </row>
    <row r="137" spans="1:14">
      <c r="A137" t="s">
        <v>391</v>
      </c>
      <c r="B137" s="6">
        <v>45853</v>
      </c>
      <c r="C137" t="s">
        <v>392</v>
      </c>
      <c r="D137" t="s">
        <v>78</v>
      </c>
      <c r="E137" t="s">
        <v>55</v>
      </c>
      <c r="F137" t="s">
        <v>60</v>
      </c>
      <c r="G137" t="s">
        <v>90</v>
      </c>
      <c r="H137" t="s">
        <v>54</v>
      </c>
      <c r="I137">
        <v>1</v>
      </c>
      <c r="J137" s="7">
        <v>29</v>
      </c>
      <c r="K137" s="8">
        <v>0</v>
      </c>
      <c r="L137" s="9">
        <v>29</v>
      </c>
      <c r="M137" s="9">
        <v>11</v>
      </c>
      <c r="N137" s="9">
        <v>18</v>
      </c>
    </row>
    <row r="138" spans="1:14">
      <c r="A138" t="s">
        <v>393</v>
      </c>
      <c r="B138" s="6">
        <v>45771</v>
      </c>
      <c r="C138" t="s">
        <v>394</v>
      </c>
      <c r="D138" t="s">
        <v>79</v>
      </c>
      <c r="E138" t="s">
        <v>49</v>
      </c>
      <c r="F138" t="s">
        <v>53</v>
      </c>
      <c r="G138" t="s">
        <v>86</v>
      </c>
      <c r="H138" t="s">
        <v>48</v>
      </c>
      <c r="I138">
        <v>2</v>
      </c>
      <c r="J138" s="7">
        <v>34.99</v>
      </c>
      <c r="K138" s="8">
        <v>0</v>
      </c>
      <c r="L138" s="9">
        <v>69.98</v>
      </c>
      <c r="M138" s="9">
        <v>32</v>
      </c>
      <c r="N138" s="9">
        <v>37.980000000000004</v>
      </c>
    </row>
    <row r="139" spans="1:14">
      <c r="A139" t="s">
        <v>395</v>
      </c>
      <c r="B139" s="6">
        <v>45681</v>
      </c>
      <c r="C139" t="s">
        <v>396</v>
      </c>
      <c r="D139" t="s">
        <v>78</v>
      </c>
      <c r="E139" t="s">
        <v>52</v>
      </c>
      <c r="F139" t="s">
        <v>59</v>
      </c>
      <c r="G139" t="s">
        <v>85</v>
      </c>
      <c r="H139" t="s">
        <v>48</v>
      </c>
      <c r="I139">
        <v>1</v>
      </c>
      <c r="J139" s="7">
        <v>59.99</v>
      </c>
      <c r="K139" s="8">
        <v>0.05</v>
      </c>
      <c r="L139" s="9">
        <v>56.990499999999997</v>
      </c>
      <c r="M139" s="9">
        <v>28</v>
      </c>
      <c r="N139" s="9">
        <v>28.990499999999997</v>
      </c>
    </row>
    <row r="140" spans="1:14">
      <c r="A140" t="s">
        <v>397</v>
      </c>
      <c r="B140" s="6">
        <v>45890</v>
      </c>
      <c r="C140" t="s">
        <v>269</v>
      </c>
      <c r="D140" t="s">
        <v>79</v>
      </c>
      <c r="E140" t="s">
        <v>52</v>
      </c>
      <c r="F140" t="s">
        <v>59</v>
      </c>
      <c r="G140" t="s">
        <v>90</v>
      </c>
      <c r="H140" t="s">
        <v>54</v>
      </c>
      <c r="I140">
        <v>2</v>
      </c>
      <c r="J140" s="7">
        <v>29</v>
      </c>
      <c r="K140" s="8">
        <v>0.1</v>
      </c>
      <c r="L140" s="9">
        <v>52.2</v>
      </c>
      <c r="M140" s="9">
        <v>22</v>
      </c>
      <c r="N140" s="9">
        <v>30.200000000000003</v>
      </c>
    </row>
    <row r="141" spans="1:14">
      <c r="A141" t="s">
        <v>398</v>
      </c>
      <c r="B141" s="6">
        <v>45993</v>
      </c>
      <c r="C141" t="s">
        <v>399</v>
      </c>
      <c r="D141" t="s">
        <v>79</v>
      </c>
      <c r="E141" t="s">
        <v>49</v>
      </c>
      <c r="F141" t="s">
        <v>56</v>
      </c>
      <c r="G141" t="s">
        <v>86</v>
      </c>
      <c r="H141" t="s">
        <v>48</v>
      </c>
      <c r="I141">
        <v>2</v>
      </c>
      <c r="J141" s="7">
        <v>34.99</v>
      </c>
      <c r="K141" s="8">
        <v>0.05</v>
      </c>
      <c r="L141" s="9">
        <v>66.480999999999995</v>
      </c>
      <c r="M141" s="9">
        <v>32</v>
      </c>
      <c r="N141" s="9">
        <v>34.480999999999995</v>
      </c>
    </row>
    <row r="142" spans="1:14">
      <c r="A142" t="s">
        <v>400</v>
      </c>
      <c r="B142" s="6">
        <v>45769</v>
      </c>
      <c r="C142" t="s">
        <v>401</v>
      </c>
      <c r="D142" t="s">
        <v>78</v>
      </c>
      <c r="E142" t="s">
        <v>55</v>
      </c>
      <c r="F142" t="s">
        <v>60</v>
      </c>
      <c r="G142" t="s">
        <v>92</v>
      </c>
      <c r="H142" t="s">
        <v>57</v>
      </c>
      <c r="I142">
        <v>1</v>
      </c>
      <c r="J142" s="7">
        <v>22</v>
      </c>
      <c r="K142" s="8">
        <v>0</v>
      </c>
      <c r="L142" s="9">
        <v>22</v>
      </c>
      <c r="M142" s="9">
        <v>7.5</v>
      </c>
      <c r="N142" s="9">
        <v>14.5</v>
      </c>
    </row>
    <row r="143" spans="1:14">
      <c r="A143" t="s">
        <v>402</v>
      </c>
      <c r="B143" s="6">
        <v>45988</v>
      </c>
      <c r="C143" t="s">
        <v>403</v>
      </c>
      <c r="D143" t="s">
        <v>79</v>
      </c>
      <c r="E143" t="s">
        <v>49</v>
      </c>
      <c r="F143" t="s">
        <v>53</v>
      </c>
      <c r="G143" t="s">
        <v>90</v>
      </c>
      <c r="H143" t="s">
        <v>54</v>
      </c>
      <c r="I143">
        <v>1</v>
      </c>
      <c r="J143" s="7">
        <v>29</v>
      </c>
      <c r="K143" s="8">
        <v>0</v>
      </c>
      <c r="L143" s="9">
        <v>29</v>
      </c>
      <c r="M143" s="9">
        <v>11</v>
      </c>
      <c r="N143" s="9">
        <v>18</v>
      </c>
    </row>
    <row r="144" spans="1:14">
      <c r="A144" t="s">
        <v>404</v>
      </c>
      <c r="B144" s="6">
        <v>45986</v>
      </c>
      <c r="C144" t="s">
        <v>281</v>
      </c>
      <c r="D144" t="s">
        <v>78</v>
      </c>
      <c r="E144" t="s">
        <v>52</v>
      </c>
      <c r="F144" t="s">
        <v>50</v>
      </c>
      <c r="G144" t="s">
        <v>94</v>
      </c>
      <c r="H144" t="s">
        <v>51</v>
      </c>
      <c r="I144">
        <v>4</v>
      </c>
      <c r="J144" s="7">
        <v>18</v>
      </c>
      <c r="K144" s="8">
        <v>0</v>
      </c>
      <c r="L144" s="9">
        <v>72</v>
      </c>
      <c r="M144" s="9">
        <v>22</v>
      </c>
      <c r="N144" s="9">
        <v>50</v>
      </c>
    </row>
    <row r="145" spans="1:14">
      <c r="A145" t="s">
        <v>405</v>
      </c>
      <c r="B145" s="6">
        <v>45941</v>
      </c>
      <c r="C145" t="s">
        <v>406</v>
      </c>
      <c r="D145" t="s">
        <v>78</v>
      </c>
      <c r="E145" t="s">
        <v>52</v>
      </c>
      <c r="F145" t="s">
        <v>60</v>
      </c>
      <c r="G145" t="s">
        <v>88</v>
      </c>
      <c r="H145" t="s">
        <v>51</v>
      </c>
      <c r="I145">
        <v>1</v>
      </c>
      <c r="J145" s="7">
        <v>42</v>
      </c>
      <c r="K145" s="8">
        <v>0.1</v>
      </c>
      <c r="L145" s="9">
        <v>37.800000000000004</v>
      </c>
      <c r="M145" s="9">
        <v>19</v>
      </c>
      <c r="N145" s="9">
        <v>18.800000000000004</v>
      </c>
    </row>
    <row r="146" spans="1:14">
      <c r="A146" t="s">
        <v>407</v>
      </c>
      <c r="B146" s="6">
        <v>45659</v>
      </c>
      <c r="C146" t="s">
        <v>408</v>
      </c>
      <c r="D146" t="s">
        <v>78</v>
      </c>
      <c r="E146" t="s">
        <v>52</v>
      </c>
      <c r="F146" t="s">
        <v>50</v>
      </c>
      <c r="G146" t="s">
        <v>89</v>
      </c>
      <c r="H146" t="s">
        <v>51</v>
      </c>
      <c r="I146">
        <v>3</v>
      </c>
      <c r="J146" s="7">
        <v>38</v>
      </c>
      <c r="K146" s="8">
        <v>0</v>
      </c>
      <c r="L146" s="9">
        <v>114</v>
      </c>
      <c r="M146" s="9">
        <v>51</v>
      </c>
      <c r="N146" s="9">
        <v>63</v>
      </c>
    </row>
    <row r="147" spans="1:14">
      <c r="A147" t="s">
        <v>409</v>
      </c>
      <c r="B147" s="6">
        <v>45996</v>
      </c>
      <c r="C147" t="s">
        <v>410</v>
      </c>
      <c r="D147" t="s">
        <v>79</v>
      </c>
      <c r="E147" t="s">
        <v>55</v>
      </c>
      <c r="F147" t="s">
        <v>50</v>
      </c>
      <c r="G147" t="s">
        <v>85</v>
      </c>
      <c r="H147" t="s">
        <v>48</v>
      </c>
      <c r="I147">
        <v>1</v>
      </c>
      <c r="J147" s="7">
        <v>59.99</v>
      </c>
      <c r="K147" s="8">
        <v>0</v>
      </c>
      <c r="L147" s="9">
        <v>59.99</v>
      </c>
      <c r="M147" s="9">
        <v>28</v>
      </c>
      <c r="N147" s="9">
        <v>31.990000000000002</v>
      </c>
    </row>
    <row r="148" spans="1:14">
      <c r="A148" t="s">
        <v>411</v>
      </c>
      <c r="B148" s="6">
        <v>45747</v>
      </c>
      <c r="C148" t="s">
        <v>305</v>
      </c>
      <c r="D148" t="s">
        <v>78</v>
      </c>
      <c r="E148" t="s">
        <v>49</v>
      </c>
      <c r="F148" t="s">
        <v>59</v>
      </c>
      <c r="G148" t="s">
        <v>89</v>
      </c>
      <c r="H148" t="s">
        <v>51</v>
      </c>
      <c r="I148">
        <v>1</v>
      </c>
      <c r="J148" s="7">
        <v>38</v>
      </c>
      <c r="K148" s="8">
        <v>0.1</v>
      </c>
      <c r="L148" s="9">
        <v>34.200000000000003</v>
      </c>
      <c r="M148" s="9">
        <v>17</v>
      </c>
      <c r="N148" s="9">
        <v>17.200000000000003</v>
      </c>
    </row>
    <row r="149" spans="1:14">
      <c r="A149" t="s">
        <v>412</v>
      </c>
      <c r="B149" s="6">
        <v>45887</v>
      </c>
      <c r="C149" t="s">
        <v>413</v>
      </c>
      <c r="D149" t="s">
        <v>78</v>
      </c>
      <c r="E149" t="s">
        <v>49</v>
      </c>
      <c r="F149" t="s">
        <v>60</v>
      </c>
      <c r="G149" t="s">
        <v>90</v>
      </c>
      <c r="H149" t="s">
        <v>54</v>
      </c>
      <c r="I149">
        <v>1</v>
      </c>
      <c r="J149" s="7">
        <v>29</v>
      </c>
      <c r="K149" s="8">
        <v>0</v>
      </c>
      <c r="L149" s="9">
        <v>29</v>
      </c>
      <c r="M149" s="9">
        <v>11</v>
      </c>
      <c r="N149" s="9">
        <v>18</v>
      </c>
    </row>
    <row r="150" spans="1:14">
      <c r="A150" t="s">
        <v>414</v>
      </c>
      <c r="B150" s="6">
        <v>45812</v>
      </c>
      <c r="C150" t="s">
        <v>415</v>
      </c>
      <c r="D150" t="s">
        <v>79</v>
      </c>
      <c r="E150" t="s">
        <v>58</v>
      </c>
      <c r="F150" t="s">
        <v>50</v>
      </c>
      <c r="G150" t="s">
        <v>92</v>
      </c>
      <c r="H150" t="s">
        <v>57</v>
      </c>
      <c r="I150">
        <v>2</v>
      </c>
      <c r="J150" s="7">
        <v>22</v>
      </c>
      <c r="K150" s="8">
        <v>0</v>
      </c>
      <c r="L150" s="9">
        <v>44</v>
      </c>
      <c r="M150" s="9">
        <v>15</v>
      </c>
      <c r="N150" s="9">
        <v>29</v>
      </c>
    </row>
    <row r="151" spans="1:14">
      <c r="A151" t="s">
        <v>416</v>
      </c>
      <c r="B151" s="6">
        <v>45909</v>
      </c>
      <c r="C151" t="s">
        <v>184</v>
      </c>
      <c r="D151" t="s">
        <v>79</v>
      </c>
      <c r="E151" t="s">
        <v>52</v>
      </c>
      <c r="F151" t="s">
        <v>56</v>
      </c>
      <c r="G151" t="s">
        <v>92</v>
      </c>
      <c r="H151" t="s">
        <v>57</v>
      </c>
      <c r="I151">
        <v>1</v>
      </c>
      <c r="J151" s="7">
        <v>22</v>
      </c>
      <c r="K151" s="8">
        <v>0</v>
      </c>
      <c r="L151" s="9">
        <v>22</v>
      </c>
      <c r="M151" s="9">
        <v>7.5</v>
      </c>
      <c r="N151" s="9">
        <v>14.5</v>
      </c>
    </row>
    <row r="152" spans="1:14">
      <c r="A152" t="s">
        <v>417</v>
      </c>
      <c r="B152" s="6">
        <v>45977</v>
      </c>
      <c r="C152" t="s">
        <v>213</v>
      </c>
      <c r="D152" t="s">
        <v>79</v>
      </c>
      <c r="E152" t="s">
        <v>55</v>
      </c>
      <c r="F152" t="s">
        <v>59</v>
      </c>
      <c r="G152" t="s">
        <v>94</v>
      </c>
      <c r="H152" t="s">
        <v>51</v>
      </c>
      <c r="I152">
        <v>1</v>
      </c>
      <c r="J152" s="7">
        <v>18</v>
      </c>
      <c r="K152" s="8">
        <v>0</v>
      </c>
      <c r="L152" s="9">
        <v>18</v>
      </c>
      <c r="M152" s="9">
        <v>5.5</v>
      </c>
      <c r="N152" s="9">
        <v>12.5</v>
      </c>
    </row>
    <row r="153" spans="1:14">
      <c r="A153" t="s">
        <v>418</v>
      </c>
      <c r="B153" s="6">
        <v>45916</v>
      </c>
      <c r="C153" t="s">
        <v>419</v>
      </c>
      <c r="D153" t="s">
        <v>78</v>
      </c>
      <c r="E153" t="s">
        <v>52</v>
      </c>
      <c r="F153" t="s">
        <v>59</v>
      </c>
      <c r="G153" t="s">
        <v>94</v>
      </c>
      <c r="H153" t="s">
        <v>51</v>
      </c>
      <c r="I153">
        <v>1</v>
      </c>
      <c r="J153" s="7">
        <v>18</v>
      </c>
      <c r="K153" s="8">
        <v>0.1</v>
      </c>
      <c r="L153" s="9">
        <v>16.2</v>
      </c>
      <c r="M153" s="9">
        <v>5.5</v>
      </c>
      <c r="N153" s="9">
        <v>10.7</v>
      </c>
    </row>
    <row r="154" spans="1:14">
      <c r="A154" t="s">
        <v>420</v>
      </c>
      <c r="B154" s="6">
        <v>45889</v>
      </c>
      <c r="C154" t="s">
        <v>421</v>
      </c>
      <c r="D154" t="s">
        <v>78</v>
      </c>
      <c r="E154" t="s">
        <v>49</v>
      </c>
      <c r="F154" t="s">
        <v>56</v>
      </c>
      <c r="G154" t="s">
        <v>88</v>
      </c>
      <c r="H154" t="s">
        <v>51</v>
      </c>
      <c r="I154">
        <v>1</v>
      </c>
      <c r="J154" s="7">
        <v>42</v>
      </c>
      <c r="K154" s="8">
        <v>0.1</v>
      </c>
      <c r="L154" s="9">
        <v>37.800000000000004</v>
      </c>
      <c r="M154" s="9">
        <v>19</v>
      </c>
      <c r="N154" s="9">
        <v>18.800000000000004</v>
      </c>
    </row>
    <row r="155" spans="1:14">
      <c r="A155" t="s">
        <v>422</v>
      </c>
      <c r="B155" s="6">
        <v>45876</v>
      </c>
      <c r="C155" t="s">
        <v>423</v>
      </c>
      <c r="D155" t="s">
        <v>78</v>
      </c>
      <c r="E155" t="s">
        <v>49</v>
      </c>
      <c r="F155" t="s">
        <v>50</v>
      </c>
      <c r="G155" t="s">
        <v>90</v>
      </c>
      <c r="H155" t="s">
        <v>54</v>
      </c>
      <c r="I155">
        <v>2</v>
      </c>
      <c r="J155" s="7">
        <v>29</v>
      </c>
      <c r="K155" s="8">
        <v>0</v>
      </c>
      <c r="L155" s="9">
        <v>58</v>
      </c>
      <c r="M155" s="9">
        <v>22</v>
      </c>
      <c r="N155" s="9">
        <v>36</v>
      </c>
    </row>
    <row r="156" spans="1:14">
      <c r="A156" t="s">
        <v>424</v>
      </c>
      <c r="B156" s="6">
        <v>45701</v>
      </c>
      <c r="C156" t="s">
        <v>425</v>
      </c>
      <c r="D156" t="s">
        <v>78</v>
      </c>
      <c r="E156" t="s">
        <v>49</v>
      </c>
      <c r="F156" t="s">
        <v>60</v>
      </c>
      <c r="G156" t="s">
        <v>86</v>
      </c>
      <c r="H156" t="s">
        <v>48</v>
      </c>
      <c r="I156">
        <v>1</v>
      </c>
      <c r="J156" s="7">
        <v>34.99</v>
      </c>
      <c r="K156" s="8">
        <v>0.1</v>
      </c>
      <c r="L156" s="9">
        <v>31.491000000000003</v>
      </c>
      <c r="M156" s="9">
        <v>16</v>
      </c>
      <c r="N156" s="9">
        <v>15.491000000000003</v>
      </c>
    </row>
    <row r="157" spans="1:14">
      <c r="A157" t="s">
        <v>426</v>
      </c>
      <c r="B157" s="6">
        <v>45945</v>
      </c>
      <c r="C157" t="s">
        <v>427</v>
      </c>
      <c r="D157" t="s">
        <v>78</v>
      </c>
      <c r="E157" t="s">
        <v>58</v>
      </c>
      <c r="F157" t="s">
        <v>50</v>
      </c>
      <c r="G157" t="s">
        <v>93</v>
      </c>
      <c r="H157" t="s">
        <v>54</v>
      </c>
      <c r="I157">
        <v>1</v>
      </c>
      <c r="J157" s="7">
        <v>68</v>
      </c>
      <c r="K157" s="8">
        <v>0</v>
      </c>
      <c r="L157" s="9">
        <v>68</v>
      </c>
      <c r="M157" s="9">
        <v>31</v>
      </c>
      <c r="N157" s="9">
        <v>37</v>
      </c>
    </row>
    <row r="158" spans="1:14">
      <c r="A158" t="s">
        <v>428</v>
      </c>
      <c r="B158" s="6">
        <v>45805</v>
      </c>
      <c r="C158" t="s">
        <v>251</v>
      </c>
      <c r="D158" t="s">
        <v>78</v>
      </c>
      <c r="E158" t="s">
        <v>58</v>
      </c>
      <c r="F158" t="s">
        <v>53</v>
      </c>
      <c r="G158" t="s">
        <v>94</v>
      </c>
      <c r="H158" t="s">
        <v>51</v>
      </c>
      <c r="I158">
        <v>1</v>
      </c>
      <c r="J158" s="7">
        <v>18</v>
      </c>
      <c r="K158" s="8">
        <v>0</v>
      </c>
      <c r="L158" s="9">
        <v>18</v>
      </c>
      <c r="M158" s="9">
        <v>5.5</v>
      </c>
      <c r="N158" s="9">
        <v>12.5</v>
      </c>
    </row>
    <row r="159" spans="1:14">
      <c r="A159" t="s">
        <v>429</v>
      </c>
      <c r="B159" s="6">
        <v>45713</v>
      </c>
      <c r="C159" t="s">
        <v>430</v>
      </c>
      <c r="D159" t="s">
        <v>79</v>
      </c>
      <c r="E159" t="s">
        <v>52</v>
      </c>
      <c r="F159" t="s">
        <v>59</v>
      </c>
      <c r="G159" t="s">
        <v>90</v>
      </c>
      <c r="H159" t="s">
        <v>54</v>
      </c>
      <c r="I159">
        <v>2</v>
      </c>
      <c r="J159" s="7">
        <v>29</v>
      </c>
      <c r="K159" s="8">
        <v>0</v>
      </c>
      <c r="L159" s="9">
        <v>58</v>
      </c>
      <c r="M159" s="9">
        <v>22</v>
      </c>
      <c r="N159" s="9">
        <v>36</v>
      </c>
    </row>
    <row r="160" spans="1:14">
      <c r="A160" t="s">
        <v>431</v>
      </c>
      <c r="B160" s="6">
        <v>45945</v>
      </c>
      <c r="C160" t="s">
        <v>432</v>
      </c>
      <c r="D160" t="s">
        <v>78</v>
      </c>
      <c r="E160" t="s">
        <v>55</v>
      </c>
      <c r="F160" t="s">
        <v>50</v>
      </c>
      <c r="G160" t="s">
        <v>94</v>
      </c>
      <c r="H160" t="s">
        <v>51</v>
      </c>
      <c r="I160">
        <v>2</v>
      </c>
      <c r="J160" s="7">
        <v>18</v>
      </c>
      <c r="K160" s="8">
        <v>0.05</v>
      </c>
      <c r="L160" s="9">
        <v>34.199999999999996</v>
      </c>
      <c r="M160" s="9">
        <v>11</v>
      </c>
      <c r="N160" s="9">
        <v>23.199999999999996</v>
      </c>
    </row>
    <row r="161" spans="1:14">
      <c r="A161" t="s">
        <v>433</v>
      </c>
      <c r="B161" s="6">
        <v>45750</v>
      </c>
      <c r="C161" t="s">
        <v>144</v>
      </c>
      <c r="D161" t="s">
        <v>78</v>
      </c>
      <c r="E161" t="s">
        <v>52</v>
      </c>
      <c r="F161" t="s">
        <v>53</v>
      </c>
      <c r="G161" t="s">
        <v>89</v>
      </c>
      <c r="H161" t="s">
        <v>51</v>
      </c>
      <c r="I161">
        <v>2</v>
      </c>
      <c r="J161" s="7">
        <v>38</v>
      </c>
      <c r="K161" s="8">
        <v>0</v>
      </c>
      <c r="L161" s="9">
        <v>76</v>
      </c>
      <c r="M161" s="9">
        <v>34</v>
      </c>
      <c r="N161" s="9">
        <v>42</v>
      </c>
    </row>
    <row r="162" spans="1:14">
      <c r="A162" t="s">
        <v>434</v>
      </c>
      <c r="B162" s="6">
        <v>45947</v>
      </c>
      <c r="C162" t="s">
        <v>194</v>
      </c>
      <c r="D162" t="s">
        <v>79</v>
      </c>
      <c r="E162" t="s">
        <v>52</v>
      </c>
      <c r="F162" t="s">
        <v>59</v>
      </c>
      <c r="G162" t="s">
        <v>91</v>
      </c>
      <c r="H162" t="s">
        <v>57</v>
      </c>
      <c r="I162">
        <v>1</v>
      </c>
      <c r="J162" s="7">
        <v>35</v>
      </c>
      <c r="K162" s="8">
        <v>0.1</v>
      </c>
      <c r="L162" s="9">
        <v>31.5</v>
      </c>
      <c r="M162" s="9">
        <v>14</v>
      </c>
      <c r="N162" s="9">
        <v>17.5</v>
      </c>
    </row>
    <row r="163" spans="1:14">
      <c r="A163" t="s">
        <v>435</v>
      </c>
      <c r="B163" s="6">
        <v>45872</v>
      </c>
      <c r="C163" t="s">
        <v>436</v>
      </c>
      <c r="D163" t="s">
        <v>79</v>
      </c>
      <c r="E163" t="s">
        <v>49</v>
      </c>
      <c r="F163" t="s">
        <v>50</v>
      </c>
      <c r="G163" t="s">
        <v>92</v>
      </c>
      <c r="H163" t="s">
        <v>57</v>
      </c>
      <c r="I163">
        <v>1</v>
      </c>
      <c r="J163" s="7">
        <v>22</v>
      </c>
      <c r="K163" s="8">
        <v>0</v>
      </c>
      <c r="L163" s="9">
        <v>22</v>
      </c>
      <c r="M163" s="9">
        <v>7.5</v>
      </c>
      <c r="N163" s="9">
        <v>14.5</v>
      </c>
    </row>
    <row r="164" spans="1:14">
      <c r="A164" t="s">
        <v>437</v>
      </c>
      <c r="B164" s="6">
        <v>45737</v>
      </c>
      <c r="C164" t="s">
        <v>247</v>
      </c>
      <c r="D164" t="s">
        <v>78</v>
      </c>
      <c r="E164" t="s">
        <v>58</v>
      </c>
      <c r="F164" t="s">
        <v>59</v>
      </c>
      <c r="G164" t="s">
        <v>87</v>
      </c>
      <c r="H164" t="s">
        <v>48</v>
      </c>
      <c r="I164">
        <v>2</v>
      </c>
      <c r="J164" s="7">
        <v>89.99</v>
      </c>
      <c r="K164" s="8">
        <v>0</v>
      </c>
      <c r="L164" s="9">
        <v>179.98</v>
      </c>
      <c r="M164" s="9">
        <v>92</v>
      </c>
      <c r="N164" s="9">
        <v>87.97999999999999</v>
      </c>
    </row>
    <row r="165" spans="1:14">
      <c r="A165" t="s">
        <v>438</v>
      </c>
      <c r="B165" s="6">
        <v>45968</v>
      </c>
      <c r="C165" t="s">
        <v>439</v>
      </c>
      <c r="D165" t="s">
        <v>78</v>
      </c>
      <c r="E165" t="s">
        <v>58</v>
      </c>
      <c r="F165" t="s">
        <v>50</v>
      </c>
      <c r="G165" t="s">
        <v>92</v>
      </c>
      <c r="H165" t="s">
        <v>57</v>
      </c>
      <c r="I165">
        <v>1</v>
      </c>
      <c r="J165" s="7">
        <v>22</v>
      </c>
      <c r="K165" s="8">
        <v>0</v>
      </c>
      <c r="L165" s="9">
        <v>22</v>
      </c>
      <c r="M165" s="9">
        <v>7.5</v>
      </c>
      <c r="N165" s="9">
        <v>14.5</v>
      </c>
    </row>
    <row r="166" spans="1:14">
      <c r="A166" t="s">
        <v>440</v>
      </c>
      <c r="B166" s="6">
        <v>45803</v>
      </c>
      <c r="C166" t="s">
        <v>441</v>
      </c>
      <c r="D166" t="s">
        <v>78</v>
      </c>
      <c r="E166" t="s">
        <v>49</v>
      </c>
      <c r="F166" t="s">
        <v>50</v>
      </c>
      <c r="G166" t="s">
        <v>94</v>
      </c>
      <c r="H166" t="s">
        <v>51</v>
      </c>
      <c r="I166">
        <v>1</v>
      </c>
      <c r="J166" s="7">
        <v>18</v>
      </c>
      <c r="K166" s="8">
        <v>0.1</v>
      </c>
      <c r="L166" s="9">
        <v>16.2</v>
      </c>
      <c r="M166" s="9">
        <v>5.5</v>
      </c>
      <c r="N166" s="9">
        <v>10.7</v>
      </c>
    </row>
    <row r="167" spans="1:14">
      <c r="A167" t="s">
        <v>442</v>
      </c>
      <c r="B167" s="6">
        <v>45762</v>
      </c>
      <c r="C167" t="s">
        <v>443</v>
      </c>
      <c r="D167" t="s">
        <v>79</v>
      </c>
      <c r="E167" t="s">
        <v>55</v>
      </c>
      <c r="F167" t="s">
        <v>50</v>
      </c>
      <c r="G167" t="s">
        <v>89</v>
      </c>
      <c r="H167" t="s">
        <v>51</v>
      </c>
      <c r="I167">
        <v>3</v>
      </c>
      <c r="J167" s="7">
        <v>38</v>
      </c>
      <c r="K167" s="8">
        <v>0.1</v>
      </c>
      <c r="L167" s="9">
        <v>102.60000000000001</v>
      </c>
      <c r="M167" s="9">
        <v>51</v>
      </c>
      <c r="N167" s="9">
        <v>51.600000000000009</v>
      </c>
    </row>
    <row r="168" spans="1:14">
      <c r="A168" t="s">
        <v>444</v>
      </c>
      <c r="B168" s="6">
        <v>45661</v>
      </c>
      <c r="C168" t="s">
        <v>445</v>
      </c>
      <c r="D168" t="s">
        <v>78</v>
      </c>
      <c r="E168" t="s">
        <v>52</v>
      </c>
      <c r="F168" t="s">
        <v>60</v>
      </c>
      <c r="G168" t="s">
        <v>92</v>
      </c>
      <c r="H168" t="s">
        <v>57</v>
      </c>
      <c r="I168">
        <v>2</v>
      </c>
      <c r="J168" s="7">
        <v>22</v>
      </c>
      <c r="K168" s="8">
        <v>0</v>
      </c>
      <c r="L168" s="9">
        <v>44</v>
      </c>
      <c r="M168" s="9">
        <v>15</v>
      </c>
      <c r="N168" s="9">
        <v>29</v>
      </c>
    </row>
    <row r="169" spans="1:14">
      <c r="A169" t="s">
        <v>446</v>
      </c>
      <c r="B169" s="6">
        <v>45944</v>
      </c>
      <c r="C169" t="s">
        <v>447</v>
      </c>
      <c r="D169" t="s">
        <v>78</v>
      </c>
      <c r="E169" t="s">
        <v>58</v>
      </c>
      <c r="F169" t="s">
        <v>50</v>
      </c>
      <c r="G169" t="s">
        <v>90</v>
      </c>
      <c r="H169" t="s">
        <v>54</v>
      </c>
      <c r="I169">
        <v>1</v>
      </c>
      <c r="J169" s="7">
        <v>29</v>
      </c>
      <c r="K169" s="8">
        <v>0.15</v>
      </c>
      <c r="L169" s="9">
        <v>24.65</v>
      </c>
      <c r="M169" s="9">
        <v>11</v>
      </c>
      <c r="N169" s="9">
        <v>13.649999999999999</v>
      </c>
    </row>
    <row r="170" spans="1:14">
      <c r="A170" t="s">
        <v>448</v>
      </c>
      <c r="B170" s="6">
        <v>45818</v>
      </c>
      <c r="C170" t="s">
        <v>443</v>
      </c>
      <c r="D170" t="s">
        <v>79</v>
      </c>
      <c r="E170" t="s">
        <v>49</v>
      </c>
      <c r="F170" t="s">
        <v>59</v>
      </c>
      <c r="G170" t="s">
        <v>94</v>
      </c>
      <c r="H170" t="s">
        <v>51</v>
      </c>
      <c r="I170">
        <v>1</v>
      </c>
      <c r="J170" s="7">
        <v>18</v>
      </c>
      <c r="K170" s="8">
        <v>0</v>
      </c>
      <c r="L170" s="9">
        <v>18</v>
      </c>
      <c r="M170" s="9">
        <v>5.5</v>
      </c>
      <c r="N170" s="9">
        <v>12.5</v>
      </c>
    </row>
    <row r="171" spans="1:14">
      <c r="A171" t="s">
        <v>449</v>
      </c>
      <c r="B171" s="6">
        <v>45668</v>
      </c>
      <c r="C171" t="s">
        <v>450</v>
      </c>
      <c r="D171" t="s">
        <v>78</v>
      </c>
      <c r="E171" t="s">
        <v>55</v>
      </c>
      <c r="F171" t="s">
        <v>50</v>
      </c>
      <c r="G171" t="s">
        <v>90</v>
      </c>
      <c r="H171" t="s">
        <v>54</v>
      </c>
      <c r="I171">
        <v>1</v>
      </c>
      <c r="J171" s="7">
        <v>29</v>
      </c>
      <c r="K171" s="8">
        <v>0.2</v>
      </c>
      <c r="L171" s="9">
        <v>23.200000000000003</v>
      </c>
      <c r="M171" s="9">
        <v>11</v>
      </c>
      <c r="N171" s="9">
        <v>12.200000000000003</v>
      </c>
    </row>
    <row r="172" spans="1:14">
      <c r="A172" t="s">
        <v>451</v>
      </c>
      <c r="B172" s="6">
        <v>45881</v>
      </c>
      <c r="C172" t="s">
        <v>441</v>
      </c>
      <c r="D172" t="s">
        <v>78</v>
      </c>
      <c r="E172" t="s">
        <v>55</v>
      </c>
      <c r="F172" t="s">
        <v>56</v>
      </c>
      <c r="G172" t="s">
        <v>86</v>
      </c>
      <c r="H172" t="s">
        <v>48</v>
      </c>
      <c r="I172">
        <v>1</v>
      </c>
      <c r="J172" s="7">
        <v>34.99</v>
      </c>
      <c r="K172" s="8">
        <v>0.05</v>
      </c>
      <c r="L172" s="9">
        <v>33.240499999999997</v>
      </c>
      <c r="M172" s="9">
        <v>16</v>
      </c>
      <c r="N172" s="9">
        <v>17.240499999999997</v>
      </c>
    </row>
    <row r="173" spans="1:14">
      <c r="A173" t="s">
        <v>452</v>
      </c>
      <c r="B173" s="6">
        <v>45771</v>
      </c>
      <c r="C173" t="s">
        <v>213</v>
      </c>
      <c r="D173" t="s">
        <v>79</v>
      </c>
      <c r="E173" t="s">
        <v>52</v>
      </c>
      <c r="F173" t="s">
        <v>56</v>
      </c>
      <c r="G173" t="s">
        <v>90</v>
      </c>
      <c r="H173" t="s">
        <v>54</v>
      </c>
      <c r="I173">
        <v>2</v>
      </c>
      <c r="J173" s="7">
        <v>29</v>
      </c>
      <c r="K173" s="8">
        <v>0</v>
      </c>
      <c r="L173" s="9">
        <v>58</v>
      </c>
      <c r="M173" s="9">
        <v>22</v>
      </c>
      <c r="N173" s="9">
        <v>36</v>
      </c>
    </row>
    <row r="174" spans="1:14">
      <c r="A174" t="s">
        <v>453</v>
      </c>
      <c r="B174" s="6">
        <v>45837</v>
      </c>
      <c r="C174" t="s">
        <v>454</v>
      </c>
      <c r="D174" t="s">
        <v>78</v>
      </c>
      <c r="E174" t="s">
        <v>52</v>
      </c>
      <c r="F174" t="s">
        <v>50</v>
      </c>
      <c r="G174" t="s">
        <v>87</v>
      </c>
      <c r="H174" t="s">
        <v>48</v>
      </c>
      <c r="I174">
        <v>1</v>
      </c>
      <c r="J174" s="7">
        <v>89.99</v>
      </c>
      <c r="K174" s="8">
        <v>0</v>
      </c>
      <c r="L174" s="9">
        <v>89.99</v>
      </c>
      <c r="M174" s="9">
        <v>46</v>
      </c>
      <c r="N174" s="9">
        <v>43.989999999999995</v>
      </c>
    </row>
    <row r="175" spans="1:14">
      <c r="A175" t="s">
        <v>455</v>
      </c>
      <c r="B175" s="6">
        <v>45748</v>
      </c>
      <c r="C175" t="s">
        <v>456</v>
      </c>
      <c r="D175" t="s">
        <v>78</v>
      </c>
      <c r="E175" t="s">
        <v>55</v>
      </c>
      <c r="F175" t="s">
        <v>56</v>
      </c>
      <c r="G175" t="s">
        <v>92</v>
      </c>
      <c r="H175" t="s">
        <v>57</v>
      </c>
      <c r="I175">
        <v>1</v>
      </c>
      <c r="J175" s="7">
        <v>22</v>
      </c>
      <c r="K175" s="8">
        <v>0.05</v>
      </c>
      <c r="L175" s="9">
        <v>20.9</v>
      </c>
      <c r="M175" s="9">
        <v>7.5</v>
      </c>
      <c r="N175" s="9">
        <v>13.399999999999999</v>
      </c>
    </row>
    <row r="176" spans="1:14">
      <c r="A176" t="s">
        <v>457</v>
      </c>
      <c r="B176" s="6">
        <v>45735</v>
      </c>
      <c r="C176" t="s">
        <v>458</v>
      </c>
      <c r="D176" t="s">
        <v>78</v>
      </c>
      <c r="E176" t="s">
        <v>49</v>
      </c>
      <c r="F176" t="s">
        <v>56</v>
      </c>
      <c r="G176" t="s">
        <v>92</v>
      </c>
      <c r="H176" t="s">
        <v>57</v>
      </c>
      <c r="I176">
        <v>1</v>
      </c>
      <c r="J176" s="7">
        <v>22</v>
      </c>
      <c r="K176" s="8">
        <v>0</v>
      </c>
      <c r="L176" s="9">
        <v>22</v>
      </c>
      <c r="M176" s="9">
        <v>7.5</v>
      </c>
      <c r="N176" s="9">
        <v>14.5</v>
      </c>
    </row>
    <row r="177" spans="1:14">
      <c r="A177" t="s">
        <v>459</v>
      </c>
      <c r="B177" s="6">
        <v>45917</v>
      </c>
      <c r="C177" t="s">
        <v>430</v>
      </c>
      <c r="D177" t="s">
        <v>78</v>
      </c>
      <c r="E177" t="s">
        <v>49</v>
      </c>
      <c r="F177" t="s">
        <v>50</v>
      </c>
      <c r="G177" t="s">
        <v>86</v>
      </c>
      <c r="H177" t="s">
        <v>48</v>
      </c>
      <c r="I177">
        <v>1</v>
      </c>
      <c r="J177" s="7">
        <v>34.99</v>
      </c>
      <c r="K177" s="8">
        <v>0</v>
      </c>
      <c r="L177" s="9">
        <v>34.99</v>
      </c>
      <c r="M177" s="9">
        <v>16</v>
      </c>
      <c r="N177" s="9">
        <v>18.990000000000002</v>
      </c>
    </row>
    <row r="178" spans="1:14">
      <c r="A178" t="s">
        <v>460</v>
      </c>
      <c r="B178" s="6">
        <v>45972</v>
      </c>
      <c r="C178" t="s">
        <v>461</v>
      </c>
      <c r="D178" t="s">
        <v>78</v>
      </c>
      <c r="E178" t="s">
        <v>49</v>
      </c>
      <c r="F178" t="s">
        <v>59</v>
      </c>
      <c r="G178" t="s">
        <v>94</v>
      </c>
      <c r="H178" t="s">
        <v>51</v>
      </c>
      <c r="I178">
        <v>1</v>
      </c>
      <c r="J178" s="7">
        <v>18</v>
      </c>
      <c r="K178" s="8">
        <v>0</v>
      </c>
      <c r="L178" s="9">
        <v>18</v>
      </c>
      <c r="M178" s="9">
        <v>5.5</v>
      </c>
      <c r="N178" s="9">
        <v>12.5</v>
      </c>
    </row>
    <row r="179" spans="1:14">
      <c r="A179" t="s">
        <v>462</v>
      </c>
      <c r="B179" s="6">
        <v>45950</v>
      </c>
      <c r="C179" t="s">
        <v>241</v>
      </c>
      <c r="D179" t="s">
        <v>78</v>
      </c>
      <c r="E179" t="s">
        <v>58</v>
      </c>
      <c r="F179" t="s">
        <v>50</v>
      </c>
      <c r="G179" t="s">
        <v>88</v>
      </c>
      <c r="H179" t="s">
        <v>51</v>
      </c>
      <c r="I179">
        <v>1</v>
      </c>
      <c r="J179" s="7">
        <v>42</v>
      </c>
      <c r="K179" s="8">
        <v>0</v>
      </c>
      <c r="L179" s="9">
        <v>42</v>
      </c>
      <c r="M179" s="9">
        <v>19</v>
      </c>
      <c r="N179" s="9">
        <v>23</v>
      </c>
    </row>
    <row r="180" spans="1:14">
      <c r="A180" t="s">
        <v>463</v>
      </c>
      <c r="B180" s="6">
        <v>45833</v>
      </c>
      <c r="C180" t="s">
        <v>464</v>
      </c>
      <c r="D180" t="s">
        <v>78</v>
      </c>
      <c r="E180" t="s">
        <v>58</v>
      </c>
      <c r="F180" t="s">
        <v>60</v>
      </c>
      <c r="G180" t="s">
        <v>86</v>
      </c>
      <c r="H180" t="s">
        <v>48</v>
      </c>
      <c r="I180">
        <v>1</v>
      </c>
      <c r="J180" s="7">
        <v>34.99</v>
      </c>
      <c r="K180" s="8">
        <v>0</v>
      </c>
      <c r="L180" s="9">
        <v>34.99</v>
      </c>
      <c r="M180" s="9">
        <v>16</v>
      </c>
      <c r="N180" s="9">
        <v>18.990000000000002</v>
      </c>
    </row>
    <row r="181" spans="1:14">
      <c r="A181" t="s">
        <v>465</v>
      </c>
      <c r="B181" s="6">
        <v>45925</v>
      </c>
      <c r="C181" t="s">
        <v>466</v>
      </c>
      <c r="D181" t="s">
        <v>78</v>
      </c>
      <c r="E181" t="s">
        <v>55</v>
      </c>
      <c r="F181" t="s">
        <v>60</v>
      </c>
      <c r="G181" t="s">
        <v>94</v>
      </c>
      <c r="H181" t="s">
        <v>51</v>
      </c>
      <c r="I181">
        <v>1</v>
      </c>
      <c r="J181" s="7">
        <v>18</v>
      </c>
      <c r="K181" s="8">
        <v>0</v>
      </c>
      <c r="L181" s="9">
        <v>18</v>
      </c>
      <c r="M181" s="9">
        <v>5.5</v>
      </c>
      <c r="N181" s="9">
        <v>12.5</v>
      </c>
    </row>
    <row r="182" spans="1:14">
      <c r="A182" t="s">
        <v>467</v>
      </c>
      <c r="B182" s="6">
        <v>45684</v>
      </c>
      <c r="C182" t="s">
        <v>468</v>
      </c>
      <c r="D182" t="s">
        <v>79</v>
      </c>
      <c r="E182" t="s">
        <v>55</v>
      </c>
      <c r="F182" t="s">
        <v>60</v>
      </c>
      <c r="G182" t="s">
        <v>90</v>
      </c>
      <c r="H182" t="s">
        <v>54</v>
      </c>
      <c r="I182">
        <v>1</v>
      </c>
      <c r="J182" s="7">
        <v>29</v>
      </c>
      <c r="K182" s="8">
        <v>0</v>
      </c>
      <c r="L182" s="9">
        <v>29</v>
      </c>
      <c r="M182" s="9">
        <v>11</v>
      </c>
      <c r="N182" s="9">
        <v>18</v>
      </c>
    </row>
    <row r="183" spans="1:14">
      <c r="A183" t="s">
        <v>469</v>
      </c>
      <c r="B183" s="6">
        <v>45734</v>
      </c>
      <c r="C183" t="s">
        <v>251</v>
      </c>
      <c r="D183" t="s">
        <v>79</v>
      </c>
      <c r="E183" t="s">
        <v>58</v>
      </c>
      <c r="F183" t="s">
        <v>53</v>
      </c>
      <c r="G183" t="s">
        <v>90</v>
      </c>
      <c r="H183" t="s">
        <v>54</v>
      </c>
      <c r="I183">
        <v>1</v>
      </c>
      <c r="J183" s="7">
        <v>29</v>
      </c>
      <c r="K183" s="8">
        <v>0.1</v>
      </c>
      <c r="L183" s="9">
        <v>26.1</v>
      </c>
      <c r="M183" s="9">
        <v>11</v>
      </c>
      <c r="N183" s="9">
        <v>15.100000000000001</v>
      </c>
    </row>
    <row r="184" spans="1:14">
      <c r="A184" t="s">
        <v>470</v>
      </c>
      <c r="B184" s="6">
        <v>45962</v>
      </c>
      <c r="C184" t="s">
        <v>471</v>
      </c>
      <c r="D184" t="s">
        <v>79</v>
      </c>
      <c r="E184" t="s">
        <v>49</v>
      </c>
      <c r="F184" t="s">
        <v>59</v>
      </c>
      <c r="G184" t="s">
        <v>86</v>
      </c>
      <c r="H184" t="s">
        <v>48</v>
      </c>
      <c r="I184">
        <v>1</v>
      </c>
      <c r="J184" s="7">
        <v>34.99</v>
      </c>
      <c r="K184" s="8">
        <v>0</v>
      </c>
      <c r="L184" s="9">
        <v>34.99</v>
      </c>
      <c r="M184" s="9">
        <v>16</v>
      </c>
      <c r="N184" s="9">
        <v>18.990000000000002</v>
      </c>
    </row>
    <row r="185" spans="1:14">
      <c r="A185" t="s">
        <v>472</v>
      </c>
      <c r="B185" s="6">
        <v>45918</v>
      </c>
      <c r="C185" t="s">
        <v>473</v>
      </c>
      <c r="D185" t="s">
        <v>79</v>
      </c>
      <c r="E185" t="s">
        <v>58</v>
      </c>
      <c r="F185" t="s">
        <v>53</v>
      </c>
      <c r="G185" t="s">
        <v>90</v>
      </c>
      <c r="H185" t="s">
        <v>54</v>
      </c>
      <c r="I185">
        <v>1</v>
      </c>
      <c r="J185" s="7">
        <v>29</v>
      </c>
      <c r="K185" s="8">
        <v>0</v>
      </c>
      <c r="L185" s="9">
        <v>29</v>
      </c>
      <c r="M185" s="9">
        <v>11</v>
      </c>
      <c r="N185" s="9">
        <v>18</v>
      </c>
    </row>
    <row r="186" spans="1:14">
      <c r="A186" t="s">
        <v>474</v>
      </c>
      <c r="B186" s="6">
        <v>45773</v>
      </c>
      <c r="C186" t="s">
        <v>475</v>
      </c>
      <c r="D186" t="s">
        <v>79</v>
      </c>
      <c r="E186" t="s">
        <v>49</v>
      </c>
      <c r="F186" t="s">
        <v>56</v>
      </c>
      <c r="G186" t="s">
        <v>87</v>
      </c>
      <c r="H186" t="s">
        <v>48</v>
      </c>
      <c r="I186">
        <v>1</v>
      </c>
      <c r="J186" s="7">
        <v>89.99</v>
      </c>
      <c r="K186" s="8">
        <v>0</v>
      </c>
      <c r="L186" s="9">
        <v>89.99</v>
      </c>
      <c r="M186" s="9">
        <v>46</v>
      </c>
      <c r="N186" s="9">
        <v>43.989999999999995</v>
      </c>
    </row>
    <row r="187" spans="1:14">
      <c r="A187" t="s">
        <v>476</v>
      </c>
      <c r="B187" s="6">
        <v>45974</v>
      </c>
      <c r="C187" t="s">
        <v>477</v>
      </c>
      <c r="D187" t="s">
        <v>78</v>
      </c>
      <c r="E187" t="s">
        <v>52</v>
      </c>
      <c r="F187" t="s">
        <v>59</v>
      </c>
      <c r="G187" t="s">
        <v>87</v>
      </c>
      <c r="H187" t="s">
        <v>48</v>
      </c>
      <c r="I187">
        <v>1</v>
      </c>
      <c r="J187" s="7">
        <v>89.99</v>
      </c>
      <c r="K187" s="8">
        <v>0</v>
      </c>
      <c r="L187" s="9">
        <v>89.99</v>
      </c>
      <c r="M187" s="9">
        <v>46</v>
      </c>
      <c r="N187" s="9">
        <v>43.989999999999995</v>
      </c>
    </row>
    <row r="188" spans="1:14">
      <c r="A188" t="s">
        <v>478</v>
      </c>
      <c r="B188" s="6">
        <v>45680</v>
      </c>
      <c r="C188" t="s">
        <v>479</v>
      </c>
      <c r="D188" t="s">
        <v>79</v>
      </c>
      <c r="E188" t="s">
        <v>55</v>
      </c>
      <c r="F188" t="s">
        <v>59</v>
      </c>
      <c r="G188" t="s">
        <v>91</v>
      </c>
      <c r="H188" t="s">
        <v>57</v>
      </c>
      <c r="I188">
        <v>1</v>
      </c>
      <c r="J188" s="7">
        <v>35</v>
      </c>
      <c r="K188" s="8">
        <v>0.1</v>
      </c>
      <c r="L188" s="9">
        <v>31.5</v>
      </c>
      <c r="M188" s="9">
        <v>14</v>
      </c>
      <c r="N188" s="9">
        <v>17.5</v>
      </c>
    </row>
    <row r="189" spans="1:14">
      <c r="A189" t="s">
        <v>480</v>
      </c>
      <c r="B189" s="6">
        <v>45777</v>
      </c>
      <c r="C189" t="s">
        <v>481</v>
      </c>
      <c r="D189" t="s">
        <v>79</v>
      </c>
      <c r="E189" t="s">
        <v>55</v>
      </c>
      <c r="F189" t="s">
        <v>60</v>
      </c>
      <c r="G189" t="s">
        <v>93</v>
      </c>
      <c r="H189" t="s">
        <v>54</v>
      </c>
      <c r="I189">
        <v>1</v>
      </c>
      <c r="J189" s="7">
        <v>68</v>
      </c>
      <c r="K189" s="8">
        <v>0.2</v>
      </c>
      <c r="L189" s="9">
        <v>54.400000000000006</v>
      </c>
      <c r="M189" s="9">
        <v>31</v>
      </c>
      <c r="N189" s="9">
        <v>23.400000000000006</v>
      </c>
    </row>
    <row r="190" spans="1:14">
      <c r="A190" t="s">
        <v>482</v>
      </c>
      <c r="B190" s="6">
        <v>45883</v>
      </c>
      <c r="C190" t="s">
        <v>483</v>
      </c>
      <c r="D190" t="s">
        <v>78</v>
      </c>
      <c r="E190" t="s">
        <v>52</v>
      </c>
      <c r="F190" t="s">
        <v>53</v>
      </c>
      <c r="G190" t="s">
        <v>92</v>
      </c>
      <c r="H190" t="s">
        <v>57</v>
      </c>
      <c r="I190">
        <v>2</v>
      </c>
      <c r="J190" s="7">
        <v>22</v>
      </c>
      <c r="K190" s="8">
        <v>0.1</v>
      </c>
      <c r="L190" s="9">
        <v>39.6</v>
      </c>
      <c r="M190" s="9">
        <v>15</v>
      </c>
      <c r="N190" s="9">
        <v>24.6</v>
      </c>
    </row>
    <row r="191" spans="1:14">
      <c r="A191" t="s">
        <v>484</v>
      </c>
      <c r="B191" s="6">
        <v>45967</v>
      </c>
      <c r="C191" t="s">
        <v>485</v>
      </c>
      <c r="D191" t="s">
        <v>78</v>
      </c>
      <c r="E191" t="s">
        <v>49</v>
      </c>
      <c r="F191" t="s">
        <v>60</v>
      </c>
      <c r="G191" t="s">
        <v>87</v>
      </c>
      <c r="H191" t="s">
        <v>48</v>
      </c>
      <c r="I191">
        <v>3</v>
      </c>
      <c r="J191" s="7">
        <v>89.99</v>
      </c>
      <c r="K191" s="8">
        <v>0</v>
      </c>
      <c r="L191" s="9">
        <v>269.96999999999997</v>
      </c>
      <c r="M191" s="9">
        <v>138</v>
      </c>
      <c r="N191" s="9">
        <v>131.96999999999997</v>
      </c>
    </row>
    <row r="192" spans="1:14">
      <c r="A192" t="s">
        <v>486</v>
      </c>
      <c r="B192" s="6">
        <v>45721</v>
      </c>
      <c r="C192" t="s">
        <v>487</v>
      </c>
      <c r="D192" t="s">
        <v>78</v>
      </c>
      <c r="E192" t="s">
        <v>52</v>
      </c>
      <c r="F192" t="s">
        <v>59</v>
      </c>
      <c r="G192" t="s">
        <v>89</v>
      </c>
      <c r="H192" t="s">
        <v>51</v>
      </c>
      <c r="I192">
        <v>1</v>
      </c>
      <c r="J192" s="7">
        <v>38</v>
      </c>
      <c r="K192" s="8">
        <v>0</v>
      </c>
      <c r="L192" s="9">
        <v>38</v>
      </c>
      <c r="M192" s="9">
        <v>17</v>
      </c>
      <c r="N192" s="9">
        <v>21</v>
      </c>
    </row>
    <row r="193" spans="1:14">
      <c r="A193" t="s">
        <v>488</v>
      </c>
      <c r="B193" s="6">
        <v>45704</v>
      </c>
      <c r="C193" t="s">
        <v>489</v>
      </c>
      <c r="D193" t="s">
        <v>79</v>
      </c>
      <c r="E193" t="s">
        <v>49</v>
      </c>
      <c r="F193" t="s">
        <v>59</v>
      </c>
      <c r="G193" t="s">
        <v>88</v>
      </c>
      <c r="H193" t="s">
        <v>51</v>
      </c>
      <c r="I193">
        <v>2</v>
      </c>
      <c r="J193" s="7">
        <v>42</v>
      </c>
      <c r="K193" s="8">
        <v>0.15</v>
      </c>
      <c r="L193" s="9">
        <v>71.399999999999991</v>
      </c>
      <c r="M193" s="9">
        <v>38</v>
      </c>
      <c r="N193" s="9">
        <v>33.399999999999991</v>
      </c>
    </row>
    <row r="194" spans="1:14">
      <c r="A194" t="s">
        <v>490</v>
      </c>
      <c r="B194" s="6">
        <v>45915</v>
      </c>
      <c r="C194" t="s">
        <v>233</v>
      </c>
      <c r="D194" t="s">
        <v>78</v>
      </c>
      <c r="E194" t="s">
        <v>55</v>
      </c>
      <c r="F194" t="s">
        <v>50</v>
      </c>
      <c r="G194" t="s">
        <v>90</v>
      </c>
      <c r="H194" t="s">
        <v>54</v>
      </c>
      <c r="I194">
        <v>1</v>
      </c>
      <c r="J194" s="7">
        <v>29</v>
      </c>
      <c r="K194" s="8">
        <v>0.2</v>
      </c>
      <c r="L194" s="9">
        <v>23.200000000000003</v>
      </c>
      <c r="M194" s="9">
        <v>11</v>
      </c>
      <c r="N194" s="9">
        <v>12.200000000000003</v>
      </c>
    </row>
    <row r="195" spans="1:14">
      <c r="A195" t="s">
        <v>491</v>
      </c>
      <c r="B195" s="6">
        <v>45990</v>
      </c>
      <c r="C195" t="s">
        <v>492</v>
      </c>
      <c r="D195" t="s">
        <v>78</v>
      </c>
      <c r="E195" t="s">
        <v>52</v>
      </c>
      <c r="F195" t="s">
        <v>59</v>
      </c>
      <c r="G195" t="s">
        <v>90</v>
      </c>
      <c r="H195" t="s">
        <v>54</v>
      </c>
      <c r="I195">
        <v>2</v>
      </c>
      <c r="J195" s="7">
        <v>29</v>
      </c>
      <c r="K195" s="8">
        <v>0</v>
      </c>
      <c r="L195" s="9">
        <v>58</v>
      </c>
      <c r="M195" s="9">
        <v>22</v>
      </c>
      <c r="N195" s="9">
        <v>36</v>
      </c>
    </row>
    <row r="196" spans="1:14">
      <c r="A196" t="s">
        <v>493</v>
      </c>
      <c r="B196" s="6">
        <v>45887</v>
      </c>
      <c r="C196" t="s">
        <v>208</v>
      </c>
      <c r="D196" t="s">
        <v>78</v>
      </c>
      <c r="E196" t="s">
        <v>58</v>
      </c>
      <c r="F196" t="s">
        <v>50</v>
      </c>
      <c r="G196" t="s">
        <v>94</v>
      </c>
      <c r="H196" t="s">
        <v>51</v>
      </c>
      <c r="I196">
        <v>1</v>
      </c>
      <c r="J196" s="7">
        <v>18</v>
      </c>
      <c r="K196" s="8">
        <v>0</v>
      </c>
      <c r="L196" s="9">
        <v>18</v>
      </c>
      <c r="M196" s="9">
        <v>5.5</v>
      </c>
      <c r="N196" s="9">
        <v>12.5</v>
      </c>
    </row>
    <row r="197" spans="1:14">
      <c r="A197" t="s">
        <v>494</v>
      </c>
      <c r="B197" s="6">
        <v>45805</v>
      </c>
      <c r="C197" t="s">
        <v>342</v>
      </c>
      <c r="D197" t="s">
        <v>78</v>
      </c>
      <c r="E197" t="s">
        <v>58</v>
      </c>
      <c r="F197" t="s">
        <v>50</v>
      </c>
      <c r="G197" t="s">
        <v>88</v>
      </c>
      <c r="H197" t="s">
        <v>51</v>
      </c>
      <c r="I197">
        <v>1</v>
      </c>
      <c r="J197" s="7">
        <v>42</v>
      </c>
      <c r="K197" s="8">
        <v>0</v>
      </c>
      <c r="L197" s="9">
        <v>42</v>
      </c>
      <c r="M197" s="9">
        <v>19</v>
      </c>
      <c r="N197" s="9">
        <v>23</v>
      </c>
    </row>
    <row r="198" spans="1:14">
      <c r="A198" t="s">
        <v>495</v>
      </c>
      <c r="B198" s="6">
        <v>45714</v>
      </c>
      <c r="C198" t="s">
        <v>496</v>
      </c>
      <c r="D198" t="s">
        <v>78</v>
      </c>
      <c r="E198" t="s">
        <v>52</v>
      </c>
      <c r="F198" t="s">
        <v>56</v>
      </c>
      <c r="G198" t="s">
        <v>92</v>
      </c>
      <c r="H198" t="s">
        <v>57</v>
      </c>
      <c r="I198">
        <v>1</v>
      </c>
      <c r="J198" s="7">
        <v>22</v>
      </c>
      <c r="K198" s="8">
        <v>0</v>
      </c>
      <c r="L198" s="9">
        <v>22</v>
      </c>
      <c r="M198" s="9">
        <v>7.5</v>
      </c>
      <c r="N198" s="9">
        <v>14.5</v>
      </c>
    </row>
    <row r="199" spans="1:14">
      <c r="A199" t="s">
        <v>497</v>
      </c>
      <c r="B199" s="6">
        <v>45877</v>
      </c>
      <c r="C199" t="s">
        <v>427</v>
      </c>
      <c r="D199" t="s">
        <v>78</v>
      </c>
      <c r="E199" t="s">
        <v>49</v>
      </c>
      <c r="F199" t="s">
        <v>60</v>
      </c>
      <c r="G199" t="s">
        <v>85</v>
      </c>
      <c r="H199" t="s">
        <v>48</v>
      </c>
      <c r="I199">
        <v>2</v>
      </c>
      <c r="J199" s="7">
        <v>59.99</v>
      </c>
      <c r="K199" s="8">
        <v>0</v>
      </c>
      <c r="L199" s="9">
        <v>119.98</v>
      </c>
      <c r="M199" s="9">
        <v>56</v>
      </c>
      <c r="N199" s="9">
        <v>63.980000000000004</v>
      </c>
    </row>
    <row r="200" spans="1:14">
      <c r="A200" t="s">
        <v>498</v>
      </c>
      <c r="B200" s="6">
        <v>45842</v>
      </c>
      <c r="C200" t="s">
        <v>475</v>
      </c>
      <c r="D200" t="s">
        <v>79</v>
      </c>
      <c r="E200" t="s">
        <v>49</v>
      </c>
      <c r="F200" t="s">
        <v>59</v>
      </c>
      <c r="G200" t="s">
        <v>86</v>
      </c>
      <c r="H200" t="s">
        <v>48</v>
      </c>
      <c r="I200">
        <v>4</v>
      </c>
      <c r="J200" s="7">
        <v>34.99</v>
      </c>
      <c r="K200" s="8">
        <v>0.05</v>
      </c>
      <c r="L200" s="9">
        <v>132.96199999999999</v>
      </c>
      <c r="M200" s="9">
        <v>64</v>
      </c>
      <c r="N200" s="9">
        <v>68.961999999999989</v>
      </c>
    </row>
    <row r="201" spans="1:14">
      <c r="A201" t="s">
        <v>499</v>
      </c>
      <c r="B201" s="6">
        <v>45898</v>
      </c>
      <c r="C201" t="s">
        <v>500</v>
      </c>
      <c r="D201" t="s">
        <v>78</v>
      </c>
      <c r="E201" t="s">
        <v>55</v>
      </c>
      <c r="F201" t="s">
        <v>50</v>
      </c>
      <c r="G201" t="s">
        <v>85</v>
      </c>
      <c r="H201" t="s">
        <v>48</v>
      </c>
      <c r="I201">
        <v>2</v>
      </c>
      <c r="J201" s="7">
        <v>59.99</v>
      </c>
      <c r="K201" s="8">
        <v>0.2</v>
      </c>
      <c r="L201" s="9">
        <v>95.984000000000009</v>
      </c>
      <c r="M201" s="9">
        <v>56</v>
      </c>
      <c r="N201" s="9">
        <v>39.984000000000009</v>
      </c>
    </row>
    <row r="202" spans="1:14">
      <c r="A202" t="s">
        <v>501</v>
      </c>
      <c r="B202" s="6">
        <v>45834</v>
      </c>
      <c r="C202" t="s">
        <v>502</v>
      </c>
      <c r="D202" t="s">
        <v>79</v>
      </c>
      <c r="E202" t="s">
        <v>52</v>
      </c>
      <c r="F202" t="s">
        <v>50</v>
      </c>
      <c r="G202" t="s">
        <v>88</v>
      </c>
      <c r="H202" t="s">
        <v>51</v>
      </c>
      <c r="I202">
        <v>2</v>
      </c>
      <c r="J202" s="7">
        <v>42</v>
      </c>
      <c r="K202" s="8">
        <v>0.05</v>
      </c>
      <c r="L202" s="9">
        <v>79.8</v>
      </c>
      <c r="M202" s="9">
        <v>38</v>
      </c>
      <c r="N202" s="9">
        <v>41.8</v>
      </c>
    </row>
    <row r="203" spans="1:14">
      <c r="A203" t="s">
        <v>503</v>
      </c>
      <c r="B203" s="6">
        <v>45838</v>
      </c>
      <c r="C203" t="s">
        <v>256</v>
      </c>
      <c r="D203" t="s">
        <v>79</v>
      </c>
      <c r="E203" t="s">
        <v>58</v>
      </c>
      <c r="F203" t="s">
        <v>53</v>
      </c>
      <c r="G203" t="s">
        <v>93</v>
      </c>
      <c r="H203" t="s">
        <v>54</v>
      </c>
      <c r="I203">
        <v>1</v>
      </c>
      <c r="J203" s="7">
        <v>68</v>
      </c>
      <c r="K203" s="8">
        <v>0.05</v>
      </c>
      <c r="L203" s="9">
        <v>64.599999999999994</v>
      </c>
      <c r="M203" s="9">
        <v>31</v>
      </c>
      <c r="N203" s="9">
        <v>33.599999999999994</v>
      </c>
    </row>
    <row r="204" spans="1:14">
      <c r="A204" t="s">
        <v>504</v>
      </c>
      <c r="B204" s="6">
        <v>45727</v>
      </c>
      <c r="C204" t="s">
        <v>505</v>
      </c>
      <c r="D204" t="s">
        <v>78</v>
      </c>
      <c r="E204" t="s">
        <v>49</v>
      </c>
      <c r="F204" t="s">
        <v>53</v>
      </c>
      <c r="G204" t="s">
        <v>86</v>
      </c>
      <c r="H204" t="s">
        <v>48</v>
      </c>
      <c r="I204">
        <v>2</v>
      </c>
      <c r="J204" s="7">
        <v>34.99</v>
      </c>
      <c r="K204" s="8">
        <v>0.2</v>
      </c>
      <c r="L204" s="9">
        <v>55.984000000000009</v>
      </c>
      <c r="M204" s="9">
        <v>32</v>
      </c>
      <c r="N204" s="9">
        <v>23.984000000000009</v>
      </c>
    </row>
    <row r="205" spans="1:14">
      <c r="A205" t="s">
        <v>506</v>
      </c>
      <c r="B205" s="6">
        <v>45679</v>
      </c>
      <c r="C205" t="s">
        <v>507</v>
      </c>
      <c r="D205" t="s">
        <v>79</v>
      </c>
      <c r="E205" t="s">
        <v>58</v>
      </c>
      <c r="F205" t="s">
        <v>56</v>
      </c>
      <c r="G205" t="s">
        <v>90</v>
      </c>
      <c r="H205" t="s">
        <v>54</v>
      </c>
      <c r="I205">
        <v>3</v>
      </c>
      <c r="J205" s="7">
        <v>29</v>
      </c>
      <c r="K205" s="8">
        <v>0.05</v>
      </c>
      <c r="L205" s="9">
        <v>82.649999999999991</v>
      </c>
      <c r="M205" s="9">
        <v>33</v>
      </c>
      <c r="N205" s="9">
        <v>49.649999999999991</v>
      </c>
    </row>
    <row r="206" spans="1:14">
      <c r="A206" t="s">
        <v>508</v>
      </c>
      <c r="B206" s="6">
        <v>45676</v>
      </c>
      <c r="C206" t="s">
        <v>419</v>
      </c>
      <c r="D206" t="s">
        <v>78</v>
      </c>
      <c r="E206" t="s">
        <v>55</v>
      </c>
      <c r="F206" t="s">
        <v>56</v>
      </c>
      <c r="G206" t="s">
        <v>88</v>
      </c>
      <c r="H206" t="s">
        <v>51</v>
      </c>
      <c r="I206">
        <v>1</v>
      </c>
      <c r="J206" s="7">
        <v>42</v>
      </c>
      <c r="K206" s="8">
        <v>0.15</v>
      </c>
      <c r="L206" s="9">
        <v>35.699999999999996</v>
      </c>
      <c r="M206" s="9">
        <v>19</v>
      </c>
      <c r="N206" s="9">
        <v>16.699999999999996</v>
      </c>
    </row>
    <row r="207" spans="1:14">
      <c r="A207" t="s">
        <v>509</v>
      </c>
      <c r="B207" s="6">
        <v>45721</v>
      </c>
      <c r="C207" t="s">
        <v>510</v>
      </c>
      <c r="D207" t="s">
        <v>78</v>
      </c>
      <c r="E207" t="s">
        <v>55</v>
      </c>
      <c r="F207" t="s">
        <v>53</v>
      </c>
      <c r="G207" t="s">
        <v>90</v>
      </c>
      <c r="H207" t="s">
        <v>54</v>
      </c>
      <c r="I207">
        <v>1</v>
      </c>
      <c r="J207" s="7">
        <v>29</v>
      </c>
      <c r="K207" s="8">
        <v>0</v>
      </c>
      <c r="L207" s="9">
        <v>29</v>
      </c>
      <c r="M207" s="9">
        <v>11</v>
      </c>
      <c r="N207" s="9">
        <v>18</v>
      </c>
    </row>
    <row r="208" spans="1:14">
      <c r="A208" t="s">
        <v>511</v>
      </c>
      <c r="B208" s="6">
        <v>45912</v>
      </c>
      <c r="C208" t="s">
        <v>196</v>
      </c>
      <c r="D208" t="s">
        <v>78</v>
      </c>
      <c r="E208" t="s">
        <v>58</v>
      </c>
      <c r="F208" t="s">
        <v>50</v>
      </c>
      <c r="G208" t="s">
        <v>92</v>
      </c>
      <c r="H208" t="s">
        <v>57</v>
      </c>
      <c r="I208">
        <v>1</v>
      </c>
      <c r="J208" s="7">
        <v>22</v>
      </c>
      <c r="K208" s="8">
        <v>0.1</v>
      </c>
      <c r="L208" s="9">
        <v>19.8</v>
      </c>
      <c r="M208" s="9">
        <v>7.5</v>
      </c>
      <c r="N208" s="9">
        <v>12.3</v>
      </c>
    </row>
    <row r="209" spans="1:14">
      <c r="A209" t="s">
        <v>512</v>
      </c>
      <c r="B209" s="6">
        <v>45878</v>
      </c>
      <c r="C209" t="s">
        <v>513</v>
      </c>
      <c r="D209" t="s">
        <v>78</v>
      </c>
      <c r="E209" t="s">
        <v>49</v>
      </c>
      <c r="F209" t="s">
        <v>56</v>
      </c>
      <c r="G209" t="s">
        <v>94</v>
      </c>
      <c r="H209" t="s">
        <v>51</v>
      </c>
      <c r="I209">
        <v>4</v>
      </c>
      <c r="J209" s="7">
        <v>18</v>
      </c>
      <c r="K209" s="8">
        <v>0</v>
      </c>
      <c r="L209" s="9">
        <v>72</v>
      </c>
      <c r="M209" s="9">
        <v>22</v>
      </c>
      <c r="N209" s="9">
        <v>50</v>
      </c>
    </row>
    <row r="210" spans="1:14">
      <c r="A210" t="s">
        <v>514</v>
      </c>
      <c r="B210" s="6">
        <v>45996</v>
      </c>
      <c r="C210" t="s">
        <v>450</v>
      </c>
      <c r="D210" t="s">
        <v>78</v>
      </c>
      <c r="E210" t="s">
        <v>58</v>
      </c>
      <c r="F210" t="s">
        <v>56</v>
      </c>
      <c r="G210" t="s">
        <v>89</v>
      </c>
      <c r="H210" t="s">
        <v>51</v>
      </c>
      <c r="I210">
        <v>1</v>
      </c>
      <c r="J210" s="7">
        <v>38</v>
      </c>
      <c r="K210" s="8">
        <v>0.05</v>
      </c>
      <c r="L210" s="9">
        <v>36.1</v>
      </c>
      <c r="M210" s="9">
        <v>17</v>
      </c>
      <c r="N210" s="9">
        <v>19.100000000000001</v>
      </c>
    </row>
    <row r="211" spans="1:14">
      <c r="A211" t="s">
        <v>515</v>
      </c>
      <c r="B211" s="6">
        <v>45886</v>
      </c>
      <c r="C211" t="s">
        <v>516</v>
      </c>
      <c r="D211" t="s">
        <v>79</v>
      </c>
      <c r="E211" t="s">
        <v>55</v>
      </c>
      <c r="F211" t="s">
        <v>50</v>
      </c>
      <c r="G211" t="s">
        <v>85</v>
      </c>
      <c r="H211" t="s">
        <v>48</v>
      </c>
      <c r="I211">
        <v>2</v>
      </c>
      <c r="J211" s="7">
        <v>59.99</v>
      </c>
      <c r="K211" s="8">
        <v>0.15</v>
      </c>
      <c r="L211" s="9">
        <v>101.983</v>
      </c>
      <c r="M211" s="9">
        <v>56</v>
      </c>
      <c r="N211" s="9">
        <v>45.983000000000004</v>
      </c>
    </row>
    <row r="212" spans="1:14">
      <c r="A212" t="s">
        <v>517</v>
      </c>
      <c r="B212" s="6">
        <v>45696</v>
      </c>
      <c r="C212" t="s">
        <v>346</v>
      </c>
      <c r="D212" t="s">
        <v>79</v>
      </c>
      <c r="E212" t="s">
        <v>52</v>
      </c>
      <c r="F212" t="s">
        <v>60</v>
      </c>
      <c r="G212" t="s">
        <v>91</v>
      </c>
      <c r="H212" t="s">
        <v>57</v>
      </c>
      <c r="I212">
        <v>1</v>
      </c>
      <c r="J212" s="7">
        <v>35</v>
      </c>
      <c r="K212" s="8">
        <v>0.1</v>
      </c>
      <c r="L212" s="9">
        <v>31.5</v>
      </c>
      <c r="M212" s="9">
        <v>14</v>
      </c>
      <c r="N212" s="9">
        <v>17.5</v>
      </c>
    </row>
    <row r="213" spans="1:14">
      <c r="A213" t="s">
        <v>518</v>
      </c>
      <c r="B213" s="6">
        <v>46005</v>
      </c>
      <c r="C213" t="s">
        <v>519</v>
      </c>
      <c r="D213" t="s">
        <v>79</v>
      </c>
      <c r="E213" t="s">
        <v>55</v>
      </c>
      <c r="F213" t="s">
        <v>59</v>
      </c>
      <c r="G213" t="s">
        <v>92</v>
      </c>
      <c r="H213" t="s">
        <v>57</v>
      </c>
      <c r="I213">
        <v>1</v>
      </c>
      <c r="J213" s="7">
        <v>22</v>
      </c>
      <c r="K213" s="8">
        <v>0</v>
      </c>
      <c r="L213" s="9">
        <v>22</v>
      </c>
      <c r="M213" s="9">
        <v>7.5</v>
      </c>
      <c r="N213" s="9">
        <v>14.5</v>
      </c>
    </row>
    <row r="214" spans="1:14">
      <c r="A214" t="s">
        <v>520</v>
      </c>
      <c r="B214" s="6">
        <v>45948</v>
      </c>
      <c r="C214" t="s">
        <v>180</v>
      </c>
      <c r="D214" t="s">
        <v>79</v>
      </c>
      <c r="E214" t="s">
        <v>58</v>
      </c>
      <c r="F214" t="s">
        <v>50</v>
      </c>
      <c r="G214" t="s">
        <v>85</v>
      </c>
      <c r="H214" t="s">
        <v>48</v>
      </c>
      <c r="I214">
        <v>2</v>
      </c>
      <c r="J214" s="7">
        <v>59.99</v>
      </c>
      <c r="K214" s="8">
        <v>0.1</v>
      </c>
      <c r="L214" s="9">
        <v>107.982</v>
      </c>
      <c r="M214" s="9">
        <v>56</v>
      </c>
      <c r="N214" s="9">
        <v>51.981999999999999</v>
      </c>
    </row>
    <row r="215" spans="1:14">
      <c r="A215" t="s">
        <v>521</v>
      </c>
      <c r="B215" s="6">
        <v>45951</v>
      </c>
      <c r="C215" t="s">
        <v>330</v>
      </c>
      <c r="D215" t="s">
        <v>79</v>
      </c>
      <c r="E215" t="s">
        <v>49</v>
      </c>
      <c r="F215" t="s">
        <v>50</v>
      </c>
      <c r="G215" t="s">
        <v>87</v>
      </c>
      <c r="H215" t="s">
        <v>48</v>
      </c>
      <c r="I215">
        <v>1</v>
      </c>
      <c r="J215" s="7">
        <v>89.99</v>
      </c>
      <c r="K215" s="8">
        <v>0</v>
      </c>
      <c r="L215" s="9">
        <v>89.99</v>
      </c>
      <c r="M215" s="9">
        <v>46</v>
      </c>
      <c r="N215" s="9">
        <v>43.989999999999995</v>
      </c>
    </row>
    <row r="216" spans="1:14">
      <c r="A216" t="s">
        <v>522</v>
      </c>
      <c r="B216" s="6">
        <v>45753</v>
      </c>
      <c r="C216" t="s">
        <v>406</v>
      </c>
      <c r="D216" t="s">
        <v>78</v>
      </c>
      <c r="E216" t="s">
        <v>55</v>
      </c>
      <c r="F216" t="s">
        <v>59</v>
      </c>
      <c r="G216" t="s">
        <v>92</v>
      </c>
      <c r="H216" t="s">
        <v>57</v>
      </c>
      <c r="I216">
        <v>1</v>
      </c>
      <c r="J216" s="7">
        <v>22</v>
      </c>
      <c r="K216" s="8">
        <v>0.15</v>
      </c>
      <c r="L216" s="9">
        <v>18.7</v>
      </c>
      <c r="M216" s="9">
        <v>7.5</v>
      </c>
      <c r="N216" s="9">
        <v>11.2</v>
      </c>
    </row>
    <row r="217" spans="1:14">
      <c r="A217" t="s">
        <v>523</v>
      </c>
      <c r="B217" s="6">
        <v>45767</v>
      </c>
      <c r="C217" t="s">
        <v>524</v>
      </c>
      <c r="D217" t="s">
        <v>78</v>
      </c>
      <c r="E217" t="s">
        <v>52</v>
      </c>
      <c r="F217" t="s">
        <v>50</v>
      </c>
      <c r="G217" t="s">
        <v>94</v>
      </c>
      <c r="H217" t="s">
        <v>51</v>
      </c>
      <c r="I217">
        <v>1</v>
      </c>
      <c r="J217" s="7">
        <v>18</v>
      </c>
      <c r="K217" s="8">
        <v>0.15</v>
      </c>
      <c r="L217" s="9">
        <v>15.299999999999999</v>
      </c>
      <c r="M217" s="9">
        <v>5.5</v>
      </c>
      <c r="N217" s="9">
        <v>9.7999999999999989</v>
      </c>
    </row>
    <row r="218" spans="1:14">
      <c r="A218" t="s">
        <v>525</v>
      </c>
      <c r="B218" s="6">
        <v>45889</v>
      </c>
      <c r="C218" t="s">
        <v>526</v>
      </c>
      <c r="D218" t="s">
        <v>78</v>
      </c>
      <c r="E218" t="s">
        <v>55</v>
      </c>
      <c r="F218" t="s">
        <v>56</v>
      </c>
      <c r="G218" t="s">
        <v>87</v>
      </c>
      <c r="H218" t="s">
        <v>48</v>
      </c>
      <c r="I218">
        <v>3</v>
      </c>
      <c r="J218" s="7">
        <v>89.99</v>
      </c>
      <c r="K218" s="8">
        <v>0</v>
      </c>
      <c r="L218" s="9">
        <v>269.96999999999997</v>
      </c>
      <c r="M218" s="9">
        <v>138</v>
      </c>
      <c r="N218" s="9">
        <v>131.96999999999997</v>
      </c>
    </row>
    <row r="219" spans="1:14">
      <c r="A219" t="s">
        <v>527</v>
      </c>
      <c r="B219" s="6">
        <v>46021</v>
      </c>
      <c r="C219" t="s">
        <v>528</v>
      </c>
      <c r="D219" t="s">
        <v>78</v>
      </c>
      <c r="E219" t="s">
        <v>52</v>
      </c>
      <c r="F219" t="s">
        <v>56</v>
      </c>
      <c r="G219" t="s">
        <v>86</v>
      </c>
      <c r="H219" t="s">
        <v>48</v>
      </c>
      <c r="I219">
        <v>1</v>
      </c>
      <c r="J219" s="7">
        <v>34.99</v>
      </c>
      <c r="K219" s="8">
        <v>0</v>
      </c>
      <c r="L219" s="9">
        <v>34.99</v>
      </c>
      <c r="M219" s="9">
        <v>16</v>
      </c>
      <c r="N219" s="9">
        <v>18.990000000000002</v>
      </c>
    </row>
    <row r="220" spans="1:14">
      <c r="A220" t="s">
        <v>529</v>
      </c>
      <c r="B220" s="6">
        <v>45918</v>
      </c>
      <c r="C220" t="s">
        <v>530</v>
      </c>
      <c r="D220" t="s">
        <v>78</v>
      </c>
      <c r="E220" t="s">
        <v>49</v>
      </c>
      <c r="F220" t="s">
        <v>56</v>
      </c>
      <c r="G220" t="s">
        <v>88</v>
      </c>
      <c r="H220" t="s">
        <v>51</v>
      </c>
      <c r="I220">
        <v>1</v>
      </c>
      <c r="J220" s="7">
        <v>42</v>
      </c>
      <c r="K220" s="8">
        <v>0</v>
      </c>
      <c r="L220" s="9">
        <v>42</v>
      </c>
      <c r="M220" s="9">
        <v>19</v>
      </c>
      <c r="N220" s="9">
        <v>23</v>
      </c>
    </row>
    <row r="221" spans="1:14">
      <c r="A221" t="s">
        <v>531</v>
      </c>
      <c r="B221" s="6">
        <v>45941</v>
      </c>
      <c r="C221" t="s">
        <v>532</v>
      </c>
      <c r="D221" t="s">
        <v>78</v>
      </c>
      <c r="E221" t="s">
        <v>49</v>
      </c>
      <c r="F221" t="s">
        <v>50</v>
      </c>
      <c r="G221" t="s">
        <v>94</v>
      </c>
      <c r="H221" t="s">
        <v>51</v>
      </c>
      <c r="I221">
        <v>1</v>
      </c>
      <c r="J221" s="7">
        <v>18</v>
      </c>
      <c r="K221" s="8">
        <v>0.1</v>
      </c>
      <c r="L221" s="9">
        <v>16.2</v>
      </c>
      <c r="M221" s="9">
        <v>5.5</v>
      </c>
      <c r="N221" s="9">
        <v>10.7</v>
      </c>
    </row>
    <row r="222" spans="1:14">
      <c r="A222" t="s">
        <v>533</v>
      </c>
      <c r="B222" s="6">
        <v>45816</v>
      </c>
      <c r="C222" t="s">
        <v>534</v>
      </c>
      <c r="D222" t="s">
        <v>78</v>
      </c>
      <c r="E222" t="s">
        <v>58</v>
      </c>
      <c r="F222" t="s">
        <v>60</v>
      </c>
      <c r="G222" t="s">
        <v>91</v>
      </c>
      <c r="H222" t="s">
        <v>57</v>
      </c>
      <c r="I222">
        <v>4</v>
      </c>
      <c r="J222" s="7">
        <v>35</v>
      </c>
      <c r="K222" s="8">
        <v>0.1</v>
      </c>
      <c r="L222" s="9">
        <v>126</v>
      </c>
      <c r="M222" s="9">
        <v>56</v>
      </c>
      <c r="N222" s="9">
        <v>70</v>
      </c>
    </row>
    <row r="223" spans="1:14">
      <c r="A223" t="s">
        <v>535</v>
      </c>
      <c r="B223" s="6">
        <v>45695</v>
      </c>
      <c r="C223" t="s">
        <v>456</v>
      </c>
      <c r="D223" t="s">
        <v>78</v>
      </c>
      <c r="E223" t="s">
        <v>55</v>
      </c>
      <c r="F223" t="s">
        <v>53</v>
      </c>
      <c r="G223" t="s">
        <v>87</v>
      </c>
      <c r="H223" t="s">
        <v>48</v>
      </c>
      <c r="I223">
        <v>4</v>
      </c>
      <c r="J223" s="7">
        <v>89.99</v>
      </c>
      <c r="K223" s="8">
        <v>0.05</v>
      </c>
      <c r="L223" s="9">
        <v>341.96199999999999</v>
      </c>
      <c r="M223" s="9">
        <v>184</v>
      </c>
      <c r="N223" s="9">
        <v>157.96199999999999</v>
      </c>
    </row>
    <row r="224" spans="1:14">
      <c r="A224" t="s">
        <v>536</v>
      </c>
      <c r="B224" s="6">
        <v>45940</v>
      </c>
      <c r="C224" t="s">
        <v>537</v>
      </c>
      <c r="D224" t="s">
        <v>78</v>
      </c>
      <c r="E224" t="s">
        <v>49</v>
      </c>
      <c r="F224" t="s">
        <v>60</v>
      </c>
      <c r="G224" t="s">
        <v>94</v>
      </c>
      <c r="H224" t="s">
        <v>51</v>
      </c>
      <c r="I224">
        <v>1</v>
      </c>
      <c r="J224" s="7">
        <v>18</v>
      </c>
      <c r="K224" s="8">
        <v>0.2</v>
      </c>
      <c r="L224" s="9">
        <v>14.4</v>
      </c>
      <c r="M224" s="9">
        <v>5.5</v>
      </c>
      <c r="N224" s="9">
        <v>8.9</v>
      </c>
    </row>
    <row r="225" spans="1:14">
      <c r="A225" t="s">
        <v>538</v>
      </c>
      <c r="B225" s="6">
        <v>45736</v>
      </c>
      <c r="C225" t="s">
        <v>539</v>
      </c>
      <c r="D225" t="s">
        <v>79</v>
      </c>
      <c r="E225" t="s">
        <v>55</v>
      </c>
      <c r="F225" t="s">
        <v>50</v>
      </c>
      <c r="G225" t="s">
        <v>89</v>
      </c>
      <c r="H225" t="s">
        <v>51</v>
      </c>
      <c r="I225">
        <v>1</v>
      </c>
      <c r="J225" s="7">
        <v>38</v>
      </c>
      <c r="K225" s="8">
        <v>0</v>
      </c>
      <c r="L225" s="9">
        <v>38</v>
      </c>
      <c r="M225" s="9">
        <v>17</v>
      </c>
      <c r="N225" s="9">
        <v>21</v>
      </c>
    </row>
    <row r="226" spans="1:14">
      <c r="A226" t="s">
        <v>540</v>
      </c>
      <c r="B226" s="6">
        <v>45786</v>
      </c>
      <c r="C226" t="s">
        <v>541</v>
      </c>
      <c r="D226" t="s">
        <v>78</v>
      </c>
      <c r="E226" t="s">
        <v>49</v>
      </c>
      <c r="F226" t="s">
        <v>60</v>
      </c>
      <c r="G226" t="s">
        <v>88</v>
      </c>
      <c r="H226" t="s">
        <v>51</v>
      </c>
      <c r="I226">
        <v>2</v>
      </c>
      <c r="J226" s="7">
        <v>42</v>
      </c>
      <c r="K226" s="8">
        <v>0.05</v>
      </c>
      <c r="L226" s="9">
        <v>79.8</v>
      </c>
      <c r="M226" s="9">
        <v>38</v>
      </c>
      <c r="N226" s="9">
        <v>41.8</v>
      </c>
    </row>
    <row r="227" spans="1:14">
      <c r="A227" t="s">
        <v>542</v>
      </c>
      <c r="B227" s="6">
        <v>45986</v>
      </c>
      <c r="C227" t="s">
        <v>543</v>
      </c>
      <c r="D227" t="s">
        <v>78</v>
      </c>
      <c r="E227" t="s">
        <v>55</v>
      </c>
      <c r="F227" t="s">
        <v>60</v>
      </c>
      <c r="G227" t="s">
        <v>87</v>
      </c>
      <c r="H227" t="s">
        <v>48</v>
      </c>
      <c r="I227">
        <v>1</v>
      </c>
      <c r="J227" s="7">
        <v>89.99</v>
      </c>
      <c r="K227" s="8">
        <v>0.05</v>
      </c>
      <c r="L227" s="9">
        <v>85.490499999999997</v>
      </c>
      <c r="M227" s="9">
        <v>46</v>
      </c>
      <c r="N227" s="9">
        <v>39.490499999999997</v>
      </c>
    </row>
    <row r="228" spans="1:14">
      <c r="A228" t="s">
        <v>544</v>
      </c>
      <c r="B228" s="6">
        <v>45679</v>
      </c>
      <c r="C228" t="s">
        <v>170</v>
      </c>
      <c r="D228" t="s">
        <v>79</v>
      </c>
      <c r="E228" t="s">
        <v>52</v>
      </c>
      <c r="F228" t="s">
        <v>60</v>
      </c>
      <c r="G228" t="s">
        <v>85</v>
      </c>
      <c r="H228" t="s">
        <v>48</v>
      </c>
      <c r="I228">
        <v>1</v>
      </c>
      <c r="J228" s="7">
        <v>59.99</v>
      </c>
      <c r="K228" s="8">
        <v>0.2</v>
      </c>
      <c r="L228" s="9">
        <v>47.992000000000004</v>
      </c>
      <c r="M228" s="9">
        <v>28</v>
      </c>
      <c r="N228" s="9">
        <v>19.992000000000004</v>
      </c>
    </row>
    <row r="229" spans="1:14">
      <c r="A229" t="s">
        <v>545</v>
      </c>
      <c r="B229" s="6">
        <v>45871</v>
      </c>
      <c r="C229" t="s">
        <v>443</v>
      </c>
      <c r="D229" t="s">
        <v>79</v>
      </c>
      <c r="E229" t="s">
        <v>55</v>
      </c>
      <c r="F229" t="s">
        <v>59</v>
      </c>
      <c r="G229" t="s">
        <v>94</v>
      </c>
      <c r="H229" t="s">
        <v>51</v>
      </c>
      <c r="I229">
        <v>2</v>
      </c>
      <c r="J229" s="7">
        <v>18</v>
      </c>
      <c r="K229" s="8">
        <v>0.05</v>
      </c>
      <c r="L229" s="9">
        <v>34.199999999999996</v>
      </c>
      <c r="M229" s="9">
        <v>11</v>
      </c>
      <c r="N229" s="9">
        <v>23.199999999999996</v>
      </c>
    </row>
    <row r="230" spans="1:14">
      <c r="A230" t="s">
        <v>546</v>
      </c>
      <c r="B230" s="6">
        <v>45783</v>
      </c>
      <c r="C230" t="s">
        <v>360</v>
      </c>
      <c r="D230" t="s">
        <v>78</v>
      </c>
      <c r="E230" t="s">
        <v>58</v>
      </c>
      <c r="F230" t="s">
        <v>59</v>
      </c>
      <c r="G230" t="s">
        <v>91</v>
      </c>
      <c r="H230" t="s">
        <v>57</v>
      </c>
      <c r="I230">
        <v>1</v>
      </c>
      <c r="J230" s="7">
        <v>35</v>
      </c>
      <c r="K230" s="8">
        <v>0</v>
      </c>
      <c r="L230" s="9">
        <v>35</v>
      </c>
      <c r="M230" s="9">
        <v>14</v>
      </c>
      <c r="N230" s="9">
        <v>21</v>
      </c>
    </row>
    <row r="231" spans="1:14">
      <c r="A231" t="s">
        <v>547</v>
      </c>
      <c r="B231" s="6">
        <v>45895</v>
      </c>
      <c r="C231" t="s">
        <v>260</v>
      </c>
      <c r="D231" t="s">
        <v>79</v>
      </c>
      <c r="E231" t="s">
        <v>55</v>
      </c>
      <c r="F231" t="s">
        <v>59</v>
      </c>
      <c r="G231" t="s">
        <v>88</v>
      </c>
      <c r="H231" t="s">
        <v>51</v>
      </c>
      <c r="I231">
        <v>1</v>
      </c>
      <c r="J231" s="7">
        <v>42</v>
      </c>
      <c r="K231" s="8">
        <v>0</v>
      </c>
      <c r="L231" s="9">
        <v>42</v>
      </c>
      <c r="M231" s="9">
        <v>19</v>
      </c>
      <c r="N231" s="9">
        <v>23</v>
      </c>
    </row>
    <row r="232" spans="1:14">
      <c r="A232" t="s">
        <v>548</v>
      </c>
      <c r="B232" s="6">
        <v>45724</v>
      </c>
      <c r="C232" t="s">
        <v>524</v>
      </c>
      <c r="D232" t="s">
        <v>78</v>
      </c>
      <c r="E232" t="s">
        <v>55</v>
      </c>
      <c r="F232" t="s">
        <v>59</v>
      </c>
      <c r="G232" t="s">
        <v>90</v>
      </c>
      <c r="H232" t="s">
        <v>54</v>
      </c>
      <c r="I232">
        <v>1</v>
      </c>
      <c r="J232" s="7">
        <v>29</v>
      </c>
      <c r="K232" s="8">
        <v>0</v>
      </c>
      <c r="L232" s="9">
        <v>29</v>
      </c>
      <c r="M232" s="9">
        <v>11</v>
      </c>
      <c r="N232" s="9">
        <v>18</v>
      </c>
    </row>
    <row r="233" spans="1:14">
      <c r="A233" t="s">
        <v>549</v>
      </c>
      <c r="B233" s="6">
        <v>45784</v>
      </c>
      <c r="C233" t="s">
        <v>550</v>
      </c>
      <c r="D233" t="s">
        <v>78</v>
      </c>
      <c r="E233" t="s">
        <v>58</v>
      </c>
      <c r="F233" t="s">
        <v>53</v>
      </c>
      <c r="G233" t="s">
        <v>87</v>
      </c>
      <c r="H233" t="s">
        <v>48</v>
      </c>
      <c r="I233">
        <v>1</v>
      </c>
      <c r="J233" s="7">
        <v>89.99</v>
      </c>
      <c r="K233" s="8">
        <v>0</v>
      </c>
      <c r="L233" s="9">
        <v>89.99</v>
      </c>
      <c r="M233" s="9">
        <v>46</v>
      </c>
      <c r="N233" s="9">
        <v>43.989999999999995</v>
      </c>
    </row>
    <row r="234" spans="1:14">
      <c r="A234" t="s">
        <v>551</v>
      </c>
      <c r="B234" s="6">
        <v>45739</v>
      </c>
      <c r="C234" t="s">
        <v>260</v>
      </c>
      <c r="D234" t="s">
        <v>78</v>
      </c>
      <c r="E234" t="s">
        <v>58</v>
      </c>
      <c r="F234" t="s">
        <v>60</v>
      </c>
      <c r="G234" t="s">
        <v>90</v>
      </c>
      <c r="H234" t="s">
        <v>54</v>
      </c>
      <c r="I234">
        <v>3</v>
      </c>
      <c r="J234" s="7">
        <v>29</v>
      </c>
      <c r="K234" s="8">
        <v>0.1</v>
      </c>
      <c r="L234" s="9">
        <v>78.3</v>
      </c>
      <c r="M234" s="9">
        <v>33</v>
      </c>
      <c r="N234" s="9">
        <v>45.3</v>
      </c>
    </row>
    <row r="235" spans="1:14">
      <c r="A235" t="s">
        <v>552</v>
      </c>
      <c r="B235" s="6">
        <v>45897</v>
      </c>
      <c r="C235" t="s">
        <v>553</v>
      </c>
      <c r="D235" t="s">
        <v>78</v>
      </c>
      <c r="E235" t="s">
        <v>58</v>
      </c>
      <c r="F235" t="s">
        <v>53</v>
      </c>
      <c r="G235" t="s">
        <v>92</v>
      </c>
      <c r="H235" t="s">
        <v>57</v>
      </c>
      <c r="I235">
        <v>3</v>
      </c>
      <c r="J235" s="7">
        <v>22</v>
      </c>
      <c r="K235" s="8">
        <v>0.05</v>
      </c>
      <c r="L235" s="9">
        <v>62.699999999999996</v>
      </c>
      <c r="M235" s="9">
        <v>22.5</v>
      </c>
      <c r="N235" s="9">
        <v>40.199999999999996</v>
      </c>
    </row>
    <row r="236" spans="1:14">
      <c r="A236" t="s">
        <v>554</v>
      </c>
      <c r="B236" s="6">
        <v>45768</v>
      </c>
      <c r="C236" t="s">
        <v>555</v>
      </c>
      <c r="D236" t="s">
        <v>78</v>
      </c>
      <c r="E236" t="s">
        <v>58</v>
      </c>
      <c r="F236" t="s">
        <v>56</v>
      </c>
      <c r="G236" t="s">
        <v>94</v>
      </c>
      <c r="H236" t="s">
        <v>51</v>
      </c>
      <c r="I236">
        <v>1</v>
      </c>
      <c r="J236" s="7">
        <v>18</v>
      </c>
      <c r="K236" s="8">
        <v>0</v>
      </c>
      <c r="L236" s="9">
        <v>18</v>
      </c>
      <c r="M236" s="9">
        <v>5.5</v>
      </c>
      <c r="N236" s="9">
        <v>12.5</v>
      </c>
    </row>
    <row r="237" spans="1:14">
      <c r="A237" t="s">
        <v>556</v>
      </c>
      <c r="B237" s="6">
        <v>45932</v>
      </c>
      <c r="C237" t="s">
        <v>519</v>
      </c>
      <c r="D237" t="s">
        <v>79</v>
      </c>
      <c r="E237" t="s">
        <v>58</v>
      </c>
      <c r="F237" t="s">
        <v>56</v>
      </c>
      <c r="G237" t="s">
        <v>85</v>
      </c>
      <c r="H237" t="s">
        <v>48</v>
      </c>
      <c r="I237">
        <v>2</v>
      </c>
      <c r="J237" s="7">
        <v>59.99</v>
      </c>
      <c r="K237" s="8">
        <v>0</v>
      </c>
      <c r="L237" s="9">
        <v>119.98</v>
      </c>
      <c r="M237" s="9">
        <v>56</v>
      </c>
      <c r="N237" s="9">
        <v>63.980000000000004</v>
      </c>
    </row>
    <row r="238" spans="1:14">
      <c r="A238" t="s">
        <v>557</v>
      </c>
      <c r="B238" s="6">
        <v>45681</v>
      </c>
      <c r="C238" t="s">
        <v>334</v>
      </c>
      <c r="D238" t="s">
        <v>78</v>
      </c>
      <c r="E238" t="s">
        <v>49</v>
      </c>
      <c r="F238" t="s">
        <v>59</v>
      </c>
      <c r="G238" t="s">
        <v>91</v>
      </c>
      <c r="H238" t="s">
        <v>57</v>
      </c>
      <c r="I238">
        <v>1</v>
      </c>
      <c r="J238" s="7">
        <v>35</v>
      </c>
      <c r="K238" s="8">
        <v>0.05</v>
      </c>
      <c r="L238" s="9">
        <v>33.25</v>
      </c>
      <c r="M238" s="9">
        <v>14</v>
      </c>
      <c r="N238" s="9">
        <v>19.25</v>
      </c>
    </row>
    <row r="239" spans="1:14">
      <c r="A239" t="s">
        <v>558</v>
      </c>
      <c r="B239" s="6">
        <v>45916</v>
      </c>
      <c r="C239" t="s">
        <v>479</v>
      </c>
      <c r="D239" t="s">
        <v>79</v>
      </c>
      <c r="E239" t="s">
        <v>49</v>
      </c>
      <c r="F239" t="s">
        <v>53</v>
      </c>
      <c r="G239" t="s">
        <v>92</v>
      </c>
      <c r="H239" t="s">
        <v>57</v>
      </c>
      <c r="I239">
        <v>2</v>
      </c>
      <c r="J239" s="7">
        <v>22</v>
      </c>
      <c r="K239" s="8">
        <v>0</v>
      </c>
      <c r="L239" s="9">
        <v>44</v>
      </c>
      <c r="M239" s="9">
        <v>15</v>
      </c>
      <c r="N239" s="9">
        <v>29</v>
      </c>
    </row>
    <row r="240" spans="1:14">
      <c r="A240" t="s">
        <v>559</v>
      </c>
      <c r="B240" s="6">
        <v>45707</v>
      </c>
      <c r="C240" t="s">
        <v>560</v>
      </c>
      <c r="D240" t="s">
        <v>78</v>
      </c>
      <c r="E240" t="s">
        <v>52</v>
      </c>
      <c r="F240" t="s">
        <v>53</v>
      </c>
      <c r="G240" t="s">
        <v>91</v>
      </c>
      <c r="H240" t="s">
        <v>57</v>
      </c>
      <c r="I240">
        <v>1</v>
      </c>
      <c r="J240" s="7">
        <v>35</v>
      </c>
      <c r="K240" s="8">
        <v>0.2</v>
      </c>
      <c r="L240" s="9">
        <v>28</v>
      </c>
      <c r="M240" s="9">
        <v>14</v>
      </c>
      <c r="N240" s="9">
        <v>14</v>
      </c>
    </row>
    <row r="241" spans="1:14">
      <c r="A241" t="s">
        <v>561</v>
      </c>
      <c r="B241" s="6">
        <v>45966</v>
      </c>
      <c r="C241" t="s">
        <v>562</v>
      </c>
      <c r="D241" t="s">
        <v>78</v>
      </c>
      <c r="E241" t="s">
        <v>55</v>
      </c>
      <c r="F241" t="s">
        <v>59</v>
      </c>
      <c r="G241" t="s">
        <v>93</v>
      </c>
      <c r="H241" t="s">
        <v>54</v>
      </c>
      <c r="I241">
        <v>1</v>
      </c>
      <c r="J241" s="7">
        <v>68</v>
      </c>
      <c r="K241" s="8">
        <v>0</v>
      </c>
      <c r="L241" s="9">
        <v>68</v>
      </c>
      <c r="M241" s="9">
        <v>31</v>
      </c>
      <c r="N241" s="9">
        <v>37</v>
      </c>
    </row>
    <row r="242" spans="1:14">
      <c r="A242" t="s">
        <v>563</v>
      </c>
      <c r="B242" s="6">
        <v>45923</v>
      </c>
      <c r="C242" t="s">
        <v>532</v>
      </c>
      <c r="D242" t="s">
        <v>78</v>
      </c>
      <c r="E242" t="s">
        <v>55</v>
      </c>
      <c r="F242" t="s">
        <v>53</v>
      </c>
      <c r="G242" t="s">
        <v>92</v>
      </c>
      <c r="H242" t="s">
        <v>57</v>
      </c>
      <c r="I242">
        <v>1</v>
      </c>
      <c r="J242" s="7">
        <v>22</v>
      </c>
      <c r="K242" s="8">
        <v>0.15</v>
      </c>
      <c r="L242" s="9">
        <v>18.7</v>
      </c>
      <c r="M242" s="9">
        <v>7.5</v>
      </c>
      <c r="N242" s="9">
        <v>11.2</v>
      </c>
    </row>
    <row r="243" spans="1:14">
      <c r="A243" t="s">
        <v>564</v>
      </c>
      <c r="B243" s="6">
        <v>45859</v>
      </c>
      <c r="C243" t="s">
        <v>565</v>
      </c>
      <c r="D243" t="s">
        <v>78</v>
      </c>
      <c r="E243" t="s">
        <v>58</v>
      </c>
      <c r="F243" t="s">
        <v>60</v>
      </c>
      <c r="G243" t="s">
        <v>94</v>
      </c>
      <c r="H243" t="s">
        <v>51</v>
      </c>
      <c r="I243">
        <v>2</v>
      </c>
      <c r="J243" s="7">
        <v>18</v>
      </c>
      <c r="K243" s="8">
        <v>0</v>
      </c>
      <c r="L243" s="9">
        <v>36</v>
      </c>
      <c r="M243" s="9">
        <v>11</v>
      </c>
      <c r="N243" s="9">
        <v>25</v>
      </c>
    </row>
    <row r="244" spans="1:14">
      <c r="A244" t="s">
        <v>566</v>
      </c>
      <c r="B244" s="6">
        <v>45811</v>
      </c>
      <c r="C244" t="s">
        <v>489</v>
      </c>
      <c r="D244" t="s">
        <v>79</v>
      </c>
      <c r="E244" t="s">
        <v>55</v>
      </c>
      <c r="F244" t="s">
        <v>50</v>
      </c>
      <c r="G244" t="s">
        <v>92</v>
      </c>
      <c r="H244" t="s">
        <v>57</v>
      </c>
      <c r="I244">
        <v>2</v>
      </c>
      <c r="J244" s="7">
        <v>22</v>
      </c>
      <c r="K244" s="8">
        <v>0</v>
      </c>
      <c r="L244" s="9">
        <v>44</v>
      </c>
      <c r="M244" s="9">
        <v>15</v>
      </c>
      <c r="N244" s="9">
        <v>29</v>
      </c>
    </row>
    <row r="245" spans="1:14">
      <c r="A245" t="s">
        <v>567</v>
      </c>
      <c r="B245" s="6">
        <v>45963</v>
      </c>
      <c r="C245" t="s">
        <v>568</v>
      </c>
      <c r="D245" t="s">
        <v>79</v>
      </c>
      <c r="E245" t="s">
        <v>52</v>
      </c>
      <c r="F245" t="s">
        <v>50</v>
      </c>
      <c r="G245" t="s">
        <v>92</v>
      </c>
      <c r="H245" t="s">
        <v>57</v>
      </c>
      <c r="I245">
        <v>1</v>
      </c>
      <c r="J245" s="7">
        <v>22</v>
      </c>
      <c r="K245" s="8">
        <v>0.05</v>
      </c>
      <c r="L245" s="9">
        <v>20.9</v>
      </c>
      <c r="M245" s="9">
        <v>7.5</v>
      </c>
      <c r="N245" s="9">
        <v>13.399999999999999</v>
      </c>
    </row>
    <row r="246" spans="1:14">
      <c r="A246" t="s">
        <v>569</v>
      </c>
      <c r="B246" s="6">
        <v>45956</v>
      </c>
      <c r="C246" t="s">
        <v>570</v>
      </c>
      <c r="D246" t="s">
        <v>79</v>
      </c>
      <c r="E246" t="s">
        <v>52</v>
      </c>
      <c r="F246" t="s">
        <v>53</v>
      </c>
      <c r="G246" t="s">
        <v>92</v>
      </c>
      <c r="H246" t="s">
        <v>57</v>
      </c>
      <c r="I246">
        <v>1</v>
      </c>
      <c r="J246" s="7">
        <v>22</v>
      </c>
      <c r="K246" s="8">
        <v>0.05</v>
      </c>
      <c r="L246" s="9">
        <v>20.9</v>
      </c>
      <c r="M246" s="9">
        <v>7.5</v>
      </c>
      <c r="N246" s="9">
        <v>13.399999999999999</v>
      </c>
    </row>
    <row r="247" spans="1:14">
      <c r="A247" t="s">
        <v>571</v>
      </c>
      <c r="B247" s="6">
        <v>45674</v>
      </c>
      <c r="C247" t="s">
        <v>572</v>
      </c>
      <c r="D247" t="s">
        <v>78</v>
      </c>
      <c r="E247" t="s">
        <v>58</v>
      </c>
      <c r="F247" t="s">
        <v>53</v>
      </c>
      <c r="G247" t="s">
        <v>94</v>
      </c>
      <c r="H247" t="s">
        <v>51</v>
      </c>
      <c r="I247">
        <v>3</v>
      </c>
      <c r="J247" s="7">
        <v>18</v>
      </c>
      <c r="K247" s="8">
        <v>0</v>
      </c>
      <c r="L247" s="9">
        <v>54</v>
      </c>
      <c r="M247" s="9">
        <v>16.5</v>
      </c>
      <c r="N247" s="9">
        <v>37.5</v>
      </c>
    </row>
    <row r="248" spans="1:14">
      <c r="A248" t="s">
        <v>573</v>
      </c>
      <c r="B248" s="6">
        <v>45869</v>
      </c>
      <c r="C248" t="s">
        <v>200</v>
      </c>
      <c r="D248" t="s">
        <v>79</v>
      </c>
      <c r="E248" t="s">
        <v>52</v>
      </c>
      <c r="F248" t="s">
        <v>60</v>
      </c>
      <c r="G248" t="s">
        <v>88</v>
      </c>
      <c r="H248" t="s">
        <v>51</v>
      </c>
      <c r="I248">
        <v>1</v>
      </c>
      <c r="J248" s="7">
        <v>42</v>
      </c>
      <c r="K248" s="8">
        <v>0.1</v>
      </c>
      <c r="L248" s="9">
        <v>37.800000000000004</v>
      </c>
      <c r="M248" s="9">
        <v>19</v>
      </c>
      <c r="N248" s="9">
        <v>18.800000000000004</v>
      </c>
    </row>
    <row r="249" spans="1:14">
      <c r="A249" t="s">
        <v>574</v>
      </c>
      <c r="B249" s="6">
        <v>45764</v>
      </c>
      <c r="C249" t="s">
        <v>572</v>
      </c>
      <c r="D249" t="s">
        <v>78</v>
      </c>
      <c r="E249" t="s">
        <v>52</v>
      </c>
      <c r="F249" t="s">
        <v>59</v>
      </c>
      <c r="G249" t="s">
        <v>93</v>
      </c>
      <c r="H249" t="s">
        <v>54</v>
      </c>
      <c r="I249">
        <v>1</v>
      </c>
      <c r="J249" s="7">
        <v>68</v>
      </c>
      <c r="K249" s="8">
        <v>0.1</v>
      </c>
      <c r="L249" s="9">
        <v>61.2</v>
      </c>
      <c r="M249" s="9">
        <v>31</v>
      </c>
      <c r="N249" s="9">
        <v>30.200000000000003</v>
      </c>
    </row>
    <row r="250" spans="1:14">
      <c r="A250" t="s">
        <v>575</v>
      </c>
      <c r="B250" s="6">
        <v>45930</v>
      </c>
      <c r="C250" t="s">
        <v>170</v>
      </c>
      <c r="D250" t="s">
        <v>79</v>
      </c>
      <c r="E250" t="s">
        <v>58</v>
      </c>
      <c r="F250" t="s">
        <v>53</v>
      </c>
      <c r="G250" t="s">
        <v>90</v>
      </c>
      <c r="H250" t="s">
        <v>54</v>
      </c>
      <c r="I250">
        <v>1</v>
      </c>
      <c r="J250" s="7">
        <v>29</v>
      </c>
      <c r="K250" s="8">
        <v>0.1</v>
      </c>
      <c r="L250" s="9">
        <v>26.1</v>
      </c>
      <c r="M250" s="9">
        <v>11</v>
      </c>
      <c r="N250" s="9">
        <v>15.100000000000001</v>
      </c>
    </row>
    <row r="251" spans="1:14">
      <c r="A251" t="s">
        <v>576</v>
      </c>
      <c r="B251" s="6">
        <v>45784</v>
      </c>
      <c r="C251" t="s">
        <v>208</v>
      </c>
      <c r="D251" t="s">
        <v>79</v>
      </c>
      <c r="E251" t="s">
        <v>55</v>
      </c>
      <c r="F251" t="s">
        <v>53</v>
      </c>
      <c r="G251" t="s">
        <v>89</v>
      </c>
      <c r="H251" t="s">
        <v>51</v>
      </c>
      <c r="I251">
        <v>1</v>
      </c>
      <c r="J251" s="7">
        <v>38</v>
      </c>
      <c r="K251" s="8">
        <v>0</v>
      </c>
      <c r="L251" s="9">
        <v>38</v>
      </c>
      <c r="M251" s="9">
        <v>17</v>
      </c>
      <c r="N251" s="9">
        <v>21</v>
      </c>
    </row>
    <row r="252" spans="1:14">
      <c r="A252" t="s">
        <v>577</v>
      </c>
      <c r="B252" s="6">
        <v>46011</v>
      </c>
      <c r="C252" t="s">
        <v>351</v>
      </c>
      <c r="D252" t="s">
        <v>79</v>
      </c>
      <c r="E252" t="s">
        <v>55</v>
      </c>
      <c r="F252" t="s">
        <v>50</v>
      </c>
      <c r="G252" t="s">
        <v>92</v>
      </c>
      <c r="H252" t="s">
        <v>57</v>
      </c>
      <c r="I252">
        <v>1</v>
      </c>
      <c r="J252" s="7">
        <v>22</v>
      </c>
      <c r="K252" s="8">
        <v>0</v>
      </c>
      <c r="L252" s="9">
        <v>22</v>
      </c>
      <c r="M252" s="9">
        <v>7.5</v>
      </c>
      <c r="N252" s="9">
        <v>14.5</v>
      </c>
    </row>
    <row r="253" spans="1:14">
      <c r="A253" t="s">
        <v>578</v>
      </c>
      <c r="B253" s="6">
        <v>45951</v>
      </c>
      <c r="C253" t="s">
        <v>579</v>
      </c>
      <c r="D253" t="s">
        <v>79</v>
      </c>
      <c r="E253" t="s">
        <v>55</v>
      </c>
      <c r="F253" t="s">
        <v>50</v>
      </c>
      <c r="G253" t="s">
        <v>93</v>
      </c>
      <c r="H253" t="s">
        <v>54</v>
      </c>
      <c r="I253">
        <v>1</v>
      </c>
      <c r="J253" s="7">
        <v>68</v>
      </c>
      <c r="K253" s="8">
        <v>0.2</v>
      </c>
      <c r="L253" s="9">
        <v>54.400000000000006</v>
      </c>
      <c r="M253" s="9">
        <v>31</v>
      </c>
      <c r="N253" s="9">
        <v>23.400000000000006</v>
      </c>
    </row>
    <row r="254" spans="1:14">
      <c r="A254" t="s">
        <v>580</v>
      </c>
      <c r="B254" s="6">
        <v>45805</v>
      </c>
      <c r="C254" t="s">
        <v>581</v>
      </c>
      <c r="D254" t="s">
        <v>78</v>
      </c>
      <c r="E254" t="s">
        <v>52</v>
      </c>
      <c r="F254" t="s">
        <v>53</v>
      </c>
      <c r="G254" t="s">
        <v>86</v>
      </c>
      <c r="H254" t="s">
        <v>48</v>
      </c>
      <c r="I254">
        <v>1</v>
      </c>
      <c r="J254" s="7">
        <v>34.99</v>
      </c>
      <c r="K254" s="8">
        <v>0</v>
      </c>
      <c r="L254" s="9">
        <v>34.99</v>
      </c>
      <c r="M254" s="9">
        <v>16</v>
      </c>
      <c r="N254" s="9">
        <v>18.990000000000002</v>
      </c>
    </row>
    <row r="255" spans="1:14">
      <c r="A255" t="s">
        <v>582</v>
      </c>
      <c r="B255" s="6">
        <v>45933</v>
      </c>
      <c r="C255" t="s">
        <v>550</v>
      </c>
      <c r="D255" t="s">
        <v>78</v>
      </c>
      <c r="E255" t="s">
        <v>52</v>
      </c>
      <c r="F255" t="s">
        <v>53</v>
      </c>
      <c r="G255" t="s">
        <v>89</v>
      </c>
      <c r="H255" t="s">
        <v>51</v>
      </c>
      <c r="I255">
        <v>3</v>
      </c>
      <c r="J255" s="7">
        <v>38</v>
      </c>
      <c r="K255" s="8">
        <v>0.1</v>
      </c>
      <c r="L255" s="9">
        <v>102.60000000000001</v>
      </c>
      <c r="M255" s="9">
        <v>51</v>
      </c>
      <c r="N255" s="9">
        <v>51.600000000000009</v>
      </c>
    </row>
    <row r="256" spans="1:14">
      <c r="A256" t="s">
        <v>583</v>
      </c>
      <c r="B256" s="6">
        <v>45683</v>
      </c>
      <c r="C256" t="s">
        <v>584</v>
      </c>
      <c r="D256" t="s">
        <v>78</v>
      </c>
      <c r="E256" t="s">
        <v>58</v>
      </c>
      <c r="F256" t="s">
        <v>50</v>
      </c>
      <c r="G256" t="s">
        <v>93</v>
      </c>
      <c r="H256" t="s">
        <v>54</v>
      </c>
      <c r="I256">
        <v>1</v>
      </c>
      <c r="J256" s="7">
        <v>68</v>
      </c>
      <c r="K256" s="8">
        <v>0</v>
      </c>
      <c r="L256" s="9">
        <v>68</v>
      </c>
      <c r="M256" s="9">
        <v>31</v>
      </c>
      <c r="N256" s="9">
        <v>37</v>
      </c>
    </row>
    <row r="257" spans="1:14">
      <c r="A257" t="s">
        <v>585</v>
      </c>
      <c r="B257" s="6">
        <v>46006</v>
      </c>
      <c r="C257" t="s">
        <v>394</v>
      </c>
      <c r="D257" t="s">
        <v>79</v>
      </c>
      <c r="E257" t="s">
        <v>58</v>
      </c>
      <c r="F257" t="s">
        <v>59</v>
      </c>
      <c r="G257" t="s">
        <v>87</v>
      </c>
      <c r="H257" t="s">
        <v>48</v>
      </c>
      <c r="I257">
        <v>1</v>
      </c>
      <c r="J257" s="7">
        <v>89.99</v>
      </c>
      <c r="K257" s="8">
        <v>0.05</v>
      </c>
      <c r="L257" s="9">
        <v>85.490499999999997</v>
      </c>
      <c r="M257" s="9">
        <v>46</v>
      </c>
      <c r="N257" s="9">
        <v>39.490499999999997</v>
      </c>
    </row>
    <row r="258" spans="1:14">
      <c r="A258" t="s">
        <v>586</v>
      </c>
      <c r="B258" s="6">
        <v>45991</v>
      </c>
      <c r="C258" t="s">
        <v>587</v>
      </c>
      <c r="D258" t="s">
        <v>78</v>
      </c>
      <c r="E258" t="s">
        <v>49</v>
      </c>
      <c r="F258" t="s">
        <v>60</v>
      </c>
      <c r="G258" t="s">
        <v>88</v>
      </c>
      <c r="H258" t="s">
        <v>51</v>
      </c>
      <c r="I258">
        <v>2</v>
      </c>
      <c r="J258" s="7">
        <v>42</v>
      </c>
      <c r="K258" s="8">
        <v>0</v>
      </c>
      <c r="L258" s="9">
        <v>84</v>
      </c>
      <c r="M258" s="9">
        <v>38</v>
      </c>
      <c r="N258" s="9">
        <v>46</v>
      </c>
    </row>
    <row r="259" spans="1:14">
      <c r="A259" t="s">
        <v>588</v>
      </c>
      <c r="B259" s="6">
        <v>45776</v>
      </c>
      <c r="C259" t="s">
        <v>589</v>
      </c>
      <c r="D259" t="s">
        <v>78</v>
      </c>
      <c r="E259" t="s">
        <v>58</v>
      </c>
      <c r="F259" t="s">
        <v>53</v>
      </c>
      <c r="G259" t="s">
        <v>93</v>
      </c>
      <c r="H259" t="s">
        <v>54</v>
      </c>
      <c r="I259">
        <v>2</v>
      </c>
      <c r="J259" s="7">
        <v>68</v>
      </c>
      <c r="K259" s="8">
        <v>0.15</v>
      </c>
      <c r="L259" s="9">
        <v>115.6</v>
      </c>
      <c r="M259" s="9">
        <v>62</v>
      </c>
      <c r="N259" s="9">
        <v>53.599999999999994</v>
      </c>
    </row>
    <row r="260" spans="1:14">
      <c r="A260" t="s">
        <v>590</v>
      </c>
      <c r="B260" s="6">
        <v>45676</v>
      </c>
      <c r="C260" t="s">
        <v>443</v>
      </c>
      <c r="D260" t="s">
        <v>79</v>
      </c>
      <c r="E260" t="s">
        <v>49</v>
      </c>
      <c r="F260" t="s">
        <v>50</v>
      </c>
      <c r="G260" t="s">
        <v>91</v>
      </c>
      <c r="H260" t="s">
        <v>57</v>
      </c>
      <c r="I260">
        <v>2</v>
      </c>
      <c r="J260" s="7">
        <v>35</v>
      </c>
      <c r="K260" s="8">
        <v>0</v>
      </c>
      <c r="L260" s="9">
        <v>70</v>
      </c>
      <c r="M260" s="9">
        <v>28</v>
      </c>
      <c r="N260" s="9">
        <v>42</v>
      </c>
    </row>
    <row r="261" spans="1:14">
      <c r="A261" t="s">
        <v>591</v>
      </c>
      <c r="B261" s="6">
        <v>45810</v>
      </c>
      <c r="C261" t="s">
        <v>592</v>
      </c>
      <c r="D261" t="s">
        <v>78</v>
      </c>
      <c r="E261" t="s">
        <v>58</v>
      </c>
      <c r="F261" t="s">
        <v>53</v>
      </c>
      <c r="G261" t="s">
        <v>94</v>
      </c>
      <c r="H261" t="s">
        <v>51</v>
      </c>
      <c r="I261">
        <v>2</v>
      </c>
      <c r="J261" s="7">
        <v>18</v>
      </c>
      <c r="K261" s="8">
        <v>0.15</v>
      </c>
      <c r="L261" s="9">
        <v>30.599999999999998</v>
      </c>
      <c r="M261" s="9">
        <v>11</v>
      </c>
      <c r="N261" s="9">
        <v>19.599999999999998</v>
      </c>
    </row>
    <row r="262" spans="1:14">
      <c r="A262" t="s">
        <v>593</v>
      </c>
      <c r="B262" s="6">
        <v>45916</v>
      </c>
      <c r="C262" t="s">
        <v>594</v>
      </c>
      <c r="D262" t="s">
        <v>78</v>
      </c>
      <c r="E262" t="s">
        <v>58</v>
      </c>
      <c r="F262" t="s">
        <v>56</v>
      </c>
      <c r="G262" t="s">
        <v>92</v>
      </c>
      <c r="H262" t="s">
        <v>57</v>
      </c>
      <c r="I262">
        <v>1</v>
      </c>
      <c r="J262" s="7">
        <v>22</v>
      </c>
      <c r="K262" s="8">
        <v>0.1</v>
      </c>
      <c r="L262" s="9">
        <v>19.8</v>
      </c>
      <c r="M262" s="9">
        <v>7.5</v>
      </c>
      <c r="N262" s="9">
        <v>12.3</v>
      </c>
    </row>
    <row r="263" spans="1:14">
      <c r="A263" t="s">
        <v>595</v>
      </c>
      <c r="B263" s="6">
        <v>45753</v>
      </c>
      <c r="C263" t="s">
        <v>596</v>
      </c>
      <c r="D263" t="s">
        <v>78</v>
      </c>
      <c r="E263" t="s">
        <v>52</v>
      </c>
      <c r="F263" t="s">
        <v>53</v>
      </c>
      <c r="G263" t="s">
        <v>85</v>
      </c>
      <c r="H263" t="s">
        <v>48</v>
      </c>
      <c r="I263">
        <v>2</v>
      </c>
      <c r="J263" s="7">
        <v>59.99</v>
      </c>
      <c r="K263" s="8">
        <v>0.1</v>
      </c>
      <c r="L263" s="9">
        <v>107.982</v>
      </c>
      <c r="M263" s="9">
        <v>56</v>
      </c>
      <c r="N263" s="9">
        <v>51.981999999999999</v>
      </c>
    </row>
    <row r="264" spans="1:14">
      <c r="A264" t="s">
        <v>597</v>
      </c>
      <c r="B264" s="6">
        <v>45970</v>
      </c>
      <c r="C264" t="s">
        <v>598</v>
      </c>
      <c r="D264" t="s">
        <v>78</v>
      </c>
      <c r="E264" t="s">
        <v>49</v>
      </c>
      <c r="F264" t="s">
        <v>53</v>
      </c>
      <c r="G264" t="s">
        <v>91</v>
      </c>
      <c r="H264" t="s">
        <v>57</v>
      </c>
      <c r="I264">
        <v>2</v>
      </c>
      <c r="J264" s="7">
        <v>35</v>
      </c>
      <c r="K264" s="8">
        <v>0.05</v>
      </c>
      <c r="L264" s="9">
        <v>66.5</v>
      </c>
      <c r="M264" s="9">
        <v>28</v>
      </c>
      <c r="N264" s="9">
        <v>38.5</v>
      </c>
    </row>
    <row r="265" spans="1:14">
      <c r="A265" t="s">
        <v>599</v>
      </c>
      <c r="B265" s="6">
        <v>45729</v>
      </c>
      <c r="C265" t="s">
        <v>600</v>
      </c>
      <c r="D265" t="s">
        <v>78</v>
      </c>
      <c r="E265" t="s">
        <v>58</v>
      </c>
      <c r="F265" t="s">
        <v>56</v>
      </c>
      <c r="G265" t="s">
        <v>92</v>
      </c>
      <c r="H265" t="s">
        <v>57</v>
      </c>
      <c r="I265">
        <v>1</v>
      </c>
      <c r="J265" s="7">
        <v>22</v>
      </c>
      <c r="K265" s="8">
        <v>0</v>
      </c>
      <c r="L265" s="9">
        <v>22</v>
      </c>
      <c r="M265" s="9">
        <v>7.5</v>
      </c>
      <c r="N265" s="9">
        <v>14.5</v>
      </c>
    </row>
    <row r="266" spans="1:14">
      <c r="A266" t="s">
        <v>601</v>
      </c>
      <c r="B266" s="6">
        <v>45826</v>
      </c>
      <c r="C266" t="s">
        <v>602</v>
      </c>
      <c r="D266" t="s">
        <v>78</v>
      </c>
      <c r="E266" t="s">
        <v>52</v>
      </c>
      <c r="F266" t="s">
        <v>50</v>
      </c>
      <c r="G266" t="s">
        <v>89</v>
      </c>
      <c r="H266" t="s">
        <v>51</v>
      </c>
      <c r="I266">
        <v>1</v>
      </c>
      <c r="J266" s="7">
        <v>38</v>
      </c>
      <c r="K266" s="8">
        <v>0.05</v>
      </c>
      <c r="L266" s="9">
        <v>36.1</v>
      </c>
      <c r="M266" s="9">
        <v>17</v>
      </c>
      <c r="N266" s="9">
        <v>19.100000000000001</v>
      </c>
    </row>
    <row r="267" spans="1:14">
      <c r="A267" t="s">
        <v>603</v>
      </c>
      <c r="B267" s="6">
        <v>45999</v>
      </c>
      <c r="C267" t="s">
        <v>251</v>
      </c>
      <c r="D267" t="s">
        <v>79</v>
      </c>
      <c r="E267" t="s">
        <v>49</v>
      </c>
      <c r="F267" t="s">
        <v>56</v>
      </c>
      <c r="G267" t="s">
        <v>86</v>
      </c>
      <c r="H267" t="s">
        <v>48</v>
      </c>
      <c r="I267">
        <v>1</v>
      </c>
      <c r="J267" s="7">
        <v>34.99</v>
      </c>
      <c r="K267" s="8">
        <v>0</v>
      </c>
      <c r="L267" s="9">
        <v>34.99</v>
      </c>
      <c r="M267" s="9">
        <v>16</v>
      </c>
      <c r="N267" s="9">
        <v>18.990000000000002</v>
      </c>
    </row>
    <row r="268" spans="1:14">
      <c r="A268" t="s">
        <v>604</v>
      </c>
      <c r="B268" s="6">
        <v>45846</v>
      </c>
      <c r="C268" t="s">
        <v>592</v>
      </c>
      <c r="D268" t="s">
        <v>78</v>
      </c>
      <c r="E268" t="s">
        <v>55</v>
      </c>
      <c r="F268" t="s">
        <v>59</v>
      </c>
      <c r="G268" t="s">
        <v>94</v>
      </c>
      <c r="H268" t="s">
        <v>51</v>
      </c>
      <c r="I268">
        <v>1</v>
      </c>
      <c r="J268" s="7">
        <v>18</v>
      </c>
      <c r="K268" s="8">
        <v>0.2</v>
      </c>
      <c r="L268" s="9">
        <v>14.4</v>
      </c>
      <c r="M268" s="9">
        <v>5.5</v>
      </c>
      <c r="N268" s="9">
        <v>8.9</v>
      </c>
    </row>
    <row r="269" spans="1:14">
      <c r="A269" t="s">
        <v>605</v>
      </c>
      <c r="B269" s="6">
        <v>46017</v>
      </c>
      <c r="C269" t="s">
        <v>606</v>
      </c>
      <c r="D269" t="s">
        <v>79</v>
      </c>
      <c r="E269" t="s">
        <v>52</v>
      </c>
      <c r="F269" t="s">
        <v>60</v>
      </c>
      <c r="G269" t="s">
        <v>93</v>
      </c>
      <c r="H269" t="s">
        <v>54</v>
      </c>
      <c r="I269">
        <v>3</v>
      </c>
      <c r="J269" s="7">
        <v>68</v>
      </c>
      <c r="K269" s="8">
        <v>0.1</v>
      </c>
      <c r="L269" s="9">
        <v>183.6</v>
      </c>
      <c r="M269" s="9">
        <v>93</v>
      </c>
      <c r="N269" s="9">
        <v>90.6</v>
      </c>
    </row>
    <row r="270" spans="1:14">
      <c r="A270" t="s">
        <v>607</v>
      </c>
      <c r="B270" s="6">
        <v>45699</v>
      </c>
      <c r="C270" t="s">
        <v>608</v>
      </c>
      <c r="D270" t="s">
        <v>78</v>
      </c>
      <c r="E270" t="s">
        <v>49</v>
      </c>
      <c r="F270" t="s">
        <v>50</v>
      </c>
      <c r="G270" t="s">
        <v>93</v>
      </c>
      <c r="H270" t="s">
        <v>54</v>
      </c>
      <c r="I270">
        <v>1</v>
      </c>
      <c r="J270" s="7">
        <v>68</v>
      </c>
      <c r="K270" s="8">
        <v>0.1</v>
      </c>
      <c r="L270" s="9">
        <v>61.2</v>
      </c>
      <c r="M270" s="9">
        <v>31</v>
      </c>
      <c r="N270" s="9">
        <v>30.200000000000003</v>
      </c>
    </row>
    <row r="271" spans="1:14">
      <c r="A271" t="s">
        <v>609</v>
      </c>
      <c r="B271" s="6">
        <v>45938</v>
      </c>
      <c r="C271" t="s">
        <v>610</v>
      </c>
      <c r="D271" t="s">
        <v>78</v>
      </c>
      <c r="E271" t="s">
        <v>58</v>
      </c>
      <c r="F271" t="s">
        <v>50</v>
      </c>
      <c r="G271" t="s">
        <v>93</v>
      </c>
      <c r="H271" t="s">
        <v>54</v>
      </c>
      <c r="I271">
        <v>1</v>
      </c>
      <c r="J271" s="7">
        <v>68</v>
      </c>
      <c r="K271" s="8">
        <v>0.05</v>
      </c>
      <c r="L271" s="9">
        <v>64.599999999999994</v>
      </c>
      <c r="M271" s="9">
        <v>31</v>
      </c>
      <c r="N271" s="9">
        <v>33.599999999999994</v>
      </c>
    </row>
    <row r="272" spans="1:14">
      <c r="A272" t="s">
        <v>611</v>
      </c>
      <c r="B272" s="6">
        <v>46006</v>
      </c>
      <c r="C272" t="s">
        <v>612</v>
      </c>
      <c r="D272" t="s">
        <v>79</v>
      </c>
      <c r="E272" t="s">
        <v>49</v>
      </c>
      <c r="F272" t="s">
        <v>59</v>
      </c>
      <c r="G272" t="s">
        <v>88</v>
      </c>
      <c r="H272" t="s">
        <v>51</v>
      </c>
      <c r="I272">
        <v>2</v>
      </c>
      <c r="J272" s="7">
        <v>42</v>
      </c>
      <c r="K272" s="8">
        <v>0.05</v>
      </c>
      <c r="L272" s="9">
        <v>79.8</v>
      </c>
      <c r="M272" s="9">
        <v>38</v>
      </c>
      <c r="N272" s="9">
        <v>41.8</v>
      </c>
    </row>
    <row r="273" spans="1:14">
      <c r="A273" t="s">
        <v>613</v>
      </c>
      <c r="B273" s="6">
        <v>45725</v>
      </c>
      <c r="C273" t="s">
        <v>614</v>
      </c>
      <c r="D273" t="s">
        <v>78</v>
      </c>
      <c r="E273" t="s">
        <v>55</v>
      </c>
      <c r="F273" t="s">
        <v>50</v>
      </c>
      <c r="G273" t="s">
        <v>93</v>
      </c>
      <c r="H273" t="s">
        <v>54</v>
      </c>
      <c r="I273">
        <v>1</v>
      </c>
      <c r="J273" s="7">
        <v>68</v>
      </c>
      <c r="K273" s="8">
        <v>0.05</v>
      </c>
      <c r="L273" s="9">
        <v>64.599999999999994</v>
      </c>
      <c r="M273" s="9">
        <v>31</v>
      </c>
      <c r="N273" s="9">
        <v>33.599999999999994</v>
      </c>
    </row>
    <row r="274" spans="1:14">
      <c r="A274" t="s">
        <v>615</v>
      </c>
      <c r="B274" s="6">
        <v>45860</v>
      </c>
      <c r="C274" t="s">
        <v>194</v>
      </c>
      <c r="D274" t="s">
        <v>78</v>
      </c>
      <c r="E274" t="s">
        <v>58</v>
      </c>
      <c r="F274" t="s">
        <v>56</v>
      </c>
      <c r="G274" t="s">
        <v>89</v>
      </c>
      <c r="H274" t="s">
        <v>51</v>
      </c>
      <c r="I274">
        <v>2</v>
      </c>
      <c r="J274" s="7">
        <v>38</v>
      </c>
      <c r="K274" s="8">
        <v>0.1</v>
      </c>
      <c r="L274" s="9">
        <v>68.400000000000006</v>
      </c>
      <c r="M274" s="9">
        <v>34</v>
      </c>
      <c r="N274" s="9">
        <v>34.400000000000006</v>
      </c>
    </row>
    <row r="275" spans="1:14">
      <c r="A275" t="s">
        <v>616</v>
      </c>
      <c r="B275" s="6">
        <v>46016</v>
      </c>
      <c r="C275" t="s">
        <v>600</v>
      </c>
      <c r="D275" t="s">
        <v>79</v>
      </c>
      <c r="E275" t="s">
        <v>49</v>
      </c>
      <c r="F275" t="s">
        <v>56</v>
      </c>
      <c r="G275" t="s">
        <v>86</v>
      </c>
      <c r="H275" t="s">
        <v>48</v>
      </c>
      <c r="I275">
        <v>1</v>
      </c>
      <c r="J275" s="7">
        <v>34.99</v>
      </c>
      <c r="K275" s="8">
        <v>0</v>
      </c>
      <c r="L275" s="9">
        <v>34.99</v>
      </c>
      <c r="M275" s="9">
        <v>16</v>
      </c>
      <c r="N275" s="9">
        <v>18.990000000000002</v>
      </c>
    </row>
    <row r="276" spans="1:14">
      <c r="A276" t="s">
        <v>617</v>
      </c>
      <c r="B276" s="6">
        <v>45867</v>
      </c>
      <c r="C276" t="s">
        <v>269</v>
      </c>
      <c r="D276" t="s">
        <v>79</v>
      </c>
      <c r="E276" t="s">
        <v>55</v>
      </c>
      <c r="F276" t="s">
        <v>59</v>
      </c>
      <c r="G276" t="s">
        <v>87</v>
      </c>
      <c r="H276" t="s">
        <v>48</v>
      </c>
      <c r="I276">
        <v>2</v>
      </c>
      <c r="J276" s="7">
        <v>89.99</v>
      </c>
      <c r="K276" s="8">
        <v>0.1</v>
      </c>
      <c r="L276" s="9">
        <v>161.982</v>
      </c>
      <c r="M276" s="9">
        <v>92</v>
      </c>
      <c r="N276" s="9">
        <v>69.981999999999999</v>
      </c>
    </row>
    <row r="277" spans="1:14">
      <c r="A277" t="s">
        <v>618</v>
      </c>
      <c r="B277" s="6">
        <v>45887</v>
      </c>
      <c r="C277" t="s">
        <v>619</v>
      </c>
      <c r="D277" t="s">
        <v>79</v>
      </c>
      <c r="E277" t="s">
        <v>52</v>
      </c>
      <c r="F277" t="s">
        <v>56</v>
      </c>
      <c r="G277" t="s">
        <v>91</v>
      </c>
      <c r="H277" t="s">
        <v>57</v>
      </c>
      <c r="I277">
        <v>1</v>
      </c>
      <c r="J277" s="7">
        <v>35</v>
      </c>
      <c r="K277" s="8">
        <v>0.1</v>
      </c>
      <c r="L277" s="9">
        <v>31.5</v>
      </c>
      <c r="M277" s="9">
        <v>14</v>
      </c>
      <c r="N277" s="9">
        <v>17.5</v>
      </c>
    </row>
    <row r="278" spans="1:14">
      <c r="A278" t="s">
        <v>620</v>
      </c>
      <c r="B278" s="6">
        <v>45718</v>
      </c>
      <c r="C278" t="s">
        <v>612</v>
      </c>
      <c r="D278" t="s">
        <v>78</v>
      </c>
      <c r="E278" t="s">
        <v>49</v>
      </c>
      <c r="F278" t="s">
        <v>50</v>
      </c>
      <c r="G278" t="s">
        <v>87</v>
      </c>
      <c r="H278" t="s">
        <v>48</v>
      </c>
      <c r="I278">
        <v>4</v>
      </c>
      <c r="J278" s="7">
        <v>89.99</v>
      </c>
      <c r="K278" s="8">
        <v>0</v>
      </c>
      <c r="L278" s="9">
        <v>359.96</v>
      </c>
      <c r="M278" s="9">
        <v>184</v>
      </c>
      <c r="N278" s="9">
        <v>175.95999999999998</v>
      </c>
    </row>
    <row r="279" spans="1:14">
      <c r="A279" t="s">
        <v>621</v>
      </c>
      <c r="B279" s="6">
        <v>45810</v>
      </c>
      <c r="C279" t="s">
        <v>160</v>
      </c>
      <c r="D279" t="s">
        <v>78</v>
      </c>
      <c r="E279" t="s">
        <v>52</v>
      </c>
      <c r="F279" t="s">
        <v>59</v>
      </c>
      <c r="G279" t="s">
        <v>92</v>
      </c>
      <c r="H279" t="s">
        <v>57</v>
      </c>
      <c r="I279">
        <v>2</v>
      </c>
      <c r="J279" s="7">
        <v>22</v>
      </c>
      <c r="K279" s="8">
        <v>0.05</v>
      </c>
      <c r="L279" s="9">
        <v>41.8</v>
      </c>
      <c r="M279" s="9">
        <v>15</v>
      </c>
      <c r="N279" s="9">
        <v>26.799999999999997</v>
      </c>
    </row>
    <row r="280" spans="1:14">
      <c r="A280" t="s">
        <v>622</v>
      </c>
      <c r="B280" s="6">
        <v>45835</v>
      </c>
      <c r="C280" t="s">
        <v>537</v>
      </c>
      <c r="D280" t="s">
        <v>79</v>
      </c>
      <c r="E280" t="s">
        <v>49</v>
      </c>
      <c r="F280" t="s">
        <v>59</v>
      </c>
      <c r="G280" t="s">
        <v>87</v>
      </c>
      <c r="H280" t="s">
        <v>48</v>
      </c>
      <c r="I280">
        <v>1</v>
      </c>
      <c r="J280" s="7">
        <v>89.99</v>
      </c>
      <c r="K280" s="8">
        <v>0.15</v>
      </c>
      <c r="L280" s="9">
        <v>76.491499999999988</v>
      </c>
      <c r="M280" s="9">
        <v>46</v>
      </c>
      <c r="N280" s="9">
        <v>30.491499999999988</v>
      </c>
    </row>
    <row r="281" spans="1:14">
      <c r="A281" t="s">
        <v>623</v>
      </c>
      <c r="B281" s="6">
        <v>45972</v>
      </c>
      <c r="C281" t="s">
        <v>612</v>
      </c>
      <c r="D281" t="s">
        <v>79</v>
      </c>
      <c r="E281" t="s">
        <v>49</v>
      </c>
      <c r="F281" t="s">
        <v>53</v>
      </c>
      <c r="G281" t="s">
        <v>85</v>
      </c>
      <c r="H281" t="s">
        <v>48</v>
      </c>
      <c r="I281">
        <v>1</v>
      </c>
      <c r="J281" s="7">
        <v>59.99</v>
      </c>
      <c r="K281" s="8">
        <v>0</v>
      </c>
      <c r="L281" s="9">
        <v>59.99</v>
      </c>
      <c r="M281" s="9">
        <v>28</v>
      </c>
      <c r="N281" s="9">
        <v>31.990000000000002</v>
      </c>
    </row>
    <row r="282" spans="1:14">
      <c r="A282" t="s">
        <v>624</v>
      </c>
      <c r="B282" s="6">
        <v>45680</v>
      </c>
      <c r="C282" t="s">
        <v>233</v>
      </c>
      <c r="D282" t="s">
        <v>79</v>
      </c>
      <c r="E282" t="s">
        <v>52</v>
      </c>
      <c r="F282" t="s">
        <v>60</v>
      </c>
      <c r="G282" t="s">
        <v>91</v>
      </c>
      <c r="H282" t="s">
        <v>57</v>
      </c>
      <c r="I282">
        <v>1</v>
      </c>
      <c r="J282" s="7">
        <v>35</v>
      </c>
      <c r="K282" s="8">
        <v>0.05</v>
      </c>
      <c r="L282" s="9">
        <v>33.25</v>
      </c>
      <c r="M282" s="9">
        <v>14</v>
      </c>
      <c r="N282" s="9">
        <v>19.25</v>
      </c>
    </row>
    <row r="283" spans="1:14">
      <c r="A283" t="s">
        <v>625</v>
      </c>
      <c r="B283" s="6">
        <v>45806</v>
      </c>
      <c r="C283" t="s">
        <v>626</v>
      </c>
      <c r="D283" t="s">
        <v>78</v>
      </c>
      <c r="E283" t="s">
        <v>55</v>
      </c>
      <c r="F283" t="s">
        <v>53</v>
      </c>
      <c r="G283" t="s">
        <v>88</v>
      </c>
      <c r="H283" t="s">
        <v>51</v>
      </c>
      <c r="I283">
        <v>2</v>
      </c>
      <c r="J283" s="7">
        <v>42</v>
      </c>
      <c r="K283" s="8">
        <v>0.1</v>
      </c>
      <c r="L283" s="9">
        <v>75.600000000000009</v>
      </c>
      <c r="M283" s="9">
        <v>38</v>
      </c>
      <c r="N283" s="9">
        <v>37.600000000000009</v>
      </c>
    </row>
    <row r="284" spans="1:14">
      <c r="A284" t="s">
        <v>627</v>
      </c>
      <c r="B284" s="6">
        <v>45812</v>
      </c>
      <c r="C284" t="s">
        <v>458</v>
      </c>
      <c r="D284" t="s">
        <v>78</v>
      </c>
      <c r="E284" t="s">
        <v>49</v>
      </c>
      <c r="F284" t="s">
        <v>60</v>
      </c>
      <c r="G284" t="s">
        <v>87</v>
      </c>
      <c r="H284" t="s">
        <v>48</v>
      </c>
      <c r="I284">
        <v>4</v>
      </c>
      <c r="J284" s="7">
        <v>89.99</v>
      </c>
      <c r="K284" s="8">
        <v>0.05</v>
      </c>
      <c r="L284" s="9">
        <v>341.96199999999999</v>
      </c>
      <c r="M284" s="9">
        <v>184</v>
      </c>
      <c r="N284" s="9">
        <v>157.96199999999999</v>
      </c>
    </row>
    <row r="285" spans="1:14">
      <c r="A285" t="s">
        <v>628</v>
      </c>
      <c r="B285" s="6">
        <v>45960</v>
      </c>
      <c r="C285" t="s">
        <v>439</v>
      </c>
      <c r="D285" t="s">
        <v>78</v>
      </c>
      <c r="E285" t="s">
        <v>58</v>
      </c>
      <c r="F285" t="s">
        <v>60</v>
      </c>
      <c r="G285" t="s">
        <v>87</v>
      </c>
      <c r="H285" t="s">
        <v>48</v>
      </c>
      <c r="I285">
        <v>2</v>
      </c>
      <c r="J285" s="7">
        <v>89.99</v>
      </c>
      <c r="K285" s="8">
        <v>0</v>
      </c>
      <c r="L285" s="9">
        <v>179.98</v>
      </c>
      <c r="M285" s="9">
        <v>92</v>
      </c>
      <c r="N285" s="9">
        <v>87.97999999999999</v>
      </c>
    </row>
    <row r="286" spans="1:14">
      <c r="A286" t="s">
        <v>629</v>
      </c>
      <c r="B286" s="6">
        <v>45821</v>
      </c>
      <c r="C286" t="s">
        <v>396</v>
      </c>
      <c r="D286" t="s">
        <v>78</v>
      </c>
      <c r="E286" t="s">
        <v>58</v>
      </c>
      <c r="F286" t="s">
        <v>53</v>
      </c>
      <c r="G286" t="s">
        <v>91</v>
      </c>
      <c r="H286" t="s">
        <v>57</v>
      </c>
      <c r="I286">
        <v>1</v>
      </c>
      <c r="J286" s="7">
        <v>35</v>
      </c>
      <c r="K286" s="8">
        <v>0</v>
      </c>
      <c r="L286" s="9">
        <v>35</v>
      </c>
      <c r="M286" s="9">
        <v>14</v>
      </c>
      <c r="N286" s="9">
        <v>21</v>
      </c>
    </row>
    <row r="287" spans="1:14">
      <c r="A287" t="s">
        <v>630</v>
      </c>
      <c r="B287" s="6">
        <v>45773</v>
      </c>
      <c r="C287" t="s">
        <v>202</v>
      </c>
      <c r="D287" t="s">
        <v>78</v>
      </c>
      <c r="E287" t="s">
        <v>58</v>
      </c>
      <c r="F287" t="s">
        <v>59</v>
      </c>
      <c r="G287" t="s">
        <v>89</v>
      </c>
      <c r="H287" t="s">
        <v>51</v>
      </c>
      <c r="I287">
        <v>3</v>
      </c>
      <c r="J287" s="7">
        <v>38</v>
      </c>
      <c r="K287" s="8">
        <v>0</v>
      </c>
      <c r="L287" s="9">
        <v>114</v>
      </c>
      <c r="M287" s="9">
        <v>51</v>
      </c>
      <c r="N287" s="9">
        <v>63</v>
      </c>
    </row>
    <row r="288" spans="1:14">
      <c r="A288" t="s">
        <v>631</v>
      </c>
      <c r="B288" s="6">
        <v>45943</v>
      </c>
      <c r="C288" t="s">
        <v>632</v>
      </c>
      <c r="D288" t="s">
        <v>78</v>
      </c>
      <c r="E288" t="s">
        <v>49</v>
      </c>
      <c r="F288" t="s">
        <v>59</v>
      </c>
      <c r="G288" t="s">
        <v>93</v>
      </c>
      <c r="H288" t="s">
        <v>54</v>
      </c>
      <c r="I288">
        <v>1</v>
      </c>
      <c r="J288" s="7">
        <v>68</v>
      </c>
      <c r="K288" s="8">
        <v>0</v>
      </c>
      <c r="L288" s="9">
        <v>68</v>
      </c>
      <c r="M288" s="9">
        <v>31</v>
      </c>
      <c r="N288" s="9">
        <v>37</v>
      </c>
    </row>
    <row r="289" spans="1:14">
      <c r="A289" t="s">
        <v>633</v>
      </c>
      <c r="B289" s="6">
        <v>45847</v>
      </c>
      <c r="C289" t="s">
        <v>634</v>
      </c>
      <c r="D289" t="s">
        <v>78</v>
      </c>
      <c r="E289" t="s">
        <v>49</v>
      </c>
      <c r="F289" t="s">
        <v>50</v>
      </c>
      <c r="G289" t="s">
        <v>86</v>
      </c>
      <c r="H289" t="s">
        <v>48</v>
      </c>
      <c r="I289">
        <v>1</v>
      </c>
      <c r="J289" s="7">
        <v>34.99</v>
      </c>
      <c r="K289" s="8">
        <v>0.1</v>
      </c>
      <c r="L289" s="9">
        <v>31.491000000000003</v>
      </c>
      <c r="M289" s="9">
        <v>16</v>
      </c>
      <c r="N289" s="9">
        <v>15.491000000000003</v>
      </c>
    </row>
    <row r="290" spans="1:14">
      <c r="A290" t="s">
        <v>635</v>
      </c>
      <c r="B290" s="6">
        <v>45754</v>
      </c>
      <c r="C290" t="s">
        <v>218</v>
      </c>
      <c r="D290" t="s">
        <v>78</v>
      </c>
      <c r="E290" t="s">
        <v>55</v>
      </c>
      <c r="F290" t="s">
        <v>50</v>
      </c>
      <c r="G290" t="s">
        <v>94</v>
      </c>
      <c r="H290" t="s">
        <v>51</v>
      </c>
      <c r="I290">
        <v>2</v>
      </c>
      <c r="J290" s="7">
        <v>18</v>
      </c>
      <c r="K290" s="8">
        <v>0.05</v>
      </c>
      <c r="L290" s="9">
        <v>34.199999999999996</v>
      </c>
      <c r="M290" s="9">
        <v>11</v>
      </c>
      <c r="N290" s="9">
        <v>23.199999999999996</v>
      </c>
    </row>
    <row r="291" spans="1:14">
      <c r="A291" t="s">
        <v>636</v>
      </c>
      <c r="B291" s="6">
        <v>45766</v>
      </c>
      <c r="C291" t="s">
        <v>637</v>
      </c>
      <c r="D291" t="s">
        <v>79</v>
      </c>
      <c r="E291" t="s">
        <v>52</v>
      </c>
      <c r="F291" t="s">
        <v>60</v>
      </c>
      <c r="G291" t="s">
        <v>88</v>
      </c>
      <c r="H291" t="s">
        <v>51</v>
      </c>
      <c r="I291">
        <v>4</v>
      </c>
      <c r="J291" s="7">
        <v>42</v>
      </c>
      <c r="K291" s="8">
        <v>0</v>
      </c>
      <c r="L291" s="9">
        <v>168</v>
      </c>
      <c r="M291" s="9">
        <v>76</v>
      </c>
      <c r="N291" s="9">
        <v>92</v>
      </c>
    </row>
    <row r="292" spans="1:14">
      <c r="A292" t="s">
        <v>638</v>
      </c>
      <c r="B292" s="6">
        <v>46018</v>
      </c>
      <c r="C292" t="s">
        <v>325</v>
      </c>
      <c r="D292" t="s">
        <v>78</v>
      </c>
      <c r="E292" t="s">
        <v>58</v>
      </c>
      <c r="F292" t="s">
        <v>59</v>
      </c>
      <c r="G292" t="s">
        <v>88</v>
      </c>
      <c r="H292" t="s">
        <v>51</v>
      </c>
      <c r="I292">
        <v>1</v>
      </c>
      <c r="J292" s="7">
        <v>42</v>
      </c>
      <c r="K292" s="8">
        <v>0</v>
      </c>
      <c r="L292" s="9">
        <v>42</v>
      </c>
      <c r="M292" s="9">
        <v>19</v>
      </c>
      <c r="N292" s="9">
        <v>23</v>
      </c>
    </row>
    <row r="293" spans="1:14">
      <c r="A293" t="s">
        <v>639</v>
      </c>
      <c r="B293" s="6">
        <v>45931</v>
      </c>
      <c r="C293" t="s">
        <v>166</v>
      </c>
      <c r="D293" t="s">
        <v>79</v>
      </c>
      <c r="E293" t="s">
        <v>49</v>
      </c>
      <c r="F293" t="s">
        <v>59</v>
      </c>
      <c r="G293" t="s">
        <v>90</v>
      </c>
      <c r="H293" t="s">
        <v>54</v>
      </c>
      <c r="I293">
        <v>1</v>
      </c>
      <c r="J293" s="7">
        <v>29</v>
      </c>
      <c r="K293" s="8">
        <v>0</v>
      </c>
      <c r="L293" s="9">
        <v>29</v>
      </c>
      <c r="M293" s="9">
        <v>11</v>
      </c>
      <c r="N293" s="9">
        <v>18</v>
      </c>
    </row>
    <row r="294" spans="1:14">
      <c r="A294" t="s">
        <v>640</v>
      </c>
      <c r="B294" s="6">
        <v>45821</v>
      </c>
      <c r="C294" t="s">
        <v>641</v>
      </c>
      <c r="D294" t="s">
        <v>78</v>
      </c>
      <c r="E294" t="s">
        <v>52</v>
      </c>
      <c r="F294" t="s">
        <v>50</v>
      </c>
      <c r="G294" t="s">
        <v>88</v>
      </c>
      <c r="H294" t="s">
        <v>51</v>
      </c>
      <c r="I294">
        <v>1</v>
      </c>
      <c r="J294" s="7">
        <v>42</v>
      </c>
      <c r="K294" s="8">
        <v>0</v>
      </c>
      <c r="L294" s="9">
        <v>42</v>
      </c>
      <c r="M294" s="9">
        <v>19</v>
      </c>
      <c r="N294" s="9">
        <v>23</v>
      </c>
    </row>
    <row r="295" spans="1:14">
      <c r="A295" t="s">
        <v>642</v>
      </c>
      <c r="B295" s="6">
        <v>45791</v>
      </c>
      <c r="C295" t="s">
        <v>643</v>
      </c>
      <c r="D295" t="s">
        <v>78</v>
      </c>
      <c r="E295" t="s">
        <v>52</v>
      </c>
      <c r="F295" t="s">
        <v>56</v>
      </c>
      <c r="G295" t="s">
        <v>93</v>
      </c>
      <c r="H295" t="s">
        <v>54</v>
      </c>
      <c r="I295">
        <v>3</v>
      </c>
      <c r="J295" s="7">
        <v>68</v>
      </c>
      <c r="K295" s="8">
        <v>0.05</v>
      </c>
      <c r="L295" s="9">
        <v>193.79999999999998</v>
      </c>
      <c r="M295" s="9">
        <v>93</v>
      </c>
      <c r="N295" s="9">
        <v>100.79999999999998</v>
      </c>
    </row>
    <row r="296" spans="1:14">
      <c r="A296" t="s">
        <v>644</v>
      </c>
      <c r="B296" s="6">
        <v>45775</v>
      </c>
      <c r="C296" t="s">
        <v>645</v>
      </c>
      <c r="D296" t="s">
        <v>78</v>
      </c>
      <c r="E296" t="s">
        <v>55</v>
      </c>
      <c r="F296" t="s">
        <v>56</v>
      </c>
      <c r="G296" t="s">
        <v>91</v>
      </c>
      <c r="H296" t="s">
        <v>57</v>
      </c>
      <c r="I296">
        <v>1</v>
      </c>
      <c r="J296" s="7">
        <v>35</v>
      </c>
      <c r="K296" s="8">
        <v>0</v>
      </c>
      <c r="L296" s="9">
        <v>35</v>
      </c>
      <c r="M296" s="9">
        <v>14</v>
      </c>
      <c r="N296" s="9">
        <v>21</v>
      </c>
    </row>
    <row r="297" spans="1:14">
      <c r="A297" t="s">
        <v>646</v>
      </c>
      <c r="B297" s="6">
        <v>45908</v>
      </c>
      <c r="C297" t="s">
        <v>399</v>
      </c>
      <c r="D297" t="s">
        <v>78</v>
      </c>
      <c r="E297" t="s">
        <v>58</v>
      </c>
      <c r="F297" t="s">
        <v>53</v>
      </c>
      <c r="G297" t="s">
        <v>92</v>
      </c>
      <c r="H297" t="s">
        <v>57</v>
      </c>
      <c r="I297">
        <v>1</v>
      </c>
      <c r="J297" s="7">
        <v>22</v>
      </c>
      <c r="K297" s="8">
        <v>0.1</v>
      </c>
      <c r="L297" s="9">
        <v>19.8</v>
      </c>
      <c r="M297" s="9">
        <v>7.5</v>
      </c>
      <c r="N297" s="9">
        <v>12.3</v>
      </c>
    </row>
    <row r="298" spans="1:14">
      <c r="A298" t="s">
        <v>647</v>
      </c>
      <c r="B298" s="6">
        <v>45935</v>
      </c>
      <c r="C298" t="s">
        <v>598</v>
      </c>
      <c r="D298" t="s">
        <v>78</v>
      </c>
      <c r="E298" t="s">
        <v>49</v>
      </c>
      <c r="F298" t="s">
        <v>50</v>
      </c>
      <c r="G298" t="s">
        <v>85</v>
      </c>
      <c r="H298" t="s">
        <v>48</v>
      </c>
      <c r="I298">
        <v>1</v>
      </c>
      <c r="J298" s="7">
        <v>59.99</v>
      </c>
      <c r="K298" s="8">
        <v>0.1</v>
      </c>
      <c r="L298" s="9">
        <v>53.991</v>
      </c>
      <c r="M298" s="9">
        <v>28</v>
      </c>
      <c r="N298" s="9">
        <v>25.991</v>
      </c>
    </row>
    <row r="299" spans="1:14">
      <c r="A299" t="s">
        <v>648</v>
      </c>
      <c r="B299" s="6">
        <v>45869</v>
      </c>
      <c r="C299" t="s">
        <v>649</v>
      </c>
      <c r="D299" t="s">
        <v>79</v>
      </c>
      <c r="E299" t="s">
        <v>52</v>
      </c>
      <c r="F299" t="s">
        <v>60</v>
      </c>
      <c r="G299" t="s">
        <v>87</v>
      </c>
      <c r="H299" t="s">
        <v>48</v>
      </c>
      <c r="I299">
        <v>2</v>
      </c>
      <c r="J299" s="7">
        <v>89.99</v>
      </c>
      <c r="K299" s="8">
        <v>0</v>
      </c>
      <c r="L299" s="9">
        <v>179.98</v>
      </c>
      <c r="M299" s="9">
        <v>92</v>
      </c>
      <c r="N299" s="9">
        <v>87.97999999999999</v>
      </c>
    </row>
    <row r="300" spans="1:14">
      <c r="A300" t="s">
        <v>650</v>
      </c>
      <c r="B300" s="6">
        <v>45891</v>
      </c>
      <c r="C300" t="s">
        <v>496</v>
      </c>
      <c r="D300" t="s">
        <v>79</v>
      </c>
      <c r="E300" t="s">
        <v>58</v>
      </c>
      <c r="F300" t="s">
        <v>50</v>
      </c>
      <c r="G300" t="s">
        <v>90</v>
      </c>
      <c r="H300" t="s">
        <v>54</v>
      </c>
      <c r="I300">
        <v>1</v>
      </c>
      <c r="J300" s="7">
        <v>29</v>
      </c>
      <c r="K300" s="8">
        <v>0.05</v>
      </c>
      <c r="L300" s="9">
        <v>27.549999999999997</v>
      </c>
      <c r="M300" s="9">
        <v>11</v>
      </c>
      <c r="N300" s="9">
        <v>16.549999999999997</v>
      </c>
    </row>
    <row r="301" spans="1:14">
      <c r="A301" t="s">
        <v>651</v>
      </c>
      <c r="B301" s="6">
        <v>45661</v>
      </c>
      <c r="C301" t="s">
        <v>458</v>
      </c>
      <c r="D301" t="s">
        <v>78</v>
      </c>
      <c r="E301" t="s">
        <v>55</v>
      </c>
      <c r="F301" t="s">
        <v>50</v>
      </c>
      <c r="G301" t="s">
        <v>93</v>
      </c>
      <c r="H301" t="s">
        <v>54</v>
      </c>
      <c r="I301">
        <v>1</v>
      </c>
      <c r="J301" s="7">
        <v>68</v>
      </c>
      <c r="K301" s="8">
        <v>0</v>
      </c>
      <c r="L301" s="9">
        <v>68</v>
      </c>
      <c r="M301" s="9">
        <v>31</v>
      </c>
      <c r="N301" s="9">
        <v>37</v>
      </c>
    </row>
    <row r="302" spans="1:14">
      <c r="A302" t="s">
        <v>652</v>
      </c>
      <c r="B302" s="6">
        <v>45915</v>
      </c>
      <c r="C302" t="s">
        <v>481</v>
      </c>
      <c r="D302" t="s">
        <v>78</v>
      </c>
      <c r="E302" t="s">
        <v>52</v>
      </c>
      <c r="F302" t="s">
        <v>53</v>
      </c>
      <c r="G302" t="s">
        <v>91</v>
      </c>
      <c r="H302" t="s">
        <v>57</v>
      </c>
      <c r="I302">
        <v>2</v>
      </c>
      <c r="J302" s="7">
        <v>35</v>
      </c>
      <c r="K302" s="8">
        <v>0.15</v>
      </c>
      <c r="L302" s="9">
        <v>59.5</v>
      </c>
      <c r="M302" s="9">
        <v>28</v>
      </c>
      <c r="N302" s="9">
        <v>31.5</v>
      </c>
    </row>
    <row r="303" spans="1:14">
      <c r="A303" t="s">
        <v>653</v>
      </c>
      <c r="B303" s="6">
        <v>45756</v>
      </c>
      <c r="C303" t="s">
        <v>654</v>
      </c>
      <c r="D303" t="s">
        <v>78</v>
      </c>
      <c r="E303" t="s">
        <v>49</v>
      </c>
      <c r="F303" t="s">
        <v>56</v>
      </c>
      <c r="G303" t="s">
        <v>94</v>
      </c>
      <c r="H303" t="s">
        <v>51</v>
      </c>
      <c r="I303">
        <v>1</v>
      </c>
      <c r="J303" s="7">
        <v>18</v>
      </c>
      <c r="K303" s="8">
        <v>0.1</v>
      </c>
      <c r="L303" s="9">
        <v>16.2</v>
      </c>
      <c r="M303" s="9">
        <v>5.5</v>
      </c>
      <c r="N303" s="9">
        <v>10.7</v>
      </c>
    </row>
    <row r="304" spans="1:14">
      <c r="A304" t="s">
        <v>655</v>
      </c>
      <c r="B304" s="6">
        <v>45865</v>
      </c>
      <c r="C304" t="s">
        <v>645</v>
      </c>
      <c r="D304" t="s">
        <v>78</v>
      </c>
      <c r="E304" t="s">
        <v>49</v>
      </c>
      <c r="F304" t="s">
        <v>50</v>
      </c>
      <c r="G304" t="s">
        <v>92</v>
      </c>
      <c r="H304" t="s">
        <v>57</v>
      </c>
      <c r="I304">
        <v>1</v>
      </c>
      <c r="J304" s="7">
        <v>22</v>
      </c>
      <c r="K304" s="8">
        <v>0.2</v>
      </c>
      <c r="L304" s="9">
        <v>17.600000000000001</v>
      </c>
      <c r="M304" s="9">
        <v>7.5</v>
      </c>
      <c r="N304" s="9">
        <v>10.100000000000001</v>
      </c>
    </row>
    <row r="305" spans="1:14">
      <c r="A305" t="s">
        <v>656</v>
      </c>
      <c r="B305" s="6">
        <v>45705</v>
      </c>
      <c r="C305" t="s">
        <v>380</v>
      </c>
      <c r="D305" t="s">
        <v>78</v>
      </c>
      <c r="E305" t="s">
        <v>52</v>
      </c>
      <c r="F305" t="s">
        <v>50</v>
      </c>
      <c r="G305" t="s">
        <v>91</v>
      </c>
      <c r="H305" t="s">
        <v>57</v>
      </c>
      <c r="I305">
        <v>1</v>
      </c>
      <c r="J305" s="7">
        <v>35</v>
      </c>
      <c r="K305" s="8">
        <v>0.05</v>
      </c>
      <c r="L305" s="9">
        <v>33.25</v>
      </c>
      <c r="M305" s="9">
        <v>14</v>
      </c>
      <c r="N305" s="9">
        <v>19.25</v>
      </c>
    </row>
    <row r="306" spans="1:14">
      <c r="A306" t="s">
        <v>657</v>
      </c>
      <c r="B306" s="6">
        <v>45913</v>
      </c>
      <c r="C306" t="s">
        <v>658</v>
      </c>
      <c r="D306" t="s">
        <v>79</v>
      </c>
      <c r="E306" t="s">
        <v>49</v>
      </c>
      <c r="F306" t="s">
        <v>53</v>
      </c>
      <c r="G306" t="s">
        <v>91</v>
      </c>
      <c r="H306" t="s">
        <v>57</v>
      </c>
      <c r="I306">
        <v>2</v>
      </c>
      <c r="J306" s="7">
        <v>35</v>
      </c>
      <c r="K306" s="8">
        <v>0</v>
      </c>
      <c r="L306" s="9">
        <v>70</v>
      </c>
      <c r="M306" s="9">
        <v>28</v>
      </c>
      <c r="N306" s="9">
        <v>42</v>
      </c>
    </row>
    <row r="307" spans="1:14">
      <c r="A307" t="s">
        <v>659</v>
      </c>
      <c r="B307" s="6">
        <v>45766</v>
      </c>
      <c r="C307" t="s">
        <v>258</v>
      </c>
      <c r="D307" t="s">
        <v>78</v>
      </c>
      <c r="E307" t="s">
        <v>49</v>
      </c>
      <c r="F307" t="s">
        <v>53</v>
      </c>
      <c r="G307" t="s">
        <v>94</v>
      </c>
      <c r="H307" t="s">
        <v>51</v>
      </c>
      <c r="I307">
        <v>1</v>
      </c>
      <c r="J307" s="7">
        <v>18</v>
      </c>
      <c r="K307" s="8">
        <v>0</v>
      </c>
      <c r="L307" s="9">
        <v>18</v>
      </c>
      <c r="M307" s="9">
        <v>5.5</v>
      </c>
      <c r="N307" s="9">
        <v>12.5</v>
      </c>
    </row>
    <row r="308" spans="1:14">
      <c r="A308" t="s">
        <v>660</v>
      </c>
      <c r="B308" s="6">
        <v>45819</v>
      </c>
      <c r="C308" t="s">
        <v>661</v>
      </c>
      <c r="D308" t="s">
        <v>79</v>
      </c>
      <c r="E308" t="s">
        <v>49</v>
      </c>
      <c r="F308" t="s">
        <v>56</v>
      </c>
      <c r="G308" t="s">
        <v>85</v>
      </c>
      <c r="H308" t="s">
        <v>48</v>
      </c>
      <c r="I308">
        <v>4</v>
      </c>
      <c r="J308" s="7">
        <v>59.99</v>
      </c>
      <c r="K308" s="8">
        <v>0.05</v>
      </c>
      <c r="L308" s="9">
        <v>227.96199999999999</v>
      </c>
      <c r="M308" s="9">
        <v>112</v>
      </c>
      <c r="N308" s="9">
        <v>115.96199999999999</v>
      </c>
    </row>
    <row r="309" spans="1:14">
      <c r="A309" t="s">
        <v>662</v>
      </c>
      <c r="B309" s="6">
        <v>45741</v>
      </c>
      <c r="C309" t="s">
        <v>263</v>
      </c>
      <c r="D309" t="s">
        <v>78</v>
      </c>
      <c r="E309" t="s">
        <v>55</v>
      </c>
      <c r="F309" t="s">
        <v>59</v>
      </c>
      <c r="G309" t="s">
        <v>94</v>
      </c>
      <c r="H309" t="s">
        <v>51</v>
      </c>
      <c r="I309">
        <v>1</v>
      </c>
      <c r="J309" s="7">
        <v>18</v>
      </c>
      <c r="K309" s="8">
        <v>0.1</v>
      </c>
      <c r="L309" s="9">
        <v>16.2</v>
      </c>
      <c r="M309" s="9">
        <v>5.5</v>
      </c>
      <c r="N309" s="9">
        <v>10.7</v>
      </c>
    </row>
    <row r="310" spans="1:14">
      <c r="A310" t="s">
        <v>663</v>
      </c>
      <c r="B310" s="6">
        <v>45729</v>
      </c>
      <c r="C310" t="s">
        <v>664</v>
      </c>
      <c r="D310" t="s">
        <v>78</v>
      </c>
      <c r="E310" t="s">
        <v>52</v>
      </c>
      <c r="F310" t="s">
        <v>50</v>
      </c>
      <c r="G310" t="s">
        <v>86</v>
      </c>
      <c r="H310" t="s">
        <v>48</v>
      </c>
      <c r="I310">
        <v>1</v>
      </c>
      <c r="J310" s="7">
        <v>34.99</v>
      </c>
      <c r="K310" s="8">
        <v>0.2</v>
      </c>
      <c r="L310" s="9">
        <v>27.992000000000004</v>
      </c>
      <c r="M310" s="9">
        <v>16</v>
      </c>
      <c r="N310" s="9">
        <v>11.992000000000004</v>
      </c>
    </row>
    <row r="311" spans="1:14">
      <c r="A311" t="s">
        <v>665</v>
      </c>
      <c r="B311" s="6">
        <v>45832</v>
      </c>
      <c r="C311" t="s">
        <v>406</v>
      </c>
      <c r="D311" t="s">
        <v>78</v>
      </c>
      <c r="E311" t="s">
        <v>55</v>
      </c>
      <c r="F311" t="s">
        <v>50</v>
      </c>
      <c r="G311" t="s">
        <v>94</v>
      </c>
      <c r="H311" t="s">
        <v>51</v>
      </c>
      <c r="I311">
        <v>2</v>
      </c>
      <c r="J311" s="7">
        <v>18</v>
      </c>
      <c r="K311" s="8">
        <v>0.2</v>
      </c>
      <c r="L311" s="9">
        <v>28.8</v>
      </c>
      <c r="M311" s="9">
        <v>11</v>
      </c>
      <c r="N311" s="9">
        <v>17.8</v>
      </c>
    </row>
    <row r="312" spans="1:14">
      <c r="A312" t="s">
        <v>666</v>
      </c>
      <c r="B312" s="6">
        <v>45982</v>
      </c>
      <c r="C312" t="s">
        <v>182</v>
      </c>
      <c r="D312" t="s">
        <v>78</v>
      </c>
      <c r="E312" t="s">
        <v>58</v>
      </c>
      <c r="F312" t="s">
        <v>59</v>
      </c>
      <c r="G312" t="s">
        <v>89</v>
      </c>
      <c r="H312" t="s">
        <v>51</v>
      </c>
      <c r="I312">
        <v>2</v>
      </c>
      <c r="J312" s="7">
        <v>38</v>
      </c>
      <c r="K312" s="8">
        <v>0</v>
      </c>
      <c r="L312" s="9">
        <v>76</v>
      </c>
      <c r="M312" s="9">
        <v>34</v>
      </c>
      <c r="N312" s="9">
        <v>42</v>
      </c>
    </row>
    <row r="313" spans="1:14">
      <c r="A313" t="s">
        <v>667</v>
      </c>
      <c r="B313" s="6">
        <v>45753</v>
      </c>
      <c r="C313" t="s">
        <v>330</v>
      </c>
      <c r="D313" t="s">
        <v>79</v>
      </c>
      <c r="E313" t="s">
        <v>49</v>
      </c>
      <c r="F313" t="s">
        <v>50</v>
      </c>
      <c r="G313" t="s">
        <v>94</v>
      </c>
      <c r="H313" t="s">
        <v>51</v>
      </c>
      <c r="I313">
        <v>2</v>
      </c>
      <c r="J313" s="7">
        <v>18</v>
      </c>
      <c r="K313" s="8">
        <v>0</v>
      </c>
      <c r="L313" s="9">
        <v>36</v>
      </c>
      <c r="M313" s="9">
        <v>11</v>
      </c>
      <c r="N313" s="9">
        <v>25</v>
      </c>
    </row>
    <row r="314" spans="1:14">
      <c r="A314" t="s">
        <v>668</v>
      </c>
      <c r="B314" s="6">
        <v>45795</v>
      </c>
      <c r="C314" t="s">
        <v>669</v>
      </c>
      <c r="D314" t="s">
        <v>78</v>
      </c>
      <c r="E314" t="s">
        <v>55</v>
      </c>
      <c r="F314" t="s">
        <v>56</v>
      </c>
      <c r="G314" t="s">
        <v>87</v>
      </c>
      <c r="H314" t="s">
        <v>48</v>
      </c>
      <c r="I314">
        <v>1</v>
      </c>
      <c r="J314" s="7">
        <v>89.99</v>
      </c>
      <c r="K314" s="8">
        <v>0.1</v>
      </c>
      <c r="L314" s="9">
        <v>80.991</v>
      </c>
      <c r="M314" s="9">
        <v>46</v>
      </c>
      <c r="N314" s="9">
        <v>34.991</v>
      </c>
    </row>
    <row r="315" spans="1:14">
      <c r="A315" t="s">
        <v>670</v>
      </c>
      <c r="B315" s="6">
        <v>45712</v>
      </c>
      <c r="C315" t="s">
        <v>619</v>
      </c>
      <c r="D315" t="s">
        <v>78</v>
      </c>
      <c r="E315" t="s">
        <v>49</v>
      </c>
      <c r="F315" t="s">
        <v>53</v>
      </c>
      <c r="G315" t="s">
        <v>86</v>
      </c>
      <c r="H315" t="s">
        <v>48</v>
      </c>
      <c r="I315">
        <v>1</v>
      </c>
      <c r="J315" s="7">
        <v>34.99</v>
      </c>
      <c r="K315" s="8">
        <v>0</v>
      </c>
      <c r="L315" s="9">
        <v>34.99</v>
      </c>
      <c r="M315" s="9">
        <v>16</v>
      </c>
      <c r="N315" s="9">
        <v>18.990000000000002</v>
      </c>
    </row>
    <row r="316" spans="1:14">
      <c r="A316" t="s">
        <v>671</v>
      </c>
      <c r="B316" s="6">
        <v>45702</v>
      </c>
      <c r="C316" t="s">
        <v>513</v>
      </c>
      <c r="D316" t="s">
        <v>78</v>
      </c>
      <c r="E316" t="s">
        <v>49</v>
      </c>
      <c r="F316" t="s">
        <v>50</v>
      </c>
      <c r="G316" t="s">
        <v>87</v>
      </c>
      <c r="H316" t="s">
        <v>48</v>
      </c>
      <c r="I316">
        <v>1</v>
      </c>
      <c r="J316" s="7">
        <v>89.99</v>
      </c>
      <c r="K316" s="8">
        <v>0.05</v>
      </c>
      <c r="L316" s="9">
        <v>85.490499999999997</v>
      </c>
      <c r="M316" s="9">
        <v>46</v>
      </c>
      <c r="N316" s="9">
        <v>39.490499999999997</v>
      </c>
    </row>
    <row r="317" spans="1:14">
      <c r="A317" t="s">
        <v>672</v>
      </c>
      <c r="B317" s="6">
        <v>45839</v>
      </c>
      <c r="C317" t="s">
        <v>510</v>
      </c>
      <c r="D317" t="s">
        <v>78</v>
      </c>
      <c r="E317" t="s">
        <v>49</v>
      </c>
      <c r="F317" t="s">
        <v>56</v>
      </c>
      <c r="G317" t="s">
        <v>93</v>
      </c>
      <c r="H317" t="s">
        <v>54</v>
      </c>
      <c r="I317">
        <v>1</v>
      </c>
      <c r="J317" s="7">
        <v>68</v>
      </c>
      <c r="K317" s="8">
        <v>0.05</v>
      </c>
      <c r="L317" s="9">
        <v>64.599999999999994</v>
      </c>
      <c r="M317" s="9">
        <v>31</v>
      </c>
      <c r="N317" s="9">
        <v>33.599999999999994</v>
      </c>
    </row>
    <row r="318" spans="1:14">
      <c r="A318" t="s">
        <v>673</v>
      </c>
      <c r="B318" s="6">
        <v>45869</v>
      </c>
      <c r="C318" t="s">
        <v>254</v>
      </c>
      <c r="D318" t="s">
        <v>78</v>
      </c>
      <c r="E318" t="s">
        <v>52</v>
      </c>
      <c r="F318" t="s">
        <v>59</v>
      </c>
      <c r="G318" t="s">
        <v>91</v>
      </c>
      <c r="H318" t="s">
        <v>57</v>
      </c>
      <c r="I318">
        <v>2</v>
      </c>
      <c r="J318" s="7">
        <v>35</v>
      </c>
      <c r="K318" s="8">
        <v>0.1</v>
      </c>
      <c r="L318" s="9">
        <v>63</v>
      </c>
      <c r="M318" s="9">
        <v>28</v>
      </c>
      <c r="N318" s="9">
        <v>35</v>
      </c>
    </row>
    <row r="319" spans="1:14">
      <c r="A319" t="s">
        <v>674</v>
      </c>
      <c r="B319" s="6">
        <v>45744</v>
      </c>
      <c r="C319" t="s">
        <v>502</v>
      </c>
      <c r="D319" t="s">
        <v>78</v>
      </c>
      <c r="E319" t="s">
        <v>58</v>
      </c>
      <c r="F319" t="s">
        <v>56</v>
      </c>
      <c r="G319" t="s">
        <v>87</v>
      </c>
      <c r="H319" t="s">
        <v>48</v>
      </c>
      <c r="I319">
        <v>1</v>
      </c>
      <c r="J319" s="7">
        <v>89.99</v>
      </c>
      <c r="K319" s="8">
        <v>0</v>
      </c>
      <c r="L319" s="9">
        <v>89.99</v>
      </c>
      <c r="M319" s="9">
        <v>46</v>
      </c>
      <c r="N319" s="9">
        <v>43.989999999999995</v>
      </c>
    </row>
    <row r="320" spans="1:14">
      <c r="A320" t="s">
        <v>675</v>
      </c>
      <c r="B320" s="6">
        <v>45873</v>
      </c>
      <c r="C320" t="s">
        <v>676</v>
      </c>
      <c r="D320" t="s">
        <v>78</v>
      </c>
      <c r="E320" t="s">
        <v>58</v>
      </c>
      <c r="F320" t="s">
        <v>60</v>
      </c>
      <c r="G320" t="s">
        <v>89</v>
      </c>
      <c r="H320" t="s">
        <v>51</v>
      </c>
      <c r="I320">
        <v>1</v>
      </c>
      <c r="J320" s="7">
        <v>38</v>
      </c>
      <c r="K320" s="8">
        <v>0</v>
      </c>
      <c r="L320" s="9">
        <v>38</v>
      </c>
      <c r="M320" s="9">
        <v>17</v>
      </c>
      <c r="N320" s="9">
        <v>21</v>
      </c>
    </row>
    <row r="321" spans="1:14">
      <c r="A321" t="s">
        <v>677</v>
      </c>
      <c r="B321" s="6">
        <v>45973</v>
      </c>
      <c r="C321" t="s">
        <v>441</v>
      </c>
      <c r="D321" t="s">
        <v>78</v>
      </c>
      <c r="E321" t="s">
        <v>55</v>
      </c>
      <c r="F321" t="s">
        <v>60</v>
      </c>
      <c r="G321" t="s">
        <v>88</v>
      </c>
      <c r="H321" t="s">
        <v>51</v>
      </c>
      <c r="I321">
        <v>1</v>
      </c>
      <c r="J321" s="7">
        <v>42</v>
      </c>
      <c r="K321" s="8">
        <v>0</v>
      </c>
      <c r="L321" s="9">
        <v>42</v>
      </c>
      <c r="M321" s="9">
        <v>19</v>
      </c>
      <c r="N321" s="9">
        <v>23</v>
      </c>
    </row>
    <row r="322" spans="1:14">
      <c r="A322" t="s">
        <v>678</v>
      </c>
      <c r="B322" s="6">
        <v>45852</v>
      </c>
      <c r="C322" t="s">
        <v>679</v>
      </c>
      <c r="D322" t="s">
        <v>79</v>
      </c>
      <c r="E322" t="s">
        <v>52</v>
      </c>
      <c r="F322" t="s">
        <v>56</v>
      </c>
      <c r="G322" t="s">
        <v>90</v>
      </c>
      <c r="H322" t="s">
        <v>54</v>
      </c>
      <c r="I322">
        <v>1</v>
      </c>
      <c r="J322" s="7">
        <v>29</v>
      </c>
      <c r="K322" s="8">
        <v>0</v>
      </c>
      <c r="L322" s="9">
        <v>29</v>
      </c>
      <c r="M322" s="9">
        <v>11</v>
      </c>
      <c r="N322" s="9">
        <v>18</v>
      </c>
    </row>
    <row r="323" spans="1:14">
      <c r="A323" t="s">
        <v>680</v>
      </c>
      <c r="B323" s="6">
        <v>45822</v>
      </c>
      <c r="C323" t="s">
        <v>654</v>
      </c>
      <c r="D323" t="s">
        <v>78</v>
      </c>
      <c r="E323" t="s">
        <v>55</v>
      </c>
      <c r="F323" t="s">
        <v>56</v>
      </c>
      <c r="G323" t="s">
        <v>94</v>
      </c>
      <c r="H323" t="s">
        <v>51</v>
      </c>
      <c r="I323">
        <v>3</v>
      </c>
      <c r="J323" s="7">
        <v>18</v>
      </c>
      <c r="K323" s="8">
        <v>0</v>
      </c>
      <c r="L323" s="9">
        <v>54</v>
      </c>
      <c r="M323" s="9">
        <v>16.5</v>
      </c>
      <c r="N323" s="9">
        <v>37.5</v>
      </c>
    </row>
    <row r="324" spans="1:14">
      <c r="A324" t="s">
        <v>681</v>
      </c>
      <c r="B324" s="6">
        <v>46013</v>
      </c>
      <c r="C324" t="s">
        <v>258</v>
      </c>
      <c r="D324" t="s">
        <v>78</v>
      </c>
      <c r="E324" t="s">
        <v>58</v>
      </c>
      <c r="F324" t="s">
        <v>56</v>
      </c>
      <c r="G324" t="s">
        <v>92</v>
      </c>
      <c r="H324" t="s">
        <v>57</v>
      </c>
      <c r="I324">
        <v>4</v>
      </c>
      <c r="J324" s="7">
        <v>22</v>
      </c>
      <c r="K324" s="8">
        <v>0.1</v>
      </c>
      <c r="L324" s="9">
        <v>79.2</v>
      </c>
      <c r="M324" s="9">
        <v>30</v>
      </c>
      <c r="N324" s="9">
        <v>49.2</v>
      </c>
    </row>
    <row r="325" spans="1:14">
      <c r="A325" t="s">
        <v>682</v>
      </c>
      <c r="B325" s="6">
        <v>45716</v>
      </c>
      <c r="C325" t="s">
        <v>534</v>
      </c>
      <c r="D325" t="s">
        <v>78</v>
      </c>
      <c r="E325" t="s">
        <v>49</v>
      </c>
      <c r="F325" t="s">
        <v>59</v>
      </c>
      <c r="G325" t="s">
        <v>94</v>
      </c>
      <c r="H325" t="s">
        <v>51</v>
      </c>
      <c r="I325">
        <v>1</v>
      </c>
      <c r="J325" s="7">
        <v>18</v>
      </c>
      <c r="K325" s="8">
        <v>0.2</v>
      </c>
      <c r="L325" s="9">
        <v>14.4</v>
      </c>
      <c r="M325" s="9">
        <v>5.5</v>
      </c>
      <c r="N325" s="9">
        <v>8.9</v>
      </c>
    </row>
    <row r="326" spans="1:14">
      <c r="A326" t="s">
        <v>683</v>
      </c>
      <c r="B326" s="6">
        <v>46020</v>
      </c>
      <c r="C326" t="s">
        <v>394</v>
      </c>
      <c r="D326" t="s">
        <v>79</v>
      </c>
      <c r="E326" t="s">
        <v>58</v>
      </c>
      <c r="F326" t="s">
        <v>53</v>
      </c>
      <c r="G326" t="s">
        <v>88</v>
      </c>
      <c r="H326" t="s">
        <v>51</v>
      </c>
      <c r="I326">
        <v>1</v>
      </c>
      <c r="J326" s="7">
        <v>42</v>
      </c>
      <c r="K326" s="8">
        <v>0</v>
      </c>
      <c r="L326" s="9">
        <v>42</v>
      </c>
      <c r="M326" s="9">
        <v>19</v>
      </c>
      <c r="N326" s="9">
        <v>23</v>
      </c>
    </row>
    <row r="327" spans="1:14">
      <c r="A327" t="s">
        <v>684</v>
      </c>
      <c r="B327" s="6">
        <v>45982</v>
      </c>
      <c r="C327" t="s">
        <v>355</v>
      </c>
      <c r="D327" t="s">
        <v>79</v>
      </c>
      <c r="E327" t="s">
        <v>49</v>
      </c>
      <c r="F327" t="s">
        <v>59</v>
      </c>
      <c r="G327" t="s">
        <v>89</v>
      </c>
      <c r="H327" t="s">
        <v>51</v>
      </c>
      <c r="I327">
        <v>1</v>
      </c>
      <c r="J327" s="7">
        <v>38</v>
      </c>
      <c r="K327" s="8">
        <v>0.05</v>
      </c>
      <c r="L327" s="9">
        <v>36.1</v>
      </c>
      <c r="M327" s="9">
        <v>17</v>
      </c>
      <c r="N327" s="9">
        <v>19.100000000000001</v>
      </c>
    </row>
    <row r="328" spans="1:14">
      <c r="A328" t="s">
        <v>685</v>
      </c>
      <c r="B328" s="6">
        <v>45964</v>
      </c>
      <c r="C328" t="s">
        <v>269</v>
      </c>
      <c r="D328" t="s">
        <v>79</v>
      </c>
      <c r="E328" t="s">
        <v>49</v>
      </c>
      <c r="F328" t="s">
        <v>56</v>
      </c>
      <c r="G328" t="s">
        <v>92</v>
      </c>
      <c r="H328" t="s">
        <v>57</v>
      </c>
      <c r="I328">
        <v>1</v>
      </c>
      <c r="J328" s="7">
        <v>22</v>
      </c>
      <c r="K328" s="8">
        <v>0.05</v>
      </c>
      <c r="L328" s="9">
        <v>20.9</v>
      </c>
      <c r="M328" s="9">
        <v>7.5</v>
      </c>
      <c r="N328" s="9">
        <v>13.399999999999999</v>
      </c>
    </row>
    <row r="329" spans="1:14">
      <c r="A329" t="s">
        <v>686</v>
      </c>
      <c r="B329" s="6">
        <v>46017</v>
      </c>
      <c r="C329" t="s">
        <v>192</v>
      </c>
      <c r="D329" t="s">
        <v>78</v>
      </c>
      <c r="E329" t="s">
        <v>55</v>
      </c>
      <c r="F329" t="s">
        <v>53</v>
      </c>
      <c r="G329" t="s">
        <v>93</v>
      </c>
      <c r="H329" t="s">
        <v>54</v>
      </c>
      <c r="I329">
        <v>1</v>
      </c>
      <c r="J329" s="7">
        <v>68</v>
      </c>
      <c r="K329" s="8">
        <v>0.15</v>
      </c>
      <c r="L329" s="9">
        <v>57.8</v>
      </c>
      <c r="M329" s="9">
        <v>31</v>
      </c>
      <c r="N329" s="9">
        <v>26.799999999999997</v>
      </c>
    </row>
    <row r="330" spans="1:14">
      <c r="A330" t="s">
        <v>687</v>
      </c>
      <c r="B330" s="6">
        <v>45989</v>
      </c>
      <c r="C330" t="s">
        <v>415</v>
      </c>
      <c r="D330" t="s">
        <v>79</v>
      </c>
      <c r="E330" t="s">
        <v>55</v>
      </c>
      <c r="F330" t="s">
        <v>59</v>
      </c>
      <c r="G330" t="s">
        <v>94</v>
      </c>
      <c r="H330" t="s">
        <v>51</v>
      </c>
      <c r="I330">
        <v>1</v>
      </c>
      <c r="J330" s="7">
        <v>18</v>
      </c>
      <c r="K330" s="8">
        <v>0.2</v>
      </c>
      <c r="L330" s="9">
        <v>14.4</v>
      </c>
      <c r="M330" s="9">
        <v>5.5</v>
      </c>
      <c r="N330" s="9">
        <v>8.9</v>
      </c>
    </row>
    <row r="331" spans="1:14">
      <c r="A331" t="s">
        <v>688</v>
      </c>
      <c r="B331" s="6">
        <v>45712</v>
      </c>
      <c r="C331" t="s">
        <v>156</v>
      </c>
      <c r="D331" t="s">
        <v>79</v>
      </c>
      <c r="E331" t="s">
        <v>52</v>
      </c>
      <c r="F331" t="s">
        <v>59</v>
      </c>
      <c r="G331" t="s">
        <v>85</v>
      </c>
      <c r="H331" t="s">
        <v>48</v>
      </c>
      <c r="I331">
        <v>1</v>
      </c>
      <c r="J331" s="7">
        <v>59.99</v>
      </c>
      <c r="K331" s="8">
        <v>0</v>
      </c>
      <c r="L331" s="9">
        <v>59.99</v>
      </c>
      <c r="M331" s="9">
        <v>28</v>
      </c>
      <c r="N331" s="9">
        <v>31.990000000000002</v>
      </c>
    </row>
    <row r="332" spans="1:14">
      <c r="A332" t="s">
        <v>689</v>
      </c>
      <c r="B332" s="6">
        <v>45849</v>
      </c>
      <c r="C332" t="s">
        <v>220</v>
      </c>
      <c r="D332" t="s">
        <v>79</v>
      </c>
      <c r="E332" t="s">
        <v>55</v>
      </c>
      <c r="F332" t="s">
        <v>50</v>
      </c>
      <c r="G332" t="s">
        <v>91</v>
      </c>
      <c r="H332" t="s">
        <v>57</v>
      </c>
      <c r="I332">
        <v>1</v>
      </c>
      <c r="J332" s="7">
        <v>35</v>
      </c>
      <c r="K332" s="8">
        <v>0.1</v>
      </c>
      <c r="L332" s="9">
        <v>31.5</v>
      </c>
      <c r="M332" s="9">
        <v>14</v>
      </c>
      <c r="N332" s="9">
        <v>17.5</v>
      </c>
    </row>
    <row r="333" spans="1:14">
      <c r="A333" t="s">
        <v>690</v>
      </c>
      <c r="B333" s="6">
        <v>45905</v>
      </c>
      <c r="C333" t="s">
        <v>421</v>
      </c>
      <c r="D333" t="s">
        <v>78</v>
      </c>
      <c r="E333" t="s">
        <v>52</v>
      </c>
      <c r="F333" t="s">
        <v>56</v>
      </c>
      <c r="G333" t="s">
        <v>86</v>
      </c>
      <c r="H333" t="s">
        <v>48</v>
      </c>
      <c r="I333">
        <v>1</v>
      </c>
      <c r="J333" s="7">
        <v>34.99</v>
      </c>
      <c r="K333" s="8">
        <v>0.15</v>
      </c>
      <c r="L333" s="9">
        <v>29.741500000000002</v>
      </c>
      <c r="M333" s="9">
        <v>16</v>
      </c>
      <c r="N333" s="9">
        <v>13.741500000000002</v>
      </c>
    </row>
    <row r="334" spans="1:14">
      <c r="A334" t="s">
        <v>691</v>
      </c>
      <c r="B334" s="6">
        <v>45817</v>
      </c>
      <c r="C334" t="s">
        <v>692</v>
      </c>
      <c r="D334" t="s">
        <v>78</v>
      </c>
      <c r="E334" t="s">
        <v>49</v>
      </c>
      <c r="F334" t="s">
        <v>59</v>
      </c>
      <c r="G334" t="s">
        <v>90</v>
      </c>
      <c r="H334" t="s">
        <v>54</v>
      </c>
      <c r="I334">
        <v>1</v>
      </c>
      <c r="J334" s="7">
        <v>29</v>
      </c>
      <c r="K334" s="8">
        <v>0</v>
      </c>
      <c r="L334" s="9">
        <v>29</v>
      </c>
      <c r="M334" s="9">
        <v>11</v>
      </c>
      <c r="N334" s="9">
        <v>18</v>
      </c>
    </row>
    <row r="335" spans="1:14">
      <c r="A335" t="s">
        <v>693</v>
      </c>
      <c r="B335" s="6">
        <v>46014</v>
      </c>
      <c r="C335" t="s">
        <v>202</v>
      </c>
      <c r="D335" t="s">
        <v>79</v>
      </c>
      <c r="E335" t="s">
        <v>49</v>
      </c>
      <c r="F335" t="s">
        <v>56</v>
      </c>
      <c r="G335" t="s">
        <v>92</v>
      </c>
      <c r="H335" t="s">
        <v>57</v>
      </c>
      <c r="I335">
        <v>1</v>
      </c>
      <c r="J335" s="7">
        <v>22</v>
      </c>
      <c r="K335" s="8">
        <v>0</v>
      </c>
      <c r="L335" s="9">
        <v>22</v>
      </c>
      <c r="M335" s="9">
        <v>7.5</v>
      </c>
      <c r="N335" s="9">
        <v>14.5</v>
      </c>
    </row>
    <row r="336" spans="1:14">
      <c r="A336" t="s">
        <v>694</v>
      </c>
      <c r="B336" s="6">
        <v>45989</v>
      </c>
      <c r="C336" t="s">
        <v>524</v>
      </c>
      <c r="D336" t="s">
        <v>79</v>
      </c>
      <c r="E336" t="s">
        <v>52</v>
      </c>
      <c r="F336" t="s">
        <v>60</v>
      </c>
      <c r="G336" t="s">
        <v>86</v>
      </c>
      <c r="H336" t="s">
        <v>48</v>
      </c>
      <c r="I336">
        <v>2</v>
      </c>
      <c r="J336" s="7">
        <v>34.99</v>
      </c>
      <c r="K336" s="8">
        <v>0</v>
      </c>
      <c r="L336" s="9">
        <v>69.98</v>
      </c>
      <c r="M336" s="9">
        <v>32</v>
      </c>
      <c r="N336" s="9">
        <v>37.980000000000004</v>
      </c>
    </row>
    <row r="337" spans="1:14">
      <c r="A337" t="s">
        <v>695</v>
      </c>
      <c r="B337" s="6">
        <v>45739</v>
      </c>
      <c r="C337" t="s">
        <v>303</v>
      </c>
      <c r="D337" t="s">
        <v>78</v>
      </c>
      <c r="E337" t="s">
        <v>52</v>
      </c>
      <c r="F337" t="s">
        <v>53</v>
      </c>
      <c r="G337" t="s">
        <v>90</v>
      </c>
      <c r="H337" t="s">
        <v>54</v>
      </c>
      <c r="I337">
        <v>1</v>
      </c>
      <c r="J337" s="7">
        <v>29</v>
      </c>
      <c r="K337" s="8">
        <v>0.2</v>
      </c>
      <c r="L337" s="9">
        <v>23.200000000000003</v>
      </c>
      <c r="M337" s="9">
        <v>11</v>
      </c>
      <c r="N337" s="9">
        <v>12.200000000000003</v>
      </c>
    </row>
    <row r="338" spans="1:14">
      <c r="A338" t="s">
        <v>696</v>
      </c>
      <c r="B338" s="6">
        <v>45985</v>
      </c>
      <c r="C338" t="s">
        <v>697</v>
      </c>
      <c r="D338" t="s">
        <v>79</v>
      </c>
      <c r="E338" t="s">
        <v>58</v>
      </c>
      <c r="F338" t="s">
        <v>59</v>
      </c>
      <c r="G338" t="s">
        <v>91</v>
      </c>
      <c r="H338" t="s">
        <v>57</v>
      </c>
      <c r="I338">
        <v>1</v>
      </c>
      <c r="J338" s="7">
        <v>35</v>
      </c>
      <c r="K338" s="8">
        <v>0.1</v>
      </c>
      <c r="L338" s="9">
        <v>31.5</v>
      </c>
      <c r="M338" s="9">
        <v>14</v>
      </c>
      <c r="N338" s="9">
        <v>17.5</v>
      </c>
    </row>
    <row r="339" spans="1:14">
      <c r="A339" t="s">
        <v>698</v>
      </c>
      <c r="B339" s="6">
        <v>45660</v>
      </c>
      <c r="C339" t="s">
        <v>184</v>
      </c>
      <c r="D339" t="s">
        <v>79</v>
      </c>
      <c r="E339" t="s">
        <v>49</v>
      </c>
      <c r="F339" t="s">
        <v>60</v>
      </c>
      <c r="G339" t="s">
        <v>88</v>
      </c>
      <c r="H339" t="s">
        <v>51</v>
      </c>
      <c r="I339">
        <v>1</v>
      </c>
      <c r="J339" s="7">
        <v>42</v>
      </c>
      <c r="K339" s="8">
        <v>0.1</v>
      </c>
      <c r="L339" s="9">
        <v>37.800000000000004</v>
      </c>
      <c r="M339" s="9">
        <v>19</v>
      </c>
      <c r="N339" s="9">
        <v>18.800000000000004</v>
      </c>
    </row>
    <row r="340" spans="1:14">
      <c r="A340" t="s">
        <v>699</v>
      </c>
      <c r="B340" s="6">
        <v>45753</v>
      </c>
      <c r="C340" t="s">
        <v>700</v>
      </c>
      <c r="D340" t="s">
        <v>78</v>
      </c>
      <c r="E340" t="s">
        <v>55</v>
      </c>
      <c r="F340" t="s">
        <v>60</v>
      </c>
      <c r="G340" t="s">
        <v>90</v>
      </c>
      <c r="H340" t="s">
        <v>54</v>
      </c>
      <c r="I340">
        <v>1</v>
      </c>
      <c r="J340" s="7">
        <v>29</v>
      </c>
      <c r="K340" s="8">
        <v>0</v>
      </c>
      <c r="L340" s="9">
        <v>29</v>
      </c>
      <c r="M340" s="9">
        <v>11</v>
      </c>
      <c r="N340" s="9">
        <v>18</v>
      </c>
    </row>
    <row r="341" spans="1:14">
      <c r="A341" t="s">
        <v>701</v>
      </c>
      <c r="B341" s="6">
        <v>45856</v>
      </c>
      <c r="C341" t="s">
        <v>702</v>
      </c>
      <c r="D341" t="s">
        <v>78</v>
      </c>
      <c r="E341" t="s">
        <v>52</v>
      </c>
      <c r="F341" t="s">
        <v>56</v>
      </c>
      <c r="G341" t="s">
        <v>94</v>
      </c>
      <c r="H341" t="s">
        <v>51</v>
      </c>
      <c r="I341">
        <v>1</v>
      </c>
      <c r="J341" s="7">
        <v>18</v>
      </c>
      <c r="K341" s="8">
        <v>0</v>
      </c>
      <c r="L341" s="9">
        <v>18</v>
      </c>
      <c r="M341" s="9">
        <v>5.5</v>
      </c>
      <c r="N341" s="9">
        <v>12.5</v>
      </c>
    </row>
    <row r="342" spans="1:14">
      <c r="A342" t="s">
        <v>703</v>
      </c>
      <c r="B342" s="6">
        <v>45972</v>
      </c>
      <c r="C342" t="s">
        <v>479</v>
      </c>
      <c r="D342" t="s">
        <v>78</v>
      </c>
      <c r="E342" t="s">
        <v>49</v>
      </c>
      <c r="F342" t="s">
        <v>53</v>
      </c>
      <c r="G342" t="s">
        <v>94</v>
      </c>
      <c r="H342" t="s">
        <v>51</v>
      </c>
      <c r="I342">
        <v>1</v>
      </c>
      <c r="J342" s="7">
        <v>18</v>
      </c>
      <c r="K342" s="8">
        <v>0</v>
      </c>
      <c r="L342" s="9">
        <v>18</v>
      </c>
      <c r="M342" s="9">
        <v>5.5</v>
      </c>
      <c r="N342" s="9">
        <v>12.5</v>
      </c>
    </row>
    <row r="343" spans="1:14">
      <c r="A343" t="s">
        <v>704</v>
      </c>
      <c r="B343" s="6">
        <v>45849</v>
      </c>
      <c r="C343" t="s">
        <v>705</v>
      </c>
      <c r="D343" t="s">
        <v>78</v>
      </c>
      <c r="E343" t="s">
        <v>58</v>
      </c>
      <c r="F343" t="s">
        <v>53</v>
      </c>
      <c r="G343" t="s">
        <v>87</v>
      </c>
      <c r="H343" t="s">
        <v>48</v>
      </c>
      <c r="I343">
        <v>1</v>
      </c>
      <c r="J343" s="7">
        <v>89.99</v>
      </c>
      <c r="K343" s="8">
        <v>0</v>
      </c>
      <c r="L343" s="9">
        <v>89.99</v>
      </c>
      <c r="M343" s="9">
        <v>46</v>
      </c>
      <c r="N343" s="9">
        <v>43.989999999999995</v>
      </c>
    </row>
    <row r="344" spans="1:14">
      <c r="A344" t="s">
        <v>706</v>
      </c>
      <c r="B344" s="6">
        <v>45907</v>
      </c>
      <c r="C344" t="s">
        <v>156</v>
      </c>
      <c r="D344" t="s">
        <v>79</v>
      </c>
      <c r="E344" t="s">
        <v>52</v>
      </c>
      <c r="F344" t="s">
        <v>59</v>
      </c>
      <c r="G344" t="s">
        <v>93</v>
      </c>
      <c r="H344" t="s">
        <v>54</v>
      </c>
      <c r="I344">
        <v>2</v>
      </c>
      <c r="J344" s="7">
        <v>68</v>
      </c>
      <c r="K344" s="8">
        <v>0.05</v>
      </c>
      <c r="L344" s="9">
        <v>129.19999999999999</v>
      </c>
      <c r="M344" s="9">
        <v>62</v>
      </c>
      <c r="N344" s="9">
        <v>67.199999999999989</v>
      </c>
    </row>
    <row r="345" spans="1:14">
      <c r="A345" t="s">
        <v>707</v>
      </c>
      <c r="B345" s="6">
        <v>45805</v>
      </c>
      <c r="C345" t="s">
        <v>708</v>
      </c>
      <c r="D345" t="s">
        <v>79</v>
      </c>
      <c r="E345" t="s">
        <v>49</v>
      </c>
      <c r="F345" t="s">
        <v>59</v>
      </c>
      <c r="G345" t="s">
        <v>87</v>
      </c>
      <c r="H345" t="s">
        <v>48</v>
      </c>
      <c r="I345">
        <v>1</v>
      </c>
      <c r="J345" s="7">
        <v>89.99</v>
      </c>
      <c r="K345" s="8">
        <v>0.15</v>
      </c>
      <c r="L345" s="9">
        <v>76.491499999999988</v>
      </c>
      <c r="M345" s="9">
        <v>46</v>
      </c>
      <c r="N345" s="9">
        <v>30.491499999999988</v>
      </c>
    </row>
    <row r="346" spans="1:14">
      <c r="A346" t="s">
        <v>709</v>
      </c>
      <c r="B346" s="6">
        <v>45727</v>
      </c>
      <c r="C346" t="s">
        <v>297</v>
      </c>
      <c r="D346" t="s">
        <v>78</v>
      </c>
      <c r="E346" t="s">
        <v>58</v>
      </c>
      <c r="F346" t="s">
        <v>59</v>
      </c>
      <c r="G346" t="s">
        <v>88</v>
      </c>
      <c r="H346" t="s">
        <v>51</v>
      </c>
      <c r="I346">
        <v>2</v>
      </c>
      <c r="J346" s="7">
        <v>42</v>
      </c>
      <c r="K346" s="8">
        <v>0.2</v>
      </c>
      <c r="L346" s="9">
        <v>67.2</v>
      </c>
      <c r="M346" s="9">
        <v>38</v>
      </c>
      <c r="N346" s="9">
        <v>29.200000000000003</v>
      </c>
    </row>
    <row r="347" spans="1:14">
      <c r="A347" t="s">
        <v>710</v>
      </c>
      <c r="B347" s="6">
        <v>45870</v>
      </c>
      <c r="C347" t="s">
        <v>711</v>
      </c>
      <c r="D347" t="s">
        <v>78</v>
      </c>
      <c r="E347" t="s">
        <v>52</v>
      </c>
      <c r="F347" t="s">
        <v>56</v>
      </c>
      <c r="G347" t="s">
        <v>92</v>
      </c>
      <c r="H347" t="s">
        <v>57</v>
      </c>
      <c r="I347">
        <v>1</v>
      </c>
      <c r="J347" s="7">
        <v>22</v>
      </c>
      <c r="K347" s="8">
        <v>0</v>
      </c>
      <c r="L347" s="9">
        <v>22</v>
      </c>
      <c r="M347" s="9">
        <v>7.5</v>
      </c>
      <c r="N347" s="9">
        <v>14.5</v>
      </c>
    </row>
    <row r="348" spans="1:14">
      <c r="A348" t="s">
        <v>712</v>
      </c>
      <c r="B348" s="6">
        <v>45674</v>
      </c>
      <c r="C348" t="s">
        <v>325</v>
      </c>
      <c r="D348" t="s">
        <v>79</v>
      </c>
      <c r="E348" t="s">
        <v>58</v>
      </c>
      <c r="F348" t="s">
        <v>60</v>
      </c>
      <c r="G348" t="s">
        <v>89</v>
      </c>
      <c r="H348" t="s">
        <v>51</v>
      </c>
      <c r="I348">
        <v>1</v>
      </c>
      <c r="J348" s="7">
        <v>38</v>
      </c>
      <c r="K348" s="8">
        <v>0</v>
      </c>
      <c r="L348" s="9">
        <v>38</v>
      </c>
      <c r="M348" s="9">
        <v>17</v>
      </c>
      <c r="N348" s="9">
        <v>21</v>
      </c>
    </row>
    <row r="349" spans="1:14">
      <c r="A349" t="s">
        <v>713</v>
      </c>
      <c r="B349" s="6">
        <v>45919</v>
      </c>
      <c r="C349" t="s">
        <v>560</v>
      </c>
      <c r="D349" t="s">
        <v>78</v>
      </c>
      <c r="E349" t="s">
        <v>49</v>
      </c>
      <c r="F349" t="s">
        <v>59</v>
      </c>
      <c r="G349" t="s">
        <v>86</v>
      </c>
      <c r="H349" t="s">
        <v>48</v>
      </c>
      <c r="I349">
        <v>1</v>
      </c>
      <c r="J349" s="7">
        <v>34.99</v>
      </c>
      <c r="K349" s="8">
        <v>0</v>
      </c>
      <c r="L349" s="9">
        <v>34.99</v>
      </c>
      <c r="M349" s="9">
        <v>16</v>
      </c>
      <c r="N349" s="9">
        <v>18.990000000000002</v>
      </c>
    </row>
    <row r="350" spans="1:14">
      <c r="A350" t="s">
        <v>714</v>
      </c>
      <c r="B350" s="6">
        <v>45937</v>
      </c>
      <c r="C350" t="s">
        <v>330</v>
      </c>
      <c r="D350" t="s">
        <v>79</v>
      </c>
      <c r="E350" t="s">
        <v>55</v>
      </c>
      <c r="F350" t="s">
        <v>50</v>
      </c>
      <c r="G350" t="s">
        <v>88</v>
      </c>
      <c r="H350" t="s">
        <v>51</v>
      </c>
      <c r="I350">
        <v>4</v>
      </c>
      <c r="J350" s="7">
        <v>42</v>
      </c>
      <c r="K350" s="8">
        <v>0</v>
      </c>
      <c r="L350" s="9">
        <v>168</v>
      </c>
      <c r="M350" s="9">
        <v>76</v>
      </c>
      <c r="N350" s="9">
        <v>92</v>
      </c>
    </row>
    <row r="351" spans="1:14">
      <c r="A351" t="s">
        <v>715</v>
      </c>
      <c r="B351" s="6">
        <v>45888</v>
      </c>
      <c r="C351" t="s">
        <v>716</v>
      </c>
      <c r="D351" t="s">
        <v>78</v>
      </c>
      <c r="E351" t="s">
        <v>52</v>
      </c>
      <c r="F351" t="s">
        <v>53</v>
      </c>
      <c r="G351" t="s">
        <v>89</v>
      </c>
      <c r="H351" t="s">
        <v>51</v>
      </c>
      <c r="I351">
        <v>1</v>
      </c>
      <c r="J351" s="7">
        <v>38</v>
      </c>
      <c r="K351" s="8">
        <v>0.1</v>
      </c>
      <c r="L351" s="9">
        <v>34.200000000000003</v>
      </c>
      <c r="M351" s="9">
        <v>17</v>
      </c>
      <c r="N351" s="9">
        <v>17.200000000000003</v>
      </c>
    </row>
    <row r="352" spans="1:14">
      <c r="A352" t="s">
        <v>717</v>
      </c>
      <c r="B352" s="6">
        <v>45959</v>
      </c>
      <c r="C352" t="s">
        <v>550</v>
      </c>
      <c r="D352" t="s">
        <v>78</v>
      </c>
      <c r="E352" t="s">
        <v>52</v>
      </c>
      <c r="F352" t="s">
        <v>53</v>
      </c>
      <c r="G352" t="s">
        <v>90</v>
      </c>
      <c r="H352" t="s">
        <v>54</v>
      </c>
      <c r="I352">
        <v>3</v>
      </c>
      <c r="J352" s="7">
        <v>29</v>
      </c>
      <c r="K352" s="8">
        <v>0.05</v>
      </c>
      <c r="L352" s="9">
        <v>82.649999999999991</v>
      </c>
      <c r="M352" s="9">
        <v>33</v>
      </c>
      <c r="N352" s="9">
        <v>49.649999999999991</v>
      </c>
    </row>
    <row r="353" spans="1:14">
      <c r="A353" t="s">
        <v>718</v>
      </c>
      <c r="B353" s="6">
        <v>45763</v>
      </c>
      <c r="C353" t="s">
        <v>719</v>
      </c>
      <c r="D353" t="s">
        <v>79</v>
      </c>
      <c r="E353" t="s">
        <v>55</v>
      </c>
      <c r="F353" t="s">
        <v>56</v>
      </c>
      <c r="G353" t="s">
        <v>85</v>
      </c>
      <c r="H353" t="s">
        <v>48</v>
      </c>
      <c r="I353">
        <v>1</v>
      </c>
      <c r="J353" s="7">
        <v>59.99</v>
      </c>
      <c r="K353" s="8">
        <v>0.05</v>
      </c>
      <c r="L353" s="9">
        <v>56.990499999999997</v>
      </c>
      <c r="M353" s="9">
        <v>28</v>
      </c>
      <c r="N353" s="9">
        <v>28.990499999999997</v>
      </c>
    </row>
    <row r="354" spans="1:14">
      <c r="A354" t="s">
        <v>720</v>
      </c>
      <c r="B354" s="6">
        <v>45806</v>
      </c>
      <c r="C354" t="s">
        <v>658</v>
      </c>
      <c r="D354" t="s">
        <v>79</v>
      </c>
      <c r="E354" t="s">
        <v>52</v>
      </c>
      <c r="F354" t="s">
        <v>59</v>
      </c>
      <c r="G354" t="s">
        <v>94</v>
      </c>
      <c r="H354" t="s">
        <v>51</v>
      </c>
      <c r="I354">
        <v>1</v>
      </c>
      <c r="J354" s="7">
        <v>18</v>
      </c>
      <c r="K354" s="8">
        <v>0.15</v>
      </c>
      <c r="L354" s="9">
        <v>15.299999999999999</v>
      </c>
      <c r="M354" s="9">
        <v>5.5</v>
      </c>
      <c r="N354" s="9">
        <v>9.7999999999999989</v>
      </c>
    </row>
    <row r="355" spans="1:14">
      <c r="A355" t="s">
        <v>721</v>
      </c>
      <c r="B355" s="6">
        <v>45688</v>
      </c>
      <c r="C355" t="s">
        <v>330</v>
      </c>
      <c r="D355" t="s">
        <v>79</v>
      </c>
      <c r="E355" t="s">
        <v>52</v>
      </c>
      <c r="F355" t="s">
        <v>56</v>
      </c>
      <c r="G355" t="s">
        <v>89</v>
      </c>
      <c r="H355" t="s">
        <v>51</v>
      </c>
      <c r="I355">
        <v>3</v>
      </c>
      <c r="J355" s="7">
        <v>38</v>
      </c>
      <c r="K355" s="8">
        <v>0</v>
      </c>
      <c r="L355" s="9">
        <v>114</v>
      </c>
      <c r="M355" s="9">
        <v>51</v>
      </c>
      <c r="N355" s="9">
        <v>63</v>
      </c>
    </row>
    <row r="356" spans="1:14">
      <c r="A356" t="s">
        <v>722</v>
      </c>
      <c r="B356" s="6">
        <v>45784</v>
      </c>
      <c r="C356" t="s">
        <v>265</v>
      </c>
      <c r="D356" t="s">
        <v>78</v>
      </c>
      <c r="E356" t="s">
        <v>58</v>
      </c>
      <c r="F356" t="s">
        <v>59</v>
      </c>
      <c r="G356" t="s">
        <v>91</v>
      </c>
      <c r="H356" t="s">
        <v>57</v>
      </c>
      <c r="I356">
        <v>1</v>
      </c>
      <c r="J356" s="7">
        <v>35</v>
      </c>
      <c r="K356" s="8">
        <v>0.05</v>
      </c>
      <c r="L356" s="9">
        <v>33.25</v>
      </c>
      <c r="M356" s="9">
        <v>14</v>
      </c>
      <c r="N356" s="9">
        <v>19.25</v>
      </c>
    </row>
    <row r="357" spans="1:14">
      <c r="A357" t="s">
        <v>723</v>
      </c>
      <c r="B357" s="6">
        <v>45696</v>
      </c>
      <c r="C357" t="s">
        <v>211</v>
      </c>
      <c r="D357" t="s">
        <v>79</v>
      </c>
      <c r="E357" t="s">
        <v>58</v>
      </c>
      <c r="F357" t="s">
        <v>59</v>
      </c>
      <c r="G357" t="s">
        <v>86</v>
      </c>
      <c r="H357" t="s">
        <v>48</v>
      </c>
      <c r="I357">
        <v>1</v>
      </c>
      <c r="J357" s="7">
        <v>34.99</v>
      </c>
      <c r="K357" s="8">
        <v>0.1</v>
      </c>
      <c r="L357" s="9">
        <v>31.491000000000003</v>
      </c>
      <c r="M357" s="9">
        <v>16</v>
      </c>
      <c r="N357" s="9">
        <v>15.491000000000003</v>
      </c>
    </row>
    <row r="358" spans="1:14">
      <c r="A358" t="s">
        <v>724</v>
      </c>
      <c r="B358" s="6">
        <v>45825</v>
      </c>
      <c r="C358" t="s">
        <v>160</v>
      </c>
      <c r="D358" t="s">
        <v>79</v>
      </c>
      <c r="E358" t="s">
        <v>55</v>
      </c>
      <c r="F358" t="s">
        <v>50</v>
      </c>
      <c r="G358" t="s">
        <v>94</v>
      </c>
      <c r="H358" t="s">
        <v>51</v>
      </c>
      <c r="I358">
        <v>1</v>
      </c>
      <c r="J358" s="7">
        <v>18</v>
      </c>
      <c r="K358" s="8">
        <v>0.1</v>
      </c>
      <c r="L358" s="9">
        <v>16.2</v>
      </c>
      <c r="M358" s="9">
        <v>5.5</v>
      </c>
      <c r="N358" s="9">
        <v>10.7</v>
      </c>
    </row>
    <row r="359" spans="1:14">
      <c r="A359" t="s">
        <v>725</v>
      </c>
      <c r="B359" s="6">
        <v>45931</v>
      </c>
      <c r="C359" t="s">
        <v>148</v>
      </c>
      <c r="D359" t="s">
        <v>78</v>
      </c>
      <c r="E359" t="s">
        <v>55</v>
      </c>
      <c r="F359" t="s">
        <v>56</v>
      </c>
      <c r="G359" t="s">
        <v>91</v>
      </c>
      <c r="H359" t="s">
        <v>57</v>
      </c>
      <c r="I359">
        <v>1</v>
      </c>
      <c r="J359" s="7">
        <v>35</v>
      </c>
      <c r="K359" s="8">
        <v>0</v>
      </c>
      <c r="L359" s="9">
        <v>35</v>
      </c>
      <c r="M359" s="9">
        <v>14</v>
      </c>
      <c r="N359" s="9">
        <v>21</v>
      </c>
    </row>
    <row r="360" spans="1:14">
      <c r="A360" t="s">
        <v>726</v>
      </c>
      <c r="B360" s="6">
        <v>45830</v>
      </c>
      <c r="C360" t="s">
        <v>727</v>
      </c>
      <c r="D360" t="s">
        <v>78</v>
      </c>
      <c r="E360" t="s">
        <v>49</v>
      </c>
      <c r="F360" t="s">
        <v>50</v>
      </c>
      <c r="G360" t="s">
        <v>93</v>
      </c>
      <c r="H360" t="s">
        <v>54</v>
      </c>
      <c r="I360">
        <v>1</v>
      </c>
      <c r="J360" s="7">
        <v>68</v>
      </c>
      <c r="K360" s="8">
        <v>0.05</v>
      </c>
      <c r="L360" s="9">
        <v>64.599999999999994</v>
      </c>
      <c r="M360" s="9">
        <v>31</v>
      </c>
      <c r="N360" s="9">
        <v>33.599999999999994</v>
      </c>
    </row>
    <row r="361" spans="1:14">
      <c r="A361" t="s">
        <v>728</v>
      </c>
      <c r="B361" s="6">
        <v>45708</v>
      </c>
      <c r="C361" t="s">
        <v>349</v>
      </c>
      <c r="D361" t="s">
        <v>78</v>
      </c>
      <c r="E361" t="s">
        <v>49</v>
      </c>
      <c r="F361" t="s">
        <v>59</v>
      </c>
      <c r="G361" t="s">
        <v>92</v>
      </c>
      <c r="H361" t="s">
        <v>57</v>
      </c>
      <c r="I361">
        <v>1</v>
      </c>
      <c r="J361" s="7">
        <v>22</v>
      </c>
      <c r="K361" s="8">
        <v>0.15</v>
      </c>
      <c r="L361" s="9">
        <v>18.7</v>
      </c>
      <c r="M361" s="9">
        <v>7.5</v>
      </c>
      <c r="N361" s="9">
        <v>11.2</v>
      </c>
    </row>
    <row r="362" spans="1:14">
      <c r="A362" t="s">
        <v>729</v>
      </c>
      <c r="B362" s="6">
        <v>45761</v>
      </c>
      <c r="C362" t="s">
        <v>351</v>
      </c>
      <c r="D362" t="s">
        <v>79</v>
      </c>
      <c r="E362" t="s">
        <v>49</v>
      </c>
      <c r="F362" t="s">
        <v>56</v>
      </c>
      <c r="G362" t="s">
        <v>87</v>
      </c>
      <c r="H362" t="s">
        <v>48</v>
      </c>
      <c r="I362">
        <v>3</v>
      </c>
      <c r="J362" s="7">
        <v>89.99</v>
      </c>
      <c r="K362" s="8">
        <v>0</v>
      </c>
      <c r="L362" s="9">
        <v>269.96999999999997</v>
      </c>
      <c r="M362" s="9">
        <v>138</v>
      </c>
      <c r="N362" s="9">
        <v>131.96999999999997</v>
      </c>
    </row>
    <row r="363" spans="1:14">
      <c r="A363" t="s">
        <v>730</v>
      </c>
      <c r="B363" s="6">
        <v>45786</v>
      </c>
      <c r="C363" t="s">
        <v>441</v>
      </c>
      <c r="D363" t="s">
        <v>78</v>
      </c>
      <c r="E363" t="s">
        <v>55</v>
      </c>
      <c r="F363" t="s">
        <v>53</v>
      </c>
      <c r="G363" t="s">
        <v>86</v>
      </c>
      <c r="H363" t="s">
        <v>48</v>
      </c>
      <c r="I363">
        <v>1</v>
      </c>
      <c r="J363" s="7">
        <v>34.99</v>
      </c>
      <c r="K363" s="8">
        <v>0.15</v>
      </c>
      <c r="L363" s="9">
        <v>29.741500000000002</v>
      </c>
      <c r="M363" s="9">
        <v>16</v>
      </c>
      <c r="N363" s="9">
        <v>13.741500000000002</v>
      </c>
    </row>
    <row r="364" spans="1:14">
      <c r="A364" t="s">
        <v>731</v>
      </c>
      <c r="B364" s="6">
        <v>45877</v>
      </c>
      <c r="C364" t="s">
        <v>170</v>
      </c>
      <c r="D364" t="s">
        <v>78</v>
      </c>
      <c r="E364" t="s">
        <v>52</v>
      </c>
      <c r="F364" t="s">
        <v>60</v>
      </c>
      <c r="G364" t="s">
        <v>86</v>
      </c>
      <c r="H364" t="s">
        <v>48</v>
      </c>
      <c r="I364">
        <v>2</v>
      </c>
      <c r="J364" s="7">
        <v>34.99</v>
      </c>
      <c r="K364" s="8">
        <v>0</v>
      </c>
      <c r="L364" s="9">
        <v>69.98</v>
      </c>
      <c r="M364" s="9">
        <v>32</v>
      </c>
      <c r="N364" s="9">
        <v>37.980000000000004</v>
      </c>
    </row>
    <row r="365" spans="1:14">
      <c r="A365" t="s">
        <v>732</v>
      </c>
      <c r="B365" s="6">
        <v>46006</v>
      </c>
      <c r="C365" t="s">
        <v>376</v>
      </c>
      <c r="D365" t="s">
        <v>79</v>
      </c>
      <c r="E365" t="s">
        <v>52</v>
      </c>
      <c r="F365" t="s">
        <v>59</v>
      </c>
      <c r="G365" t="s">
        <v>92</v>
      </c>
      <c r="H365" t="s">
        <v>57</v>
      </c>
      <c r="I365">
        <v>1</v>
      </c>
      <c r="J365" s="7">
        <v>22</v>
      </c>
      <c r="K365" s="8">
        <v>0.1</v>
      </c>
      <c r="L365" s="9">
        <v>19.8</v>
      </c>
      <c r="M365" s="9">
        <v>7.5</v>
      </c>
      <c r="N365" s="9">
        <v>12.3</v>
      </c>
    </row>
    <row r="366" spans="1:14">
      <c r="A366" t="s">
        <v>733</v>
      </c>
      <c r="B366" s="6">
        <v>45694</v>
      </c>
      <c r="C366" t="s">
        <v>572</v>
      </c>
      <c r="D366" t="s">
        <v>78</v>
      </c>
      <c r="E366" t="s">
        <v>55</v>
      </c>
      <c r="F366" t="s">
        <v>56</v>
      </c>
      <c r="G366" t="s">
        <v>88</v>
      </c>
      <c r="H366" t="s">
        <v>51</v>
      </c>
      <c r="I366">
        <v>1</v>
      </c>
      <c r="J366" s="7">
        <v>42</v>
      </c>
      <c r="K366" s="8">
        <v>0.1</v>
      </c>
      <c r="L366" s="9">
        <v>37.800000000000004</v>
      </c>
      <c r="M366" s="9">
        <v>19</v>
      </c>
      <c r="N366" s="9">
        <v>18.800000000000004</v>
      </c>
    </row>
    <row r="367" spans="1:14">
      <c r="A367" t="s">
        <v>734</v>
      </c>
      <c r="B367" s="6">
        <v>45728</v>
      </c>
      <c r="C367" t="s">
        <v>735</v>
      </c>
      <c r="D367" t="s">
        <v>78</v>
      </c>
      <c r="E367" t="s">
        <v>52</v>
      </c>
      <c r="F367" t="s">
        <v>50</v>
      </c>
      <c r="G367" t="s">
        <v>91</v>
      </c>
      <c r="H367" t="s">
        <v>57</v>
      </c>
      <c r="I367">
        <v>2</v>
      </c>
      <c r="J367" s="7">
        <v>35</v>
      </c>
      <c r="K367" s="8">
        <v>0.1</v>
      </c>
      <c r="L367" s="9">
        <v>63</v>
      </c>
      <c r="M367" s="9">
        <v>28</v>
      </c>
      <c r="N367" s="9">
        <v>35</v>
      </c>
    </row>
    <row r="368" spans="1:14">
      <c r="A368" t="s">
        <v>736</v>
      </c>
      <c r="B368" s="6">
        <v>45929</v>
      </c>
      <c r="C368" t="s">
        <v>737</v>
      </c>
      <c r="D368" t="s">
        <v>78</v>
      </c>
      <c r="E368" t="s">
        <v>52</v>
      </c>
      <c r="F368" t="s">
        <v>53</v>
      </c>
      <c r="G368" t="s">
        <v>94</v>
      </c>
      <c r="H368" t="s">
        <v>51</v>
      </c>
      <c r="I368">
        <v>1</v>
      </c>
      <c r="J368" s="7">
        <v>18</v>
      </c>
      <c r="K368" s="8">
        <v>0.05</v>
      </c>
      <c r="L368" s="9">
        <v>17.099999999999998</v>
      </c>
      <c r="M368" s="9">
        <v>5.5</v>
      </c>
      <c r="N368" s="9">
        <v>11.599999999999998</v>
      </c>
    </row>
    <row r="369" spans="1:14">
      <c r="A369" t="s">
        <v>738</v>
      </c>
      <c r="B369" s="6">
        <v>45868</v>
      </c>
      <c r="C369" t="s">
        <v>739</v>
      </c>
      <c r="D369" t="s">
        <v>78</v>
      </c>
      <c r="E369" t="s">
        <v>52</v>
      </c>
      <c r="F369" t="s">
        <v>50</v>
      </c>
      <c r="G369" t="s">
        <v>94</v>
      </c>
      <c r="H369" t="s">
        <v>51</v>
      </c>
      <c r="I369">
        <v>2</v>
      </c>
      <c r="J369" s="7">
        <v>18</v>
      </c>
      <c r="K369" s="8">
        <v>0.15</v>
      </c>
      <c r="L369" s="9">
        <v>30.599999999999998</v>
      </c>
      <c r="M369" s="9">
        <v>11</v>
      </c>
      <c r="N369" s="9">
        <v>19.599999999999998</v>
      </c>
    </row>
    <row r="370" spans="1:14">
      <c r="A370" t="s">
        <v>740</v>
      </c>
      <c r="B370" s="6">
        <v>45959</v>
      </c>
      <c r="C370" t="s">
        <v>330</v>
      </c>
      <c r="D370" t="s">
        <v>79</v>
      </c>
      <c r="E370" t="s">
        <v>55</v>
      </c>
      <c r="F370" t="s">
        <v>50</v>
      </c>
      <c r="G370" t="s">
        <v>91</v>
      </c>
      <c r="H370" t="s">
        <v>57</v>
      </c>
      <c r="I370">
        <v>1</v>
      </c>
      <c r="J370" s="7">
        <v>35</v>
      </c>
      <c r="K370" s="8">
        <v>0</v>
      </c>
      <c r="L370" s="9">
        <v>35</v>
      </c>
      <c r="M370" s="9">
        <v>14</v>
      </c>
      <c r="N370" s="9">
        <v>21</v>
      </c>
    </row>
    <row r="371" spans="1:14">
      <c r="A371" t="s">
        <v>741</v>
      </c>
      <c r="B371" s="6">
        <v>45785</v>
      </c>
      <c r="C371" t="s">
        <v>450</v>
      </c>
      <c r="D371" t="s">
        <v>78</v>
      </c>
      <c r="E371" t="s">
        <v>49</v>
      </c>
      <c r="F371" t="s">
        <v>56</v>
      </c>
      <c r="G371" t="s">
        <v>93</v>
      </c>
      <c r="H371" t="s">
        <v>54</v>
      </c>
      <c r="I371">
        <v>2</v>
      </c>
      <c r="J371" s="7">
        <v>68</v>
      </c>
      <c r="K371" s="8">
        <v>0.1</v>
      </c>
      <c r="L371" s="9">
        <v>122.4</v>
      </c>
      <c r="M371" s="9">
        <v>62</v>
      </c>
      <c r="N371" s="9">
        <v>60.400000000000006</v>
      </c>
    </row>
    <row r="372" spans="1:14">
      <c r="A372" t="s">
        <v>742</v>
      </c>
      <c r="B372" s="6">
        <v>45763</v>
      </c>
      <c r="C372" t="s">
        <v>743</v>
      </c>
      <c r="D372" t="s">
        <v>78</v>
      </c>
      <c r="E372" t="s">
        <v>49</v>
      </c>
      <c r="F372" t="s">
        <v>53</v>
      </c>
      <c r="G372" t="s">
        <v>93</v>
      </c>
      <c r="H372" t="s">
        <v>54</v>
      </c>
      <c r="I372">
        <v>2</v>
      </c>
      <c r="J372" s="7">
        <v>68</v>
      </c>
      <c r="K372" s="8">
        <v>0</v>
      </c>
      <c r="L372" s="9">
        <v>136</v>
      </c>
      <c r="M372" s="9">
        <v>62</v>
      </c>
      <c r="N372" s="9">
        <v>74</v>
      </c>
    </row>
    <row r="373" spans="1:14">
      <c r="A373" t="s">
        <v>744</v>
      </c>
      <c r="B373" s="6">
        <v>45911</v>
      </c>
      <c r="C373" t="s">
        <v>213</v>
      </c>
      <c r="D373" t="s">
        <v>79</v>
      </c>
      <c r="E373" t="s">
        <v>49</v>
      </c>
      <c r="F373" t="s">
        <v>56</v>
      </c>
      <c r="G373" t="s">
        <v>91</v>
      </c>
      <c r="H373" t="s">
        <v>57</v>
      </c>
      <c r="I373">
        <v>1</v>
      </c>
      <c r="J373" s="7">
        <v>35</v>
      </c>
      <c r="K373" s="8">
        <v>0.05</v>
      </c>
      <c r="L373" s="9">
        <v>33.25</v>
      </c>
      <c r="M373" s="9">
        <v>14</v>
      </c>
      <c r="N373" s="9">
        <v>19.25</v>
      </c>
    </row>
    <row r="374" spans="1:14">
      <c r="A374" t="s">
        <v>745</v>
      </c>
      <c r="B374" s="6">
        <v>45820</v>
      </c>
      <c r="C374" t="s">
        <v>746</v>
      </c>
      <c r="D374" t="s">
        <v>78</v>
      </c>
      <c r="E374" t="s">
        <v>52</v>
      </c>
      <c r="F374" t="s">
        <v>59</v>
      </c>
      <c r="G374" t="s">
        <v>87</v>
      </c>
      <c r="H374" t="s">
        <v>48</v>
      </c>
      <c r="I374">
        <v>1</v>
      </c>
      <c r="J374" s="7">
        <v>89.99</v>
      </c>
      <c r="K374" s="8">
        <v>0.1</v>
      </c>
      <c r="L374" s="9">
        <v>80.991</v>
      </c>
      <c r="M374" s="9">
        <v>46</v>
      </c>
      <c r="N374" s="9">
        <v>34.991</v>
      </c>
    </row>
    <row r="375" spans="1:14">
      <c r="A375" t="s">
        <v>747</v>
      </c>
      <c r="B375" s="6">
        <v>45695</v>
      </c>
      <c r="C375" t="s">
        <v>587</v>
      </c>
      <c r="D375" t="s">
        <v>78</v>
      </c>
      <c r="E375" t="s">
        <v>58</v>
      </c>
      <c r="F375" t="s">
        <v>60</v>
      </c>
      <c r="G375" t="s">
        <v>85</v>
      </c>
      <c r="H375" t="s">
        <v>48</v>
      </c>
      <c r="I375">
        <v>1</v>
      </c>
      <c r="J375" s="7">
        <v>59.99</v>
      </c>
      <c r="K375" s="8">
        <v>0</v>
      </c>
      <c r="L375" s="9">
        <v>59.99</v>
      </c>
      <c r="M375" s="9">
        <v>28</v>
      </c>
      <c r="N375" s="9">
        <v>31.990000000000002</v>
      </c>
    </row>
    <row r="376" spans="1:14">
      <c r="A376" t="s">
        <v>748</v>
      </c>
      <c r="B376" s="6">
        <v>45804</v>
      </c>
      <c r="C376" t="s">
        <v>749</v>
      </c>
      <c r="D376" t="s">
        <v>78</v>
      </c>
      <c r="E376" t="s">
        <v>52</v>
      </c>
      <c r="F376" t="s">
        <v>56</v>
      </c>
      <c r="G376" t="s">
        <v>93</v>
      </c>
      <c r="H376" t="s">
        <v>54</v>
      </c>
      <c r="I376">
        <v>2</v>
      </c>
      <c r="J376" s="7">
        <v>68</v>
      </c>
      <c r="K376" s="8">
        <v>0</v>
      </c>
      <c r="L376" s="9">
        <v>136</v>
      </c>
      <c r="M376" s="9">
        <v>62</v>
      </c>
      <c r="N376" s="9">
        <v>74</v>
      </c>
    </row>
    <row r="377" spans="1:14">
      <c r="A377" t="s">
        <v>750</v>
      </c>
      <c r="B377" s="6">
        <v>45700</v>
      </c>
      <c r="C377" t="s">
        <v>362</v>
      </c>
      <c r="D377" t="s">
        <v>79</v>
      </c>
      <c r="E377" t="s">
        <v>55</v>
      </c>
      <c r="F377" t="s">
        <v>59</v>
      </c>
      <c r="G377" t="s">
        <v>89</v>
      </c>
      <c r="H377" t="s">
        <v>51</v>
      </c>
      <c r="I377">
        <v>1</v>
      </c>
      <c r="J377" s="7">
        <v>38</v>
      </c>
      <c r="K377" s="8">
        <v>0.15</v>
      </c>
      <c r="L377" s="9">
        <v>32.299999999999997</v>
      </c>
      <c r="M377" s="9">
        <v>17</v>
      </c>
      <c r="N377" s="9">
        <v>15.299999999999997</v>
      </c>
    </row>
    <row r="378" spans="1:14">
      <c r="A378" t="s">
        <v>751</v>
      </c>
      <c r="B378" s="6">
        <v>45958</v>
      </c>
      <c r="C378" t="s">
        <v>752</v>
      </c>
      <c r="D378" t="s">
        <v>79</v>
      </c>
      <c r="E378" t="s">
        <v>49</v>
      </c>
      <c r="F378" t="s">
        <v>53</v>
      </c>
      <c r="G378" t="s">
        <v>86</v>
      </c>
      <c r="H378" t="s">
        <v>48</v>
      </c>
      <c r="I378">
        <v>1</v>
      </c>
      <c r="J378" s="7">
        <v>34.99</v>
      </c>
      <c r="K378" s="8">
        <v>0</v>
      </c>
      <c r="L378" s="9">
        <v>34.99</v>
      </c>
      <c r="M378" s="9">
        <v>16</v>
      </c>
      <c r="N378" s="9">
        <v>18.990000000000002</v>
      </c>
    </row>
    <row r="379" spans="1:14">
      <c r="A379" t="s">
        <v>753</v>
      </c>
      <c r="B379" s="6">
        <v>45702</v>
      </c>
      <c r="C379" t="s">
        <v>754</v>
      </c>
      <c r="D379" t="s">
        <v>78</v>
      </c>
      <c r="E379" t="s">
        <v>52</v>
      </c>
      <c r="F379" t="s">
        <v>50</v>
      </c>
      <c r="G379" t="s">
        <v>91</v>
      </c>
      <c r="H379" t="s">
        <v>57</v>
      </c>
      <c r="I379">
        <v>1</v>
      </c>
      <c r="J379" s="7">
        <v>35</v>
      </c>
      <c r="K379" s="8">
        <v>0.05</v>
      </c>
      <c r="L379" s="9">
        <v>33.25</v>
      </c>
      <c r="M379" s="9">
        <v>14</v>
      </c>
      <c r="N379" s="9">
        <v>19.25</v>
      </c>
    </row>
    <row r="380" spans="1:14">
      <c r="A380" t="s">
        <v>755</v>
      </c>
      <c r="B380" s="6">
        <v>45664</v>
      </c>
      <c r="C380" t="s">
        <v>206</v>
      </c>
      <c r="D380" t="s">
        <v>79</v>
      </c>
      <c r="E380" t="s">
        <v>55</v>
      </c>
      <c r="F380" t="s">
        <v>53</v>
      </c>
      <c r="G380" t="s">
        <v>87</v>
      </c>
      <c r="H380" t="s">
        <v>48</v>
      </c>
      <c r="I380">
        <v>2</v>
      </c>
      <c r="J380" s="7">
        <v>89.99</v>
      </c>
      <c r="K380" s="8">
        <v>0</v>
      </c>
      <c r="L380" s="9">
        <v>179.98</v>
      </c>
      <c r="M380" s="9">
        <v>92</v>
      </c>
      <c r="N380" s="9">
        <v>87.97999999999999</v>
      </c>
    </row>
    <row r="381" spans="1:14">
      <c r="A381" t="s">
        <v>756</v>
      </c>
      <c r="B381" s="6">
        <v>45848</v>
      </c>
      <c r="C381" t="s">
        <v>587</v>
      </c>
      <c r="D381" t="s">
        <v>79</v>
      </c>
      <c r="E381" t="s">
        <v>49</v>
      </c>
      <c r="F381" t="s">
        <v>56</v>
      </c>
      <c r="G381" t="s">
        <v>87</v>
      </c>
      <c r="H381" t="s">
        <v>48</v>
      </c>
      <c r="I381">
        <v>2</v>
      </c>
      <c r="J381" s="7">
        <v>89.99</v>
      </c>
      <c r="K381" s="8">
        <v>0.15</v>
      </c>
      <c r="L381" s="9">
        <v>152.98299999999998</v>
      </c>
      <c r="M381" s="9">
        <v>92</v>
      </c>
      <c r="N381" s="9">
        <v>60.982999999999976</v>
      </c>
    </row>
    <row r="382" spans="1:14">
      <c r="A382" t="s">
        <v>757</v>
      </c>
      <c r="B382" s="6">
        <v>45877</v>
      </c>
      <c r="C382" t="s">
        <v>758</v>
      </c>
      <c r="D382" t="s">
        <v>79</v>
      </c>
      <c r="E382" t="s">
        <v>58</v>
      </c>
      <c r="F382" t="s">
        <v>59</v>
      </c>
      <c r="G382" t="s">
        <v>89</v>
      </c>
      <c r="H382" t="s">
        <v>51</v>
      </c>
      <c r="I382">
        <v>1</v>
      </c>
      <c r="J382" s="7">
        <v>38</v>
      </c>
      <c r="K382" s="8">
        <v>0</v>
      </c>
      <c r="L382" s="9">
        <v>38</v>
      </c>
      <c r="M382" s="9">
        <v>17</v>
      </c>
      <c r="N382" s="9">
        <v>21</v>
      </c>
    </row>
    <row r="383" spans="1:14">
      <c r="A383" t="s">
        <v>759</v>
      </c>
      <c r="B383" s="6">
        <v>45919</v>
      </c>
      <c r="C383" t="s">
        <v>528</v>
      </c>
      <c r="D383" t="s">
        <v>78</v>
      </c>
      <c r="E383" t="s">
        <v>55</v>
      </c>
      <c r="F383" t="s">
        <v>50</v>
      </c>
      <c r="G383" t="s">
        <v>90</v>
      </c>
      <c r="H383" t="s">
        <v>54</v>
      </c>
      <c r="I383">
        <v>1</v>
      </c>
      <c r="J383" s="7">
        <v>29</v>
      </c>
      <c r="K383" s="8">
        <v>0.15</v>
      </c>
      <c r="L383" s="9">
        <v>24.65</v>
      </c>
      <c r="M383" s="9">
        <v>11</v>
      </c>
      <c r="N383" s="9">
        <v>13.649999999999999</v>
      </c>
    </row>
    <row r="384" spans="1:14">
      <c r="A384" t="s">
        <v>760</v>
      </c>
      <c r="B384" s="6">
        <v>45951</v>
      </c>
      <c r="C384" t="s">
        <v>761</v>
      </c>
      <c r="D384" t="s">
        <v>78</v>
      </c>
      <c r="E384" t="s">
        <v>52</v>
      </c>
      <c r="F384" t="s">
        <v>50</v>
      </c>
      <c r="G384" t="s">
        <v>86</v>
      </c>
      <c r="H384" t="s">
        <v>48</v>
      </c>
      <c r="I384">
        <v>1</v>
      </c>
      <c r="J384" s="7">
        <v>34.99</v>
      </c>
      <c r="K384" s="8">
        <v>0.05</v>
      </c>
      <c r="L384" s="9">
        <v>33.240499999999997</v>
      </c>
      <c r="M384" s="9">
        <v>16</v>
      </c>
      <c r="N384" s="9">
        <v>17.240499999999997</v>
      </c>
    </row>
    <row r="385" spans="1:14">
      <c r="A385" t="s">
        <v>762</v>
      </c>
      <c r="B385" s="6">
        <v>45899</v>
      </c>
      <c r="C385" t="s">
        <v>447</v>
      </c>
      <c r="D385" t="s">
        <v>79</v>
      </c>
      <c r="E385" t="s">
        <v>58</v>
      </c>
      <c r="F385" t="s">
        <v>53</v>
      </c>
      <c r="G385" t="s">
        <v>90</v>
      </c>
      <c r="H385" t="s">
        <v>54</v>
      </c>
      <c r="I385">
        <v>1</v>
      </c>
      <c r="J385" s="7">
        <v>29</v>
      </c>
      <c r="K385" s="8">
        <v>0</v>
      </c>
      <c r="L385" s="9">
        <v>29</v>
      </c>
      <c r="M385" s="9">
        <v>11</v>
      </c>
      <c r="N385" s="9">
        <v>18</v>
      </c>
    </row>
    <row r="386" spans="1:14">
      <c r="A386" t="s">
        <v>763</v>
      </c>
      <c r="B386" s="6">
        <v>45822</v>
      </c>
      <c r="C386" t="s">
        <v>362</v>
      </c>
      <c r="D386" t="s">
        <v>78</v>
      </c>
      <c r="E386" t="s">
        <v>55</v>
      </c>
      <c r="F386" t="s">
        <v>50</v>
      </c>
      <c r="G386" t="s">
        <v>88</v>
      </c>
      <c r="H386" t="s">
        <v>51</v>
      </c>
      <c r="I386">
        <v>1</v>
      </c>
      <c r="J386" s="7">
        <v>42</v>
      </c>
      <c r="K386" s="8">
        <v>0.1</v>
      </c>
      <c r="L386" s="9">
        <v>37.800000000000004</v>
      </c>
      <c r="M386" s="9">
        <v>19</v>
      </c>
      <c r="N386" s="9">
        <v>18.800000000000004</v>
      </c>
    </row>
    <row r="387" spans="1:14">
      <c r="A387" t="s">
        <v>764</v>
      </c>
      <c r="B387" s="6">
        <v>45915</v>
      </c>
      <c r="C387" t="s">
        <v>415</v>
      </c>
      <c r="D387" t="s">
        <v>79</v>
      </c>
      <c r="E387" t="s">
        <v>49</v>
      </c>
      <c r="F387" t="s">
        <v>59</v>
      </c>
      <c r="G387" t="s">
        <v>85</v>
      </c>
      <c r="H387" t="s">
        <v>48</v>
      </c>
      <c r="I387">
        <v>1</v>
      </c>
      <c r="J387" s="7">
        <v>59.99</v>
      </c>
      <c r="K387" s="8">
        <v>0.1</v>
      </c>
      <c r="L387" s="9">
        <v>53.991</v>
      </c>
      <c r="M387" s="9">
        <v>28</v>
      </c>
      <c r="N387" s="9">
        <v>25.991</v>
      </c>
    </row>
    <row r="388" spans="1:14">
      <c r="A388" t="s">
        <v>765</v>
      </c>
      <c r="B388" s="6">
        <v>45802</v>
      </c>
      <c r="C388" t="s">
        <v>415</v>
      </c>
      <c r="D388" t="s">
        <v>78</v>
      </c>
      <c r="E388" t="s">
        <v>55</v>
      </c>
      <c r="F388" t="s">
        <v>60</v>
      </c>
      <c r="G388" t="s">
        <v>89</v>
      </c>
      <c r="H388" t="s">
        <v>51</v>
      </c>
      <c r="I388">
        <v>1</v>
      </c>
      <c r="J388" s="7">
        <v>38</v>
      </c>
      <c r="K388" s="8">
        <v>0.05</v>
      </c>
      <c r="L388" s="9">
        <v>36.1</v>
      </c>
      <c r="M388" s="9">
        <v>17</v>
      </c>
      <c r="N388" s="9">
        <v>19.100000000000001</v>
      </c>
    </row>
    <row r="389" spans="1:14">
      <c r="A389" t="s">
        <v>766</v>
      </c>
      <c r="B389" s="6">
        <v>45813</v>
      </c>
      <c r="C389" t="s">
        <v>327</v>
      </c>
      <c r="D389" t="s">
        <v>79</v>
      </c>
      <c r="E389" t="s">
        <v>52</v>
      </c>
      <c r="F389" t="s">
        <v>53</v>
      </c>
      <c r="G389" t="s">
        <v>94</v>
      </c>
      <c r="H389" t="s">
        <v>51</v>
      </c>
      <c r="I389">
        <v>1</v>
      </c>
      <c r="J389" s="7">
        <v>18</v>
      </c>
      <c r="K389" s="8">
        <v>0</v>
      </c>
      <c r="L389" s="9">
        <v>18</v>
      </c>
      <c r="M389" s="9">
        <v>5.5</v>
      </c>
      <c r="N389" s="9">
        <v>12.5</v>
      </c>
    </row>
    <row r="390" spans="1:14">
      <c r="A390" t="s">
        <v>767</v>
      </c>
      <c r="B390" s="6">
        <v>45661</v>
      </c>
      <c r="C390" t="s">
        <v>649</v>
      </c>
      <c r="D390" t="s">
        <v>79</v>
      </c>
      <c r="E390" t="s">
        <v>55</v>
      </c>
      <c r="F390" t="s">
        <v>50</v>
      </c>
      <c r="G390" t="s">
        <v>91</v>
      </c>
      <c r="H390" t="s">
        <v>57</v>
      </c>
      <c r="I390">
        <v>1</v>
      </c>
      <c r="J390" s="7">
        <v>35</v>
      </c>
      <c r="K390" s="8">
        <v>0.05</v>
      </c>
      <c r="L390" s="9">
        <v>33.25</v>
      </c>
      <c r="M390" s="9">
        <v>14</v>
      </c>
      <c r="N390" s="9">
        <v>19.25</v>
      </c>
    </row>
    <row r="391" spans="1:14">
      <c r="A391" t="s">
        <v>768</v>
      </c>
      <c r="B391" s="6">
        <v>45994</v>
      </c>
      <c r="C391" t="s">
        <v>769</v>
      </c>
      <c r="D391" t="s">
        <v>78</v>
      </c>
      <c r="E391" t="s">
        <v>52</v>
      </c>
      <c r="F391" t="s">
        <v>59</v>
      </c>
      <c r="G391" t="s">
        <v>91</v>
      </c>
      <c r="H391" t="s">
        <v>57</v>
      </c>
      <c r="I391">
        <v>2</v>
      </c>
      <c r="J391" s="7">
        <v>35</v>
      </c>
      <c r="K391" s="8">
        <v>0.1</v>
      </c>
      <c r="L391" s="9">
        <v>63</v>
      </c>
      <c r="M391" s="9">
        <v>28</v>
      </c>
      <c r="N391" s="9">
        <v>35</v>
      </c>
    </row>
    <row r="392" spans="1:14">
      <c r="A392" t="s">
        <v>770</v>
      </c>
      <c r="B392" s="6">
        <v>45909</v>
      </c>
      <c r="C392" t="s">
        <v>295</v>
      </c>
      <c r="D392" t="s">
        <v>78</v>
      </c>
      <c r="E392" t="s">
        <v>52</v>
      </c>
      <c r="F392" t="s">
        <v>60</v>
      </c>
      <c r="G392" t="s">
        <v>85</v>
      </c>
      <c r="H392" t="s">
        <v>48</v>
      </c>
      <c r="I392">
        <v>4</v>
      </c>
      <c r="J392" s="7">
        <v>59.99</v>
      </c>
      <c r="K392" s="8">
        <v>0</v>
      </c>
      <c r="L392" s="9">
        <v>239.96</v>
      </c>
      <c r="M392" s="9">
        <v>112</v>
      </c>
      <c r="N392" s="9">
        <v>127.96000000000001</v>
      </c>
    </row>
    <row r="393" spans="1:14">
      <c r="A393" t="s">
        <v>771</v>
      </c>
      <c r="B393" s="6">
        <v>45869</v>
      </c>
      <c r="C393" t="s">
        <v>475</v>
      </c>
      <c r="D393" t="s">
        <v>79</v>
      </c>
      <c r="E393" t="s">
        <v>52</v>
      </c>
      <c r="F393" t="s">
        <v>59</v>
      </c>
      <c r="G393" t="s">
        <v>90</v>
      </c>
      <c r="H393" t="s">
        <v>54</v>
      </c>
      <c r="I393">
        <v>1</v>
      </c>
      <c r="J393" s="7">
        <v>29</v>
      </c>
      <c r="K393" s="8">
        <v>0.1</v>
      </c>
      <c r="L393" s="9">
        <v>26.1</v>
      </c>
      <c r="M393" s="9">
        <v>11</v>
      </c>
      <c r="N393" s="9">
        <v>15.100000000000001</v>
      </c>
    </row>
    <row r="394" spans="1:14">
      <c r="A394" t="s">
        <v>772</v>
      </c>
      <c r="B394" s="6">
        <v>45696</v>
      </c>
      <c r="C394" t="s">
        <v>716</v>
      </c>
      <c r="D394" t="s">
        <v>79</v>
      </c>
      <c r="E394" t="s">
        <v>55</v>
      </c>
      <c r="F394" t="s">
        <v>56</v>
      </c>
      <c r="G394" t="s">
        <v>94</v>
      </c>
      <c r="H394" t="s">
        <v>51</v>
      </c>
      <c r="I394">
        <v>1</v>
      </c>
      <c r="J394" s="7">
        <v>18</v>
      </c>
      <c r="K394" s="8">
        <v>0</v>
      </c>
      <c r="L394" s="9">
        <v>18</v>
      </c>
      <c r="M394" s="9">
        <v>5.5</v>
      </c>
      <c r="N394" s="9">
        <v>12.5</v>
      </c>
    </row>
    <row r="395" spans="1:14">
      <c r="A395" t="s">
        <v>773</v>
      </c>
      <c r="B395" s="6">
        <v>45819</v>
      </c>
      <c r="C395" t="s">
        <v>507</v>
      </c>
      <c r="D395" t="s">
        <v>78</v>
      </c>
      <c r="E395" t="s">
        <v>52</v>
      </c>
      <c r="F395" t="s">
        <v>50</v>
      </c>
      <c r="G395" t="s">
        <v>91</v>
      </c>
      <c r="H395" t="s">
        <v>57</v>
      </c>
      <c r="I395">
        <v>2</v>
      </c>
      <c r="J395" s="7">
        <v>35</v>
      </c>
      <c r="K395" s="8">
        <v>0.1</v>
      </c>
      <c r="L395" s="9">
        <v>63</v>
      </c>
      <c r="M395" s="9">
        <v>28</v>
      </c>
      <c r="N395" s="9">
        <v>35</v>
      </c>
    </row>
    <row r="396" spans="1:14">
      <c r="A396" t="s">
        <v>774</v>
      </c>
      <c r="B396" s="6">
        <v>45761</v>
      </c>
      <c r="C396" t="s">
        <v>775</v>
      </c>
      <c r="D396" t="s">
        <v>78</v>
      </c>
      <c r="E396" t="s">
        <v>58</v>
      </c>
      <c r="F396" t="s">
        <v>59</v>
      </c>
      <c r="G396" t="s">
        <v>87</v>
      </c>
      <c r="H396" t="s">
        <v>48</v>
      </c>
      <c r="I396">
        <v>2</v>
      </c>
      <c r="J396" s="7">
        <v>89.99</v>
      </c>
      <c r="K396" s="8">
        <v>0.05</v>
      </c>
      <c r="L396" s="9">
        <v>170.98099999999999</v>
      </c>
      <c r="M396" s="9">
        <v>92</v>
      </c>
      <c r="N396" s="9">
        <v>78.980999999999995</v>
      </c>
    </row>
    <row r="397" spans="1:14">
      <c r="A397" t="s">
        <v>776</v>
      </c>
      <c r="B397" s="6">
        <v>45818</v>
      </c>
      <c r="C397" t="s">
        <v>697</v>
      </c>
      <c r="D397" t="s">
        <v>79</v>
      </c>
      <c r="E397" t="s">
        <v>55</v>
      </c>
      <c r="F397" t="s">
        <v>59</v>
      </c>
      <c r="G397" t="s">
        <v>91</v>
      </c>
      <c r="H397" t="s">
        <v>57</v>
      </c>
      <c r="I397">
        <v>1</v>
      </c>
      <c r="J397" s="7">
        <v>35</v>
      </c>
      <c r="K397" s="8">
        <v>0</v>
      </c>
      <c r="L397" s="9">
        <v>35</v>
      </c>
      <c r="M397" s="9">
        <v>14</v>
      </c>
      <c r="N397" s="9">
        <v>21</v>
      </c>
    </row>
    <row r="398" spans="1:14">
      <c r="A398" t="s">
        <v>777</v>
      </c>
      <c r="B398" s="6">
        <v>45793</v>
      </c>
      <c r="C398" t="s">
        <v>445</v>
      </c>
      <c r="D398" t="s">
        <v>78</v>
      </c>
      <c r="E398" t="s">
        <v>49</v>
      </c>
      <c r="F398" t="s">
        <v>53</v>
      </c>
      <c r="G398" t="s">
        <v>86</v>
      </c>
      <c r="H398" t="s">
        <v>48</v>
      </c>
      <c r="I398">
        <v>1</v>
      </c>
      <c r="J398" s="7">
        <v>34.99</v>
      </c>
      <c r="K398" s="8">
        <v>0.1</v>
      </c>
      <c r="L398" s="9">
        <v>31.491000000000003</v>
      </c>
      <c r="M398" s="9">
        <v>16</v>
      </c>
      <c r="N398" s="9">
        <v>15.491000000000003</v>
      </c>
    </row>
    <row r="399" spans="1:14">
      <c r="A399" t="s">
        <v>778</v>
      </c>
      <c r="B399" s="6">
        <v>45825</v>
      </c>
      <c r="C399" t="s">
        <v>487</v>
      </c>
      <c r="D399" t="s">
        <v>78</v>
      </c>
      <c r="E399" t="s">
        <v>49</v>
      </c>
      <c r="F399" t="s">
        <v>56</v>
      </c>
      <c r="G399" t="s">
        <v>87</v>
      </c>
      <c r="H399" t="s">
        <v>48</v>
      </c>
      <c r="I399">
        <v>1</v>
      </c>
      <c r="J399" s="7">
        <v>89.99</v>
      </c>
      <c r="K399" s="8">
        <v>0</v>
      </c>
      <c r="L399" s="9">
        <v>89.99</v>
      </c>
      <c r="M399" s="9">
        <v>46</v>
      </c>
      <c r="N399" s="9">
        <v>43.989999999999995</v>
      </c>
    </row>
    <row r="400" spans="1:14">
      <c r="A400" t="s">
        <v>779</v>
      </c>
      <c r="B400" s="6">
        <v>45791</v>
      </c>
      <c r="C400" t="s">
        <v>390</v>
      </c>
      <c r="D400" t="s">
        <v>78</v>
      </c>
      <c r="E400" t="s">
        <v>52</v>
      </c>
      <c r="F400" t="s">
        <v>50</v>
      </c>
      <c r="G400" t="s">
        <v>87</v>
      </c>
      <c r="H400" t="s">
        <v>48</v>
      </c>
      <c r="I400">
        <v>1</v>
      </c>
      <c r="J400" s="7">
        <v>89.99</v>
      </c>
      <c r="K400" s="8">
        <v>0</v>
      </c>
      <c r="L400" s="9">
        <v>89.99</v>
      </c>
      <c r="M400" s="9">
        <v>46</v>
      </c>
      <c r="N400" s="9">
        <v>43.989999999999995</v>
      </c>
    </row>
    <row r="401" spans="1:14">
      <c r="A401" t="s">
        <v>780</v>
      </c>
      <c r="B401" s="6">
        <v>45894</v>
      </c>
      <c r="C401" t="s">
        <v>781</v>
      </c>
      <c r="D401" t="s">
        <v>78</v>
      </c>
      <c r="E401" t="s">
        <v>52</v>
      </c>
      <c r="F401" t="s">
        <v>53</v>
      </c>
      <c r="G401" t="s">
        <v>86</v>
      </c>
      <c r="H401" t="s">
        <v>48</v>
      </c>
      <c r="I401">
        <v>2</v>
      </c>
      <c r="J401" s="7">
        <v>34.99</v>
      </c>
      <c r="K401" s="8">
        <v>0</v>
      </c>
      <c r="L401" s="9">
        <v>69.98</v>
      </c>
      <c r="M401" s="9">
        <v>32</v>
      </c>
      <c r="N401" s="9">
        <v>37.980000000000004</v>
      </c>
    </row>
    <row r="402" spans="1:14">
      <c r="A402" t="s">
        <v>782</v>
      </c>
      <c r="B402" s="6">
        <v>45759</v>
      </c>
      <c r="C402" t="s">
        <v>783</v>
      </c>
      <c r="D402" t="s">
        <v>79</v>
      </c>
      <c r="E402" t="s">
        <v>55</v>
      </c>
      <c r="F402" t="s">
        <v>50</v>
      </c>
      <c r="G402" t="s">
        <v>91</v>
      </c>
      <c r="H402" t="s">
        <v>57</v>
      </c>
      <c r="I402">
        <v>1</v>
      </c>
      <c r="J402" s="7">
        <v>35</v>
      </c>
      <c r="K402" s="8">
        <v>0.05</v>
      </c>
      <c r="L402" s="9">
        <v>33.25</v>
      </c>
      <c r="M402" s="9">
        <v>14</v>
      </c>
      <c r="N402" s="9">
        <v>19.25</v>
      </c>
    </row>
    <row r="403" spans="1:14">
      <c r="A403" t="s">
        <v>784</v>
      </c>
      <c r="B403" s="6">
        <v>45669</v>
      </c>
      <c r="C403" t="s">
        <v>194</v>
      </c>
      <c r="D403" t="s">
        <v>79</v>
      </c>
      <c r="E403" t="s">
        <v>55</v>
      </c>
      <c r="F403" t="s">
        <v>50</v>
      </c>
      <c r="G403" t="s">
        <v>86</v>
      </c>
      <c r="H403" t="s">
        <v>48</v>
      </c>
      <c r="I403">
        <v>1</v>
      </c>
      <c r="J403" s="7">
        <v>34.99</v>
      </c>
      <c r="K403" s="8">
        <v>0.05</v>
      </c>
      <c r="L403" s="9">
        <v>33.240499999999997</v>
      </c>
      <c r="M403" s="9">
        <v>16</v>
      </c>
      <c r="N403" s="9">
        <v>17.240499999999997</v>
      </c>
    </row>
    <row r="404" spans="1:14">
      <c r="A404" t="s">
        <v>785</v>
      </c>
      <c r="B404" s="6">
        <v>45679</v>
      </c>
      <c r="C404" t="s">
        <v>186</v>
      </c>
      <c r="D404" t="s">
        <v>78</v>
      </c>
      <c r="E404" t="s">
        <v>58</v>
      </c>
      <c r="F404" t="s">
        <v>59</v>
      </c>
      <c r="G404" t="s">
        <v>92</v>
      </c>
      <c r="H404" t="s">
        <v>57</v>
      </c>
      <c r="I404">
        <v>1</v>
      </c>
      <c r="J404" s="7">
        <v>22</v>
      </c>
      <c r="K404" s="8">
        <v>0.15</v>
      </c>
      <c r="L404" s="9">
        <v>18.7</v>
      </c>
      <c r="M404" s="9">
        <v>7.5</v>
      </c>
      <c r="N404" s="9">
        <v>11.2</v>
      </c>
    </row>
    <row r="405" spans="1:14">
      <c r="A405" t="s">
        <v>786</v>
      </c>
      <c r="B405" s="6">
        <v>45673</v>
      </c>
      <c r="C405" t="s">
        <v>180</v>
      </c>
      <c r="D405" t="s">
        <v>78</v>
      </c>
      <c r="E405" t="s">
        <v>55</v>
      </c>
      <c r="F405" t="s">
        <v>56</v>
      </c>
      <c r="G405" t="s">
        <v>91</v>
      </c>
      <c r="H405" t="s">
        <v>57</v>
      </c>
      <c r="I405">
        <v>2</v>
      </c>
      <c r="J405" s="7">
        <v>35</v>
      </c>
      <c r="K405" s="8">
        <v>0</v>
      </c>
      <c r="L405" s="9">
        <v>70</v>
      </c>
      <c r="M405" s="9">
        <v>28</v>
      </c>
      <c r="N405" s="9">
        <v>42</v>
      </c>
    </row>
    <row r="406" spans="1:14">
      <c r="A406" t="s">
        <v>787</v>
      </c>
      <c r="B406" s="6">
        <v>45886</v>
      </c>
      <c r="C406" t="s">
        <v>273</v>
      </c>
      <c r="D406" t="s">
        <v>78</v>
      </c>
      <c r="E406" t="s">
        <v>58</v>
      </c>
      <c r="F406" t="s">
        <v>59</v>
      </c>
      <c r="G406" t="s">
        <v>87</v>
      </c>
      <c r="H406" t="s">
        <v>48</v>
      </c>
      <c r="I406">
        <v>1</v>
      </c>
      <c r="J406" s="7">
        <v>89.99</v>
      </c>
      <c r="K406" s="8">
        <v>0.05</v>
      </c>
      <c r="L406" s="9">
        <v>85.490499999999997</v>
      </c>
      <c r="M406" s="9">
        <v>46</v>
      </c>
      <c r="N406" s="9">
        <v>39.490499999999997</v>
      </c>
    </row>
    <row r="407" spans="1:14">
      <c r="A407" t="s">
        <v>788</v>
      </c>
      <c r="B407" s="6">
        <v>45939</v>
      </c>
      <c r="C407" t="s">
        <v>415</v>
      </c>
      <c r="D407" t="s">
        <v>78</v>
      </c>
      <c r="E407" t="s">
        <v>52</v>
      </c>
      <c r="F407" t="s">
        <v>60</v>
      </c>
      <c r="G407" t="s">
        <v>92</v>
      </c>
      <c r="H407" t="s">
        <v>57</v>
      </c>
      <c r="I407">
        <v>1</v>
      </c>
      <c r="J407" s="7">
        <v>22</v>
      </c>
      <c r="K407" s="8">
        <v>0</v>
      </c>
      <c r="L407" s="9">
        <v>22</v>
      </c>
      <c r="M407" s="9">
        <v>7.5</v>
      </c>
      <c r="N407" s="9">
        <v>14.5</v>
      </c>
    </row>
    <row r="408" spans="1:14">
      <c r="A408" t="s">
        <v>789</v>
      </c>
      <c r="B408" s="6">
        <v>45667</v>
      </c>
      <c r="C408" t="s">
        <v>176</v>
      </c>
      <c r="D408" t="s">
        <v>78</v>
      </c>
      <c r="E408" t="s">
        <v>55</v>
      </c>
      <c r="F408" t="s">
        <v>60</v>
      </c>
      <c r="G408" t="s">
        <v>91</v>
      </c>
      <c r="H408" t="s">
        <v>57</v>
      </c>
      <c r="I408">
        <v>2</v>
      </c>
      <c r="J408" s="7">
        <v>35</v>
      </c>
      <c r="K408" s="8">
        <v>0</v>
      </c>
      <c r="L408" s="9">
        <v>70</v>
      </c>
      <c r="M408" s="9">
        <v>28</v>
      </c>
      <c r="N408" s="9">
        <v>42</v>
      </c>
    </row>
    <row r="409" spans="1:14">
      <c r="A409" t="s">
        <v>790</v>
      </c>
      <c r="B409" s="6">
        <v>45915</v>
      </c>
      <c r="C409" t="s">
        <v>791</v>
      </c>
      <c r="D409" t="s">
        <v>78</v>
      </c>
      <c r="E409" t="s">
        <v>49</v>
      </c>
      <c r="F409" t="s">
        <v>56</v>
      </c>
      <c r="G409" t="s">
        <v>90</v>
      </c>
      <c r="H409" t="s">
        <v>54</v>
      </c>
      <c r="I409">
        <v>1</v>
      </c>
      <c r="J409" s="7">
        <v>29</v>
      </c>
      <c r="K409" s="8">
        <v>0</v>
      </c>
      <c r="L409" s="9">
        <v>29</v>
      </c>
      <c r="M409" s="9">
        <v>11</v>
      </c>
      <c r="N409" s="9">
        <v>18</v>
      </c>
    </row>
    <row r="410" spans="1:14">
      <c r="A410" t="s">
        <v>792</v>
      </c>
      <c r="B410" s="6">
        <v>45687</v>
      </c>
      <c r="C410" t="s">
        <v>793</v>
      </c>
      <c r="D410" t="s">
        <v>79</v>
      </c>
      <c r="E410" t="s">
        <v>49</v>
      </c>
      <c r="F410" t="s">
        <v>53</v>
      </c>
      <c r="G410" t="s">
        <v>92</v>
      </c>
      <c r="H410" t="s">
        <v>57</v>
      </c>
      <c r="I410">
        <v>1</v>
      </c>
      <c r="J410" s="7">
        <v>22</v>
      </c>
      <c r="K410" s="8">
        <v>0.1</v>
      </c>
      <c r="L410" s="9">
        <v>19.8</v>
      </c>
      <c r="M410" s="9">
        <v>7.5</v>
      </c>
      <c r="N410" s="9">
        <v>12.3</v>
      </c>
    </row>
    <row r="411" spans="1:14">
      <c r="A411" t="s">
        <v>794</v>
      </c>
      <c r="B411" s="6">
        <v>45994</v>
      </c>
      <c r="C411" t="s">
        <v>233</v>
      </c>
      <c r="D411" t="s">
        <v>79</v>
      </c>
      <c r="E411" t="s">
        <v>52</v>
      </c>
      <c r="F411" t="s">
        <v>60</v>
      </c>
      <c r="G411" t="s">
        <v>88</v>
      </c>
      <c r="H411" t="s">
        <v>51</v>
      </c>
      <c r="I411">
        <v>1</v>
      </c>
      <c r="J411" s="7">
        <v>42</v>
      </c>
      <c r="K411" s="8">
        <v>0.1</v>
      </c>
      <c r="L411" s="9">
        <v>37.800000000000004</v>
      </c>
      <c r="M411" s="9">
        <v>19</v>
      </c>
      <c r="N411" s="9">
        <v>18.800000000000004</v>
      </c>
    </row>
    <row r="412" spans="1:14">
      <c r="A412" t="s">
        <v>795</v>
      </c>
      <c r="B412" s="6">
        <v>45856</v>
      </c>
      <c r="C412" t="s">
        <v>796</v>
      </c>
      <c r="D412" t="s">
        <v>78</v>
      </c>
      <c r="E412" t="s">
        <v>55</v>
      </c>
      <c r="F412" t="s">
        <v>56</v>
      </c>
      <c r="G412" t="s">
        <v>90</v>
      </c>
      <c r="H412" t="s">
        <v>54</v>
      </c>
      <c r="I412">
        <v>3</v>
      </c>
      <c r="J412" s="7">
        <v>29</v>
      </c>
      <c r="K412" s="8">
        <v>0.2</v>
      </c>
      <c r="L412" s="9">
        <v>69.600000000000009</v>
      </c>
      <c r="M412" s="9">
        <v>33</v>
      </c>
      <c r="N412" s="9">
        <v>36.600000000000009</v>
      </c>
    </row>
    <row r="413" spans="1:14">
      <c r="A413" t="s">
        <v>797</v>
      </c>
      <c r="B413" s="6">
        <v>45960</v>
      </c>
      <c r="C413" t="s">
        <v>468</v>
      </c>
      <c r="D413" t="s">
        <v>78</v>
      </c>
      <c r="E413" t="s">
        <v>52</v>
      </c>
      <c r="F413" t="s">
        <v>59</v>
      </c>
      <c r="G413" t="s">
        <v>85</v>
      </c>
      <c r="H413" t="s">
        <v>48</v>
      </c>
      <c r="I413">
        <v>2</v>
      </c>
      <c r="J413" s="7">
        <v>59.99</v>
      </c>
      <c r="K413" s="8">
        <v>0</v>
      </c>
      <c r="L413" s="9">
        <v>119.98</v>
      </c>
      <c r="M413" s="9">
        <v>56</v>
      </c>
      <c r="N413" s="9">
        <v>63.980000000000004</v>
      </c>
    </row>
    <row r="414" spans="1:14">
      <c r="A414" t="s">
        <v>798</v>
      </c>
      <c r="B414" s="6">
        <v>45935</v>
      </c>
      <c r="C414" t="s">
        <v>454</v>
      </c>
      <c r="D414" t="s">
        <v>78</v>
      </c>
      <c r="E414" t="s">
        <v>52</v>
      </c>
      <c r="F414" t="s">
        <v>50</v>
      </c>
      <c r="G414" t="s">
        <v>89</v>
      </c>
      <c r="H414" t="s">
        <v>51</v>
      </c>
      <c r="I414">
        <v>1</v>
      </c>
      <c r="J414" s="7">
        <v>38</v>
      </c>
      <c r="K414" s="8">
        <v>0</v>
      </c>
      <c r="L414" s="9">
        <v>38</v>
      </c>
      <c r="M414" s="9">
        <v>17</v>
      </c>
      <c r="N414" s="9">
        <v>21</v>
      </c>
    </row>
    <row r="415" spans="1:14">
      <c r="A415" t="s">
        <v>799</v>
      </c>
      <c r="B415" s="6">
        <v>45927</v>
      </c>
      <c r="C415" t="s">
        <v>425</v>
      </c>
      <c r="D415" t="s">
        <v>78</v>
      </c>
      <c r="E415" t="s">
        <v>55</v>
      </c>
      <c r="F415" t="s">
        <v>53</v>
      </c>
      <c r="G415" t="s">
        <v>92</v>
      </c>
      <c r="H415" t="s">
        <v>57</v>
      </c>
      <c r="I415">
        <v>1</v>
      </c>
      <c r="J415" s="7">
        <v>22</v>
      </c>
      <c r="K415" s="8">
        <v>0.15</v>
      </c>
      <c r="L415" s="9">
        <v>18.7</v>
      </c>
      <c r="M415" s="9">
        <v>7.5</v>
      </c>
      <c r="N415" s="9">
        <v>11.2</v>
      </c>
    </row>
    <row r="416" spans="1:14">
      <c r="A416" t="s">
        <v>800</v>
      </c>
      <c r="B416" s="6">
        <v>45823</v>
      </c>
      <c r="C416" t="s">
        <v>537</v>
      </c>
      <c r="D416" t="s">
        <v>79</v>
      </c>
      <c r="E416" t="s">
        <v>55</v>
      </c>
      <c r="F416" t="s">
        <v>50</v>
      </c>
      <c r="G416" t="s">
        <v>85</v>
      </c>
      <c r="H416" t="s">
        <v>48</v>
      </c>
      <c r="I416">
        <v>1</v>
      </c>
      <c r="J416" s="7">
        <v>59.99</v>
      </c>
      <c r="K416" s="8">
        <v>0.05</v>
      </c>
      <c r="L416" s="9">
        <v>56.990499999999997</v>
      </c>
      <c r="M416" s="9">
        <v>28</v>
      </c>
      <c r="N416" s="9">
        <v>28.990499999999997</v>
      </c>
    </row>
    <row r="417" spans="1:14">
      <c r="A417" t="s">
        <v>801</v>
      </c>
      <c r="B417" s="6">
        <v>45849</v>
      </c>
      <c r="C417" t="s">
        <v>528</v>
      </c>
      <c r="D417" t="s">
        <v>78</v>
      </c>
      <c r="E417" t="s">
        <v>58</v>
      </c>
      <c r="F417" t="s">
        <v>59</v>
      </c>
      <c r="G417" t="s">
        <v>91</v>
      </c>
      <c r="H417" t="s">
        <v>57</v>
      </c>
      <c r="I417">
        <v>1</v>
      </c>
      <c r="J417" s="7">
        <v>35</v>
      </c>
      <c r="K417" s="8">
        <v>0</v>
      </c>
      <c r="L417" s="9">
        <v>35</v>
      </c>
      <c r="M417" s="9">
        <v>14</v>
      </c>
      <c r="N417" s="9">
        <v>21</v>
      </c>
    </row>
    <row r="418" spans="1:14">
      <c r="A418" t="s">
        <v>802</v>
      </c>
      <c r="B418" s="6">
        <v>45990</v>
      </c>
      <c r="C418" t="s">
        <v>222</v>
      </c>
      <c r="D418" t="s">
        <v>79</v>
      </c>
      <c r="E418" t="s">
        <v>55</v>
      </c>
      <c r="F418" t="s">
        <v>53</v>
      </c>
      <c r="G418" t="s">
        <v>90</v>
      </c>
      <c r="H418" t="s">
        <v>54</v>
      </c>
      <c r="I418">
        <v>1</v>
      </c>
      <c r="J418" s="7">
        <v>29</v>
      </c>
      <c r="K418" s="8">
        <v>0.2</v>
      </c>
      <c r="L418" s="9">
        <v>23.200000000000003</v>
      </c>
      <c r="M418" s="9">
        <v>11</v>
      </c>
      <c r="N418" s="9">
        <v>12.200000000000003</v>
      </c>
    </row>
    <row r="419" spans="1:14">
      <c r="A419" t="s">
        <v>803</v>
      </c>
      <c r="B419" s="6">
        <v>45998</v>
      </c>
      <c r="C419" t="s">
        <v>369</v>
      </c>
      <c r="D419" t="s">
        <v>79</v>
      </c>
      <c r="E419" t="s">
        <v>52</v>
      </c>
      <c r="F419" t="s">
        <v>53</v>
      </c>
      <c r="G419" t="s">
        <v>94</v>
      </c>
      <c r="H419" t="s">
        <v>51</v>
      </c>
      <c r="I419">
        <v>2</v>
      </c>
      <c r="J419" s="7">
        <v>18</v>
      </c>
      <c r="K419" s="8">
        <v>0</v>
      </c>
      <c r="L419" s="9">
        <v>36</v>
      </c>
      <c r="M419" s="9">
        <v>11</v>
      </c>
      <c r="N419" s="9">
        <v>25</v>
      </c>
    </row>
    <row r="420" spans="1:14">
      <c r="A420" t="s">
        <v>804</v>
      </c>
      <c r="B420" s="6">
        <v>45658</v>
      </c>
      <c r="C420" t="s">
        <v>500</v>
      </c>
      <c r="D420" t="s">
        <v>79</v>
      </c>
      <c r="E420" t="s">
        <v>52</v>
      </c>
      <c r="F420" t="s">
        <v>60</v>
      </c>
      <c r="G420" t="s">
        <v>94</v>
      </c>
      <c r="H420" t="s">
        <v>51</v>
      </c>
      <c r="I420">
        <v>1</v>
      </c>
      <c r="J420" s="7">
        <v>18</v>
      </c>
      <c r="K420" s="8">
        <v>0.2</v>
      </c>
      <c r="L420" s="9">
        <v>14.4</v>
      </c>
      <c r="M420" s="9">
        <v>5.5</v>
      </c>
      <c r="N420" s="9">
        <v>8.9</v>
      </c>
    </row>
    <row r="421" spans="1:14">
      <c r="A421" t="s">
        <v>805</v>
      </c>
      <c r="B421" s="6">
        <v>45820</v>
      </c>
      <c r="C421" t="s">
        <v>806</v>
      </c>
      <c r="D421" t="s">
        <v>79</v>
      </c>
      <c r="E421" t="s">
        <v>55</v>
      </c>
      <c r="F421" t="s">
        <v>50</v>
      </c>
      <c r="G421" t="s">
        <v>94</v>
      </c>
      <c r="H421" t="s">
        <v>51</v>
      </c>
      <c r="I421">
        <v>1</v>
      </c>
      <c r="J421" s="7">
        <v>18</v>
      </c>
      <c r="K421" s="8">
        <v>0.05</v>
      </c>
      <c r="L421" s="9">
        <v>17.099999999999998</v>
      </c>
      <c r="M421" s="9">
        <v>5.5</v>
      </c>
      <c r="N421" s="9">
        <v>11.599999999999998</v>
      </c>
    </row>
    <row r="422" spans="1:14">
      <c r="A422" t="s">
        <v>807</v>
      </c>
      <c r="B422" s="6">
        <v>45779</v>
      </c>
      <c r="C422" t="s">
        <v>295</v>
      </c>
      <c r="D422" t="s">
        <v>79</v>
      </c>
      <c r="E422" t="s">
        <v>55</v>
      </c>
      <c r="F422" t="s">
        <v>59</v>
      </c>
      <c r="G422" t="s">
        <v>90</v>
      </c>
      <c r="H422" t="s">
        <v>54</v>
      </c>
      <c r="I422">
        <v>4</v>
      </c>
      <c r="J422" s="7">
        <v>29</v>
      </c>
      <c r="K422" s="8">
        <v>0</v>
      </c>
      <c r="L422" s="9">
        <v>116</v>
      </c>
      <c r="M422" s="9">
        <v>44</v>
      </c>
      <c r="N422" s="9">
        <v>72</v>
      </c>
    </row>
    <row r="423" spans="1:14">
      <c r="A423" t="s">
        <v>808</v>
      </c>
      <c r="B423" s="6">
        <v>45663</v>
      </c>
      <c r="C423" t="s">
        <v>606</v>
      </c>
      <c r="D423" t="s">
        <v>78</v>
      </c>
      <c r="E423" t="s">
        <v>49</v>
      </c>
      <c r="F423" t="s">
        <v>50</v>
      </c>
      <c r="G423" t="s">
        <v>89</v>
      </c>
      <c r="H423" t="s">
        <v>51</v>
      </c>
      <c r="I423">
        <v>1</v>
      </c>
      <c r="J423" s="7">
        <v>38</v>
      </c>
      <c r="K423" s="8">
        <v>0.1</v>
      </c>
      <c r="L423" s="9">
        <v>34.200000000000003</v>
      </c>
      <c r="M423" s="9">
        <v>17</v>
      </c>
      <c r="N423" s="9">
        <v>17.200000000000003</v>
      </c>
    </row>
    <row r="424" spans="1:14">
      <c r="A424" t="s">
        <v>809</v>
      </c>
      <c r="B424" s="6">
        <v>45855</v>
      </c>
      <c r="C424" t="s">
        <v>676</v>
      </c>
      <c r="D424" t="s">
        <v>79</v>
      </c>
      <c r="E424" t="s">
        <v>58</v>
      </c>
      <c r="F424" t="s">
        <v>56</v>
      </c>
      <c r="G424" t="s">
        <v>92</v>
      </c>
      <c r="H424" t="s">
        <v>57</v>
      </c>
      <c r="I424">
        <v>2</v>
      </c>
      <c r="J424" s="7">
        <v>22</v>
      </c>
      <c r="K424" s="8">
        <v>0.2</v>
      </c>
      <c r="L424" s="9">
        <v>35.200000000000003</v>
      </c>
      <c r="M424" s="9">
        <v>15</v>
      </c>
      <c r="N424" s="9">
        <v>20.200000000000003</v>
      </c>
    </row>
    <row r="425" spans="1:14">
      <c r="A425" t="s">
        <v>810</v>
      </c>
      <c r="B425" s="6">
        <v>45937</v>
      </c>
      <c r="C425" t="s">
        <v>279</v>
      </c>
      <c r="D425" t="s">
        <v>79</v>
      </c>
      <c r="E425" t="s">
        <v>52</v>
      </c>
      <c r="F425" t="s">
        <v>59</v>
      </c>
      <c r="G425" t="s">
        <v>91</v>
      </c>
      <c r="H425" t="s">
        <v>57</v>
      </c>
      <c r="I425">
        <v>1</v>
      </c>
      <c r="J425" s="7">
        <v>35</v>
      </c>
      <c r="K425" s="8">
        <v>0</v>
      </c>
      <c r="L425" s="9">
        <v>35</v>
      </c>
      <c r="M425" s="9">
        <v>14</v>
      </c>
      <c r="N425" s="9">
        <v>21</v>
      </c>
    </row>
    <row r="426" spans="1:14">
      <c r="A426" t="s">
        <v>811</v>
      </c>
      <c r="B426" s="6">
        <v>45695</v>
      </c>
      <c r="C426" t="s">
        <v>154</v>
      </c>
      <c r="D426" t="s">
        <v>79</v>
      </c>
      <c r="E426" t="s">
        <v>55</v>
      </c>
      <c r="F426" t="s">
        <v>53</v>
      </c>
      <c r="G426" t="s">
        <v>85</v>
      </c>
      <c r="H426" t="s">
        <v>48</v>
      </c>
      <c r="I426">
        <v>1</v>
      </c>
      <c r="J426" s="7">
        <v>59.99</v>
      </c>
      <c r="K426" s="8">
        <v>0</v>
      </c>
      <c r="L426" s="9">
        <v>59.99</v>
      </c>
      <c r="M426" s="9">
        <v>28</v>
      </c>
      <c r="N426" s="9">
        <v>31.990000000000002</v>
      </c>
    </row>
    <row r="427" spans="1:14">
      <c r="A427" t="s">
        <v>812</v>
      </c>
      <c r="B427" s="6">
        <v>45850</v>
      </c>
      <c r="C427" t="s">
        <v>194</v>
      </c>
      <c r="D427" t="s">
        <v>79</v>
      </c>
      <c r="E427" t="s">
        <v>55</v>
      </c>
      <c r="F427" t="s">
        <v>60</v>
      </c>
      <c r="G427" t="s">
        <v>87</v>
      </c>
      <c r="H427" t="s">
        <v>48</v>
      </c>
      <c r="I427">
        <v>2</v>
      </c>
      <c r="J427" s="7">
        <v>89.99</v>
      </c>
      <c r="K427" s="8">
        <v>0.05</v>
      </c>
      <c r="L427" s="9">
        <v>170.98099999999999</v>
      </c>
      <c r="M427" s="9">
        <v>92</v>
      </c>
      <c r="N427" s="9">
        <v>78.980999999999995</v>
      </c>
    </row>
    <row r="428" spans="1:14">
      <c r="A428" t="s">
        <v>813</v>
      </c>
      <c r="B428" s="6">
        <v>45972</v>
      </c>
      <c r="C428" t="s">
        <v>541</v>
      </c>
      <c r="D428" t="s">
        <v>79</v>
      </c>
      <c r="E428" t="s">
        <v>58</v>
      </c>
      <c r="F428" t="s">
        <v>53</v>
      </c>
      <c r="G428" t="s">
        <v>92</v>
      </c>
      <c r="H428" t="s">
        <v>57</v>
      </c>
      <c r="I428">
        <v>2</v>
      </c>
      <c r="J428" s="7">
        <v>22</v>
      </c>
      <c r="K428" s="8">
        <v>0</v>
      </c>
      <c r="L428" s="9">
        <v>44</v>
      </c>
      <c r="M428" s="9">
        <v>15</v>
      </c>
      <c r="N428" s="9">
        <v>29</v>
      </c>
    </row>
    <row r="429" spans="1:14">
      <c r="A429" t="s">
        <v>814</v>
      </c>
      <c r="B429" s="6">
        <v>45685</v>
      </c>
      <c r="C429" t="s">
        <v>182</v>
      </c>
      <c r="D429" t="s">
        <v>78</v>
      </c>
      <c r="E429" t="s">
        <v>55</v>
      </c>
      <c r="F429" t="s">
        <v>56</v>
      </c>
      <c r="G429" t="s">
        <v>86</v>
      </c>
      <c r="H429" t="s">
        <v>48</v>
      </c>
      <c r="I429">
        <v>1</v>
      </c>
      <c r="J429" s="7">
        <v>34.99</v>
      </c>
      <c r="K429" s="8">
        <v>0.2</v>
      </c>
      <c r="L429" s="9">
        <v>27.992000000000004</v>
      </c>
      <c r="M429" s="9">
        <v>16</v>
      </c>
      <c r="N429" s="9">
        <v>11.992000000000004</v>
      </c>
    </row>
    <row r="430" spans="1:14">
      <c r="A430" t="s">
        <v>815</v>
      </c>
      <c r="B430" s="6">
        <v>45810</v>
      </c>
      <c r="C430" t="s">
        <v>816</v>
      </c>
      <c r="D430" t="s">
        <v>78</v>
      </c>
      <c r="E430" t="s">
        <v>52</v>
      </c>
      <c r="F430" t="s">
        <v>50</v>
      </c>
      <c r="G430" t="s">
        <v>88</v>
      </c>
      <c r="H430" t="s">
        <v>51</v>
      </c>
      <c r="I430">
        <v>1</v>
      </c>
      <c r="J430" s="7">
        <v>42</v>
      </c>
      <c r="K430" s="8">
        <v>0</v>
      </c>
      <c r="L430" s="9">
        <v>42</v>
      </c>
      <c r="M430" s="9">
        <v>19</v>
      </c>
      <c r="N430" s="9">
        <v>23</v>
      </c>
    </row>
    <row r="431" spans="1:14">
      <c r="A431" t="s">
        <v>817</v>
      </c>
      <c r="B431" s="6">
        <v>45842</v>
      </c>
      <c r="C431" t="s">
        <v>818</v>
      </c>
      <c r="D431" t="s">
        <v>79</v>
      </c>
      <c r="E431" t="s">
        <v>58</v>
      </c>
      <c r="F431" t="s">
        <v>53</v>
      </c>
      <c r="G431" t="s">
        <v>85</v>
      </c>
      <c r="H431" t="s">
        <v>48</v>
      </c>
      <c r="I431">
        <v>1</v>
      </c>
      <c r="J431" s="7">
        <v>59.99</v>
      </c>
      <c r="K431" s="8">
        <v>0</v>
      </c>
      <c r="L431" s="9">
        <v>59.99</v>
      </c>
      <c r="M431" s="9">
        <v>28</v>
      </c>
      <c r="N431" s="9">
        <v>31.990000000000002</v>
      </c>
    </row>
    <row r="432" spans="1:14">
      <c r="A432" t="s">
        <v>819</v>
      </c>
      <c r="B432" s="6">
        <v>45707</v>
      </c>
      <c r="C432" t="s">
        <v>796</v>
      </c>
      <c r="D432" t="s">
        <v>79</v>
      </c>
      <c r="E432" t="s">
        <v>49</v>
      </c>
      <c r="F432" t="s">
        <v>56</v>
      </c>
      <c r="G432" t="s">
        <v>85</v>
      </c>
      <c r="H432" t="s">
        <v>48</v>
      </c>
      <c r="I432">
        <v>1</v>
      </c>
      <c r="J432" s="7">
        <v>59.99</v>
      </c>
      <c r="K432" s="8">
        <v>0.05</v>
      </c>
      <c r="L432" s="9">
        <v>56.990499999999997</v>
      </c>
      <c r="M432" s="9">
        <v>28</v>
      </c>
      <c r="N432" s="9">
        <v>28.990499999999997</v>
      </c>
    </row>
    <row r="433" spans="1:14">
      <c r="A433" t="s">
        <v>820</v>
      </c>
      <c r="B433" s="6">
        <v>45861</v>
      </c>
      <c r="C433" t="s">
        <v>821</v>
      </c>
      <c r="D433" t="s">
        <v>78</v>
      </c>
      <c r="E433" t="s">
        <v>58</v>
      </c>
      <c r="F433" t="s">
        <v>53</v>
      </c>
      <c r="G433" t="s">
        <v>92</v>
      </c>
      <c r="H433" t="s">
        <v>57</v>
      </c>
      <c r="I433">
        <v>1</v>
      </c>
      <c r="J433" s="7">
        <v>22</v>
      </c>
      <c r="K433" s="8">
        <v>0.1</v>
      </c>
      <c r="L433" s="9">
        <v>19.8</v>
      </c>
      <c r="M433" s="9">
        <v>7.5</v>
      </c>
      <c r="N433" s="9">
        <v>12.3</v>
      </c>
    </row>
    <row r="434" spans="1:14">
      <c r="A434" t="s">
        <v>822</v>
      </c>
      <c r="B434" s="6">
        <v>45847</v>
      </c>
      <c r="C434" t="s">
        <v>823</v>
      </c>
      <c r="D434" t="s">
        <v>78</v>
      </c>
      <c r="E434" t="s">
        <v>55</v>
      </c>
      <c r="F434" t="s">
        <v>53</v>
      </c>
      <c r="G434" t="s">
        <v>91</v>
      </c>
      <c r="H434" t="s">
        <v>57</v>
      </c>
      <c r="I434">
        <v>1</v>
      </c>
      <c r="J434" s="7">
        <v>35</v>
      </c>
      <c r="K434" s="8">
        <v>0</v>
      </c>
      <c r="L434" s="9">
        <v>35</v>
      </c>
      <c r="M434" s="9">
        <v>14</v>
      </c>
      <c r="N434" s="9">
        <v>21</v>
      </c>
    </row>
    <row r="435" spans="1:14">
      <c r="A435" t="s">
        <v>824</v>
      </c>
      <c r="B435" s="6">
        <v>45795</v>
      </c>
      <c r="C435" t="s">
        <v>249</v>
      </c>
      <c r="D435" t="s">
        <v>79</v>
      </c>
      <c r="E435" t="s">
        <v>55</v>
      </c>
      <c r="F435" t="s">
        <v>60</v>
      </c>
      <c r="G435" t="s">
        <v>94</v>
      </c>
      <c r="H435" t="s">
        <v>51</v>
      </c>
      <c r="I435">
        <v>1</v>
      </c>
      <c r="J435" s="7">
        <v>18</v>
      </c>
      <c r="K435" s="8">
        <v>0.1</v>
      </c>
      <c r="L435" s="9">
        <v>16.2</v>
      </c>
      <c r="M435" s="9">
        <v>5.5</v>
      </c>
      <c r="N435" s="9">
        <v>10.7</v>
      </c>
    </row>
    <row r="436" spans="1:14">
      <c r="A436" t="s">
        <v>825</v>
      </c>
      <c r="B436" s="6">
        <v>45869</v>
      </c>
      <c r="C436" t="s">
        <v>826</v>
      </c>
      <c r="D436" t="s">
        <v>78</v>
      </c>
      <c r="E436" t="s">
        <v>58</v>
      </c>
      <c r="F436" t="s">
        <v>60</v>
      </c>
      <c r="G436" t="s">
        <v>94</v>
      </c>
      <c r="H436" t="s">
        <v>51</v>
      </c>
      <c r="I436">
        <v>1</v>
      </c>
      <c r="J436" s="7">
        <v>18</v>
      </c>
      <c r="K436" s="8">
        <v>0</v>
      </c>
      <c r="L436" s="9">
        <v>18</v>
      </c>
      <c r="M436" s="9">
        <v>5.5</v>
      </c>
      <c r="N436" s="9">
        <v>12.5</v>
      </c>
    </row>
    <row r="437" spans="1:14">
      <c r="A437" t="s">
        <v>827</v>
      </c>
      <c r="B437" s="6">
        <v>46009</v>
      </c>
      <c r="C437" t="s">
        <v>441</v>
      </c>
      <c r="D437" t="s">
        <v>78</v>
      </c>
      <c r="E437" t="s">
        <v>49</v>
      </c>
      <c r="F437" t="s">
        <v>60</v>
      </c>
      <c r="G437" t="s">
        <v>92</v>
      </c>
      <c r="H437" t="s">
        <v>57</v>
      </c>
      <c r="I437">
        <v>1</v>
      </c>
      <c r="J437" s="7">
        <v>22</v>
      </c>
      <c r="K437" s="8">
        <v>0</v>
      </c>
      <c r="L437" s="9">
        <v>22</v>
      </c>
      <c r="M437" s="9">
        <v>7.5</v>
      </c>
      <c r="N437" s="9">
        <v>14.5</v>
      </c>
    </row>
    <row r="438" spans="1:14">
      <c r="A438" t="s">
        <v>828</v>
      </c>
      <c r="B438" s="6">
        <v>45950</v>
      </c>
      <c r="C438" t="s">
        <v>587</v>
      </c>
      <c r="D438" t="s">
        <v>79</v>
      </c>
      <c r="E438" t="s">
        <v>58</v>
      </c>
      <c r="F438" t="s">
        <v>53</v>
      </c>
      <c r="G438" t="s">
        <v>93</v>
      </c>
      <c r="H438" t="s">
        <v>54</v>
      </c>
      <c r="I438">
        <v>2</v>
      </c>
      <c r="J438" s="7">
        <v>68</v>
      </c>
      <c r="K438" s="8">
        <v>0.1</v>
      </c>
      <c r="L438" s="9">
        <v>122.4</v>
      </c>
      <c r="M438" s="9">
        <v>62</v>
      </c>
      <c r="N438" s="9">
        <v>60.400000000000006</v>
      </c>
    </row>
    <row r="439" spans="1:14">
      <c r="A439" t="s">
        <v>829</v>
      </c>
      <c r="B439" s="6">
        <v>45743</v>
      </c>
      <c r="C439" t="s">
        <v>526</v>
      </c>
      <c r="D439" t="s">
        <v>78</v>
      </c>
      <c r="E439" t="s">
        <v>58</v>
      </c>
      <c r="F439" t="s">
        <v>53</v>
      </c>
      <c r="G439" t="s">
        <v>88</v>
      </c>
      <c r="H439" t="s">
        <v>51</v>
      </c>
      <c r="I439">
        <v>2</v>
      </c>
      <c r="J439" s="7">
        <v>42</v>
      </c>
      <c r="K439" s="8">
        <v>0</v>
      </c>
      <c r="L439" s="9">
        <v>84</v>
      </c>
      <c r="M439" s="9">
        <v>38</v>
      </c>
      <c r="N439" s="9">
        <v>46</v>
      </c>
    </row>
    <row r="440" spans="1:14">
      <c r="A440" t="s">
        <v>830</v>
      </c>
      <c r="B440" s="6">
        <v>45979</v>
      </c>
      <c r="C440" t="s">
        <v>831</v>
      </c>
      <c r="D440" t="s">
        <v>79</v>
      </c>
      <c r="E440" t="s">
        <v>49</v>
      </c>
      <c r="F440" t="s">
        <v>59</v>
      </c>
      <c r="G440" t="s">
        <v>87</v>
      </c>
      <c r="H440" t="s">
        <v>48</v>
      </c>
      <c r="I440">
        <v>2</v>
      </c>
      <c r="J440" s="7">
        <v>89.99</v>
      </c>
      <c r="K440" s="8">
        <v>0</v>
      </c>
      <c r="L440" s="9">
        <v>179.98</v>
      </c>
      <c r="M440" s="9">
        <v>92</v>
      </c>
      <c r="N440" s="9">
        <v>87.97999999999999</v>
      </c>
    </row>
    <row r="441" spans="1:14">
      <c r="A441" t="s">
        <v>832</v>
      </c>
      <c r="B441" s="6">
        <v>45942</v>
      </c>
      <c r="C441" t="s">
        <v>761</v>
      </c>
      <c r="D441" t="s">
        <v>78</v>
      </c>
      <c r="E441" t="s">
        <v>58</v>
      </c>
      <c r="F441" t="s">
        <v>50</v>
      </c>
      <c r="G441" t="s">
        <v>91</v>
      </c>
      <c r="H441" t="s">
        <v>57</v>
      </c>
      <c r="I441">
        <v>1</v>
      </c>
      <c r="J441" s="7">
        <v>35</v>
      </c>
      <c r="K441" s="8">
        <v>0.15</v>
      </c>
      <c r="L441" s="9">
        <v>29.75</v>
      </c>
      <c r="M441" s="9">
        <v>14</v>
      </c>
      <c r="N441" s="9">
        <v>15.75</v>
      </c>
    </row>
    <row r="442" spans="1:14">
      <c r="A442" t="s">
        <v>833</v>
      </c>
      <c r="B442" s="6">
        <v>45870</v>
      </c>
      <c r="C442" t="s">
        <v>152</v>
      </c>
      <c r="D442" t="s">
        <v>79</v>
      </c>
      <c r="E442" t="s">
        <v>49</v>
      </c>
      <c r="F442" t="s">
        <v>60</v>
      </c>
      <c r="G442" t="s">
        <v>87</v>
      </c>
      <c r="H442" t="s">
        <v>48</v>
      </c>
      <c r="I442">
        <v>1</v>
      </c>
      <c r="J442" s="7">
        <v>89.99</v>
      </c>
      <c r="K442" s="8">
        <v>0.05</v>
      </c>
      <c r="L442" s="9">
        <v>85.490499999999997</v>
      </c>
      <c r="M442" s="9">
        <v>46</v>
      </c>
      <c r="N442" s="9">
        <v>39.490499999999997</v>
      </c>
    </row>
    <row r="443" spans="1:14">
      <c r="A443" t="s">
        <v>834</v>
      </c>
      <c r="B443" s="6">
        <v>45709</v>
      </c>
      <c r="C443" t="s">
        <v>170</v>
      </c>
      <c r="D443" t="s">
        <v>79</v>
      </c>
      <c r="E443" t="s">
        <v>58</v>
      </c>
      <c r="F443" t="s">
        <v>59</v>
      </c>
      <c r="G443" t="s">
        <v>89</v>
      </c>
      <c r="H443" t="s">
        <v>51</v>
      </c>
      <c r="I443">
        <v>3</v>
      </c>
      <c r="J443" s="7">
        <v>38</v>
      </c>
      <c r="K443" s="8">
        <v>0.15</v>
      </c>
      <c r="L443" s="9">
        <v>96.899999999999991</v>
      </c>
      <c r="M443" s="9">
        <v>51</v>
      </c>
      <c r="N443" s="9">
        <v>45.899999999999991</v>
      </c>
    </row>
    <row r="444" spans="1:14">
      <c r="A444" t="s">
        <v>835</v>
      </c>
      <c r="B444" s="6">
        <v>45950</v>
      </c>
      <c r="C444" t="s">
        <v>836</v>
      </c>
      <c r="D444" t="s">
        <v>78</v>
      </c>
      <c r="E444" t="s">
        <v>58</v>
      </c>
      <c r="F444" t="s">
        <v>50</v>
      </c>
      <c r="G444" t="s">
        <v>94</v>
      </c>
      <c r="H444" t="s">
        <v>51</v>
      </c>
      <c r="I444">
        <v>1</v>
      </c>
      <c r="J444" s="7">
        <v>18</v>
      </c>
      <c r="K444" s="8">
        <v>0</v>
      </c>
      <c r="L444" s="9">
        <v>18</v>
      </c>
      <c r="M444" s="9">
        <v>5.5</v>
      </c>
      <c r="N444" s="9">
        <v>12.5</v>
      </c>
    </row>
    <row r="445" spans="1:14">
      <c r="A445" t="s">
        <v>837</v>
      </c>
      <c r="B445" s="6">
        <v>45860</v>
      </c>
      <c r="C445" t="s">
        <v>148</v>
      </c>
      <c r="D445" t="s">
        <v>78</v>
      </c>
      <c r="E445" t="s">
        <v>55</v>
      </c>
      <c r="F445" t="s">
        <v>50</v>
      </c>
      <c r="G445" t="s">
        <v>90</v>
      </c>
      <c r="H445" t="s">
        <v>54</v>
      </c>
      <c r="I445">
        <v>2</v>
      </c>
      <c r="J445" s="7">
        <v>29</v>
      </c>
      <c r="K445" s="8">
        <v>0</v>
      </c>
      <c r="L445" s="9">
        <v>58</v>
      </c>
      <c r="M445" s="9">
        <v>22</v>
      </c>
      <c r="N445" s="9">
        <v>36</v>
      </c>
    </row>
    <row r="446" spans="1:14">
      <c r="A446" t="s">
        <v>838</v>
      </c>
      <c r="B446" s="6">
        <v>45830</v>
      </c>
      <c r="C446" t="s">
        <v>152</v>
      </c>
      <c r="D446" t="s">
        <v>79</v>
      </c>
      <c r="E446" t="s">
        <v>52</v>
      </c>
      <c r="F446" t="s">
        <v>53</v>
      </c>
      <c r="G446" t="s">
        <v>89</v>
      </c>
      <c r="H446" t="s">
        <v>51</v>
      </c>
      <c r="I446">
        <v>1</v>
      </c>
      <c r="J446" s="7">
        <v>38</v>
      </c>
      <c r="K446" s="8">
        <v>0.15</v>
      </c>
      <c r="L446" s="9">
        <v>32.299999999999997</v>
      </c>
      <c r="M446" s="9">
        <v>17</v>
      </c>
      <c r="N446" s="9">
        <v>15.299999999999997</v>
      </c>
    </row>
    <row r="447" spans="1:14">
      <c r="A447" t="s">
        <v>839</v>
      </c>
      <c r="B447" s="6">
        <v>45811</v>
      </c>
      <c r="C447" t="s">
        <v>840</v>
      </c>
      <c r="D447" t="s">
        <v>79</v>
      </c>
      <c r="E447" t="s">
        <v>49</v>
      </c>
      <c r="F447" t="s">
        <v>53</v>
      </c>
      <c r="G447" t="s">
        <v>92</v>
      </c>
      <c r="H447" t="s">
        <v>57</v>
      </c>
      <c r="I447">
        <v>2</v>
      </c>
      <c r="J447" s="7">
        <v>22</v>
      </c>
      <c r="K447" s="8">
        <v>0</v>
      </c>
      <c r="L447" s="9">
        <v>44</v>
      </c>
      <c r="M447" s="9">
        <v>15</v>
      </c>
      <c r="N447" s="9">
        <v>29</v>
      </c>
    </row>
    <row r="448" spans="1:14">
      <c r="A448" t="s">
        <v>841</v>
      </c>
      <c r="B448" s="6">
        <v>45884</v>
      </c>
      <c r="C448" t="s">
        <v>842</v>
      </c>
      <c r="D448" t="s">
        <v>78</v>
      </c>
      <c r="E448" t="s">
        <v>55</v>
      </c>
      <c r="F448" t="s">
        <v>50</v>
      </c>
      <c r="G448" t="s">
        <v>88</v>
      </c>
      <c r="H448" t="s">
        <v>51</v>
      </c>
      <c r="I448">
        <v>3</v>
      </c>
      <c r="J448" s="7">
        <v>42</v>
      </c>
      <c r="K448" s="8">
        <v>0</v>
      </c>
      <c r="L448" s="9">
        <v>126</v>
      </c>
      <c r="M448" s="9">
        <v>57</v>
      </c>
      <c r="N448" s="9">
        <v>69</v>
      </c>
    </row>
    <row r="449" spans="1:14">
      <c r="A449" t="s">
        <v>843</v>
      </c>
      <c r="B449" s="6">
        <v>45921</v>
      </c>
      <c r="C449" t="s">
        <v>781</v>
      </c>
      <c r="D449" t="s">
        <v>78</v>
      </c>
      <c r="E449" t="s">
        <v>49</v>
      </c>
      <c r="F449" t="s">
        <v>53</v>
      </c>
      <c r="G449" t="s">
        <v>87</v>
      </c>
      <c r="H449" t="s">
        <v>48</v>
      </c>
      <c r="I449">
        <v>1</v>
      </c>
      <c r="J449" s="7">
        <v>89.99</v>
      </c>
      <c r="K449" s="8">
        <v>0.1</v>
      </c>
      <c r="L449" s="9">
        <v>80.991</v>
      </c>
      <c r="M449" s="9">
        <v>46</v>
      </c>
      <c r="N449" s="9">
        <v>34.991</v>
      </c>
    </row>
    <row r="450" spans="1:14">
      <c r="A450" t="s">
        <v>844</v>
      </c>
      <c r="B450" s="6">
        <v>45756</v>
      </c>
      <c r="C450" t="s">
        <v>602</v>
      </c>
      <c r="D450" t="s">
        <v>78</v>
      </c>
      <c r="E450" t="s">
        <v>52</v>
      </c>
      <c r="F450" t="s">
        <v>56</v>
      </c>
      <c r="G450" t="s">
        <v>88</v>
      </c>
      <c r="H450" t="s">
        <v>51</v>
      </c>
      <c r="I450">
        <v>2</v>
      </c>
      <c r="J450" s="7">
        <v>42</v>
      </c>
      <c r="K450" s="8">
        <v>0</v>
      </c>
      <c r="L450" s="9">
        <v>84</v>
      </c>
      <c r="M450" s="9">
        <v>38</v>
      </c>
      <c r="N450" s="9">
        <v>46</v>
      </c>
    </row>
    <row r="451" spans="1:14">
      <c r="A451" t="s">
        <v>845</v>
      </c>
      <c r="B451" s="6">
        <v>45846</v>
      </c>
      <c r="C451" t="s">
        <v>200</v>
      </c>
      <c r="D451" t="s">
        <v>78</v>
      </c>
      <c r="E451" t="s">
        <v>52</v>
      </c>
      <c r="F451" t="s">
        <v>56</v>
      </c>
      <c r="G451" t="s">
        <v>92</v>
      </c>
      <c r="H451" t="s">
        <v>57</v>
      </c>
      <c r="I451">
        <v>1</v>
      </c>
      <c r="J451" s="7">
        <v>22</v>
      </c>
      <c r="K451" s="8">
        <v>0.05</v>
      </c>
      <c r="L451" s="9">
        <v>20.9</v>
      </c>
      <c r="M451" s="9">
        <v>7.5</v>
      </c>
      <c r="N451" s="9">
        <v>13.399999999999999</v>
      </c>
    </row>
    <row r="452" spans="1:14">
      <c r="A452" t="s">
        <v>846</v>
      </c>
      <c r="B452" s="6">
        <v>45908</v>
      </c>
      <c r="C452" t="s">
        <v>847</v>
      </c>
      <c r="D452" t="s">
        <v>78</v>
      </c>
      <c r="E452" t="s">
        <v>55</v>
      </c>
      <c r="F452" t="s">
        <v>56</v>
      </c>
      <c r="G452" t="s">
        <v>94</v>
      </c>
      <c r="H452" t="s">
        <v>51</v>
      </c>
      <c r="I452">
        <v>1</v>
      </c>
      <c r="J452" s="7">
        <v>18</v>
      </c>
      <c r="K452" s="8">
        <v>0.2</v>
      </c>
      <c r="L452" s="9">
        <v>14.4</v>
      </c>
      <c r="M452" s="9">
        <v>5.5</v>
      </c>
      <c r="N452" s="9">
        <v>8.9</v>
      </c>
    </row>
    <row r="453" spans="1:14">
      <c r="A453" t="s">
        <v>848</v>
      </c>
      <c r="B453" s="6">
        <v>45741</v>
      </c>
      <c r="C453" t="s">
        <v>510</v>
      </c>
      <c r="D453" t="s">
        <v>78</v>
      </c>
      <c r="E453" t="s">
        <v>49</v>
      </c>
      <c r="F453" t="s">
        <v>53</v>
      </c>
      <c r="G453" t="s">
        <v>89</v>
      </c>
      <c r="H453" t="s">
        <v>51</v>
      </c>
      <c r="I453">
        <v>2</v>
      </c>
      <c r="J453" s="7">
        <v>38</v>
      </c>
      <c r="K453" s="8">
        <v>0.1</v>
      </c>
      <c r="L453" s="9">
        <v>68.400000000000006</v>
      </c>
      <c r="M453" s="9">
        <v>34</v>
      </c>
      <c r="N453" s="9">
        <v>34.400000000000006</v>
      </c>
    </row>
    <row r="454" spans="1:14">
      <c r="A454" t="s">
        <v>849</v>
      </c>
      <c r="B454" s="6">
        <v>45950</v>
      </c>
      <c r="C454" t="s">
        <v>228</v>
      </c>
      <c r="D454" t="s">
        <v>79</v>
      </c>
      <c r="E454" t="s">
        <v>58</v>
      </c>
      <c r="F454" t="s">
        <v>60</v>
      </c>
      <c r="G454" t="s">
        <v>88</v>
      </c>
      <c r="H454" t="s">
        <v>51</v>
      </c>
      <c r="I454">
        <v>3</v>
      </c>
      <c r="J454" s="7">
        <v>42</v>
      </c>
      <c r="K454" s="8">
        <v>0.05</v>
      </c>
      <c r="L454" s="9">
        <v>119.69999999999999</v>
      </c>
      <c r="M454" s="9">
        <v>57</v>
      </c>
      <c r="N454" s="9">
        <v>62.699999999999989</v>
      </c>
    </row>
    <row r="455" spans="1:14">
      <c r="A455" t="s">
        <v>850</v>
      </c>
      <c r="B455" s="6">
        <v>45668</v>
      </c>
      <c r="C455" t="s">
        <v>380</v>
      </c>
      <c r="D455" t="s">
        <v>78</v>
      </c>
      <c r="E455" t="s">
        <v>52</v>
      </c>
      <c r="F455" t="s">
        <v>56</v>
      </c>
      <c r="G455" t="s">
        <v>85</v>
      </c>
      <c r="H455" t="s">
        <v>48</v>
      </c>
      <c r="I455">
        <v>1</v>
      </c>
      <c r="J455" s="7">
        <v>59.99</v>
      </c>
      <c r="K455" s="8">
        <v>0</v>
      </c>
      <c r="L455" s="9">
        <v>59.99</v>
      </c>
      <c r="M455" s="9">
        <v>28</v>
      </c>
      <c r="N455" s="9">
        <v>31.990000000000002</v>
      </c>
    </row>
    <row r="456" spans="1:14">
      <c r="A456" t="s">
        <v>851</v>
      </c>
      <c r="B456" s="6">
        <v>45969</v>
      </c>
      <c r="C456" t="s">
        <v>285</v>
      </c>
      <c r="D456" t="s">
        <v>78</v>
      </c>
      <c r="E456" t="s">
        <v>55</v>
      </c>
      <c r="F456" t="s">
        <v>59</v>
      </c>
      <c r="G456" t="s">
        <v>89</v>
      </c>
      <c r="H456" t="s">
        <v>51</v>
      </c>
      <c r="I456">
        <v>2</v>
      </c>
      <c r="J456" s="7">
        <v>38</v>
      </c>
      <c r="K456" s="8">
        <v>0.1</v>
      </c>
      <c r="L456" s="9">
        <v>68.400000000000006</v>
      </c>
      <c r="M456" s="9">
        <v>34</v>
      </c>
      <c r="N456" s="9">
        <v>34.400000000000006</v>
      </c>
    </row>
    <row r="457" spans="1:14">
      <c r="A457" t="s">
        <v>852</v>
      </c>
      <c r="B457" s="6">
        <v>45787</v>
      </c>
      <c r="C457" t="s">
        <v>661</v>
      </c>
      <c r="D457" t="s">
        <v>79</v>
      </c>
      <c r="E457" t="s">
        <v>49</v>
      </c>
      <c r="F457" t="s">
        <v>50</v>
      </c>
      <c r="G457" t="s">
        <v>88</v>
      </c>
      <c r="H457" t="s">
        <v>51</v>
      </c>
      <c r="I457">
        <v>1</v>
      </c>
      <c r="J457" s="7">
        <v>42</v>
      </c>
      <c r="K457" s="8">
        <v>0.1</v>
      </c>
      <c r="L457" s="9">
        <v>37.800000000000004</v>
      </c>
      <c r="M457" s="9">
        <v>19</v>
      </c>
      <c r="N457" s="9">
        <v>18.800000000000004</v>
      </c>
    </row>
    <row r="458" spans="1:14">
      <c r="A458" t="s">
        <v>853</v>
      </c>
      <c r="B458" s="6">
        <v>45919</v>
      </c>
      <c r="C458" t="s">
        <v>645</v>
      </c>
      <c r="D458" t="s">
        <v>78</v>
      </c>
      <c r="E458" t="s">
        <v>49</v>
      </c>
      <c r="F458" t="s">
        <v>59</v>
      </c>
      <c r="G458" t="s">
        <v>90</v>
      </c>
      <c r="H458" t="s">
        <v>54</v>
      </c>
      <c r="I458">
        <v>1</v>
      </c>
      <c r="J458" s="7">
        <v>29</v>
      </c>
      <c r="K458" s="8">
        <v>0.05</v>
      </c>
      <c r="L458" s="9">
        <v>27.549999999999997</v>
      </c>
      <c r="M458" s="9">
        <v>11</v>
      </c>
      <c r="N458" s="9">
        <v>16.549999999999997</v>
      </c>
    </row>
    <row r="459" spans="1:14">
      <c r="A459" t="s">
        <v>854</v>
      </c>
      <c r="B459" s="6">
        <v>45690</v>
      </c>
      <c r="C459" t="s">
        <v>425</v>
      </c>
      <c r="D459" t="s">
        <v>79</v>
      </c>
      <c r="E459" t="s">
        <v>55</v>
      </c>
      <c r="F459" t="s">
        <v>53</v>
      </c>
      <c r="G459" t="s">
        <v>90</v>
      </c>
      <c r="H459" t="s">
        <v>54</v>
      </c>
      <c r="I459">
        <v>4</v>
      </c>
      <c r="J459" s="7">
        <v>29</v>
      </c>
      <c r="K459" s="8">
        <v>0.05</v>
      </c>
      <c r="L459" s="9">
        <v>110.19999999999999</v>
      </c>
      <c r="M459" s="9">
        <v>44</v>
      </c>
      <c r="N459" s="9">
        <v>66.199999999999989</v>
      </c>
    </row>
    <row r="460" spans="1:14">
      <c r="A460" t="s">
        <v>855</v>
      </c>
      <c r="B460" s="6">
        <v>45734</v>
      </c>
      <c r="C460" t="s">
        <v>818</v>
      </c>
      <c r="D460" t="s">
        <v>79</v>
      </c>
      <c r="E460" t="s">
        <v>58</v>
      </c>
      <c r="F460" t="s">
        <v>56</v>
      </c>
      <c r="G460" t="s">
        <v>93</v>
      </c>
      <c r="H460" t="s">
        <v>54</v>
      </c>
      <c r="I460">
        <v>2</v>
      </c>
      <c r="J460" s="7">
        <v>68</v>
      </c>
      <c r="K460" s="8">
        <v>0.15</v>
      </c>
      <c r="L460" s="9">
        <v>115.6</v>
      </c>
      <c r="M460" s="9">
        <v>62</v>
      </c>
      <c r="N460" s="9">
        <v>53.599999999999994</v>
      </c>
    </row>
    <row r="461" spans="1:14">
      <c r="A461" t="s">
        <v>856</v>
      </c>
      <c r="B461" s="6">
        <v>46006</v>
      </c>
      <c r="C461" t="s">
        <v>425</v>
      </c>
      <c r="D461" t="s">
        <v>79</v>
      </c>
      <c r="E461" t="s">
        <v>58</v>
      </c>
      <c r="F461" t="s">
        <v>59</v>
      </c>
      <c r="G461" t="s">
        <v>87</v>
      </c>
      <c r="H461" t="s">
        <v>48</v>
      </c>
      <c r="I461">
        <v>2</v>
      </c>
      <c r="J461" s="7">
        <v>89.99</v>
      </c>
      <c r="K461" s="8">
        <v>0.05</v>
      </c>
      <c r="L461" s="9">
        <v>170.98099999999999</v>
      </c>
      <c r="M461" s="9">
        <v>92</v>
      </c>
      <c r="N461" s="9">
        <v>78.980999999999995</v>
      </c>
    </row>
    <row r="462" spans="1:14">
      <c r="A462" t="s">
        <v>857</v>
      </c>
      <c r="B462" s="6">
        <v>45856</v>
      </c>
      <c r="C462" t="s">
        <v>473</v>
      </c>
      <c r="D462" t="s">
        <v>79</v>
      </c>
      <c r="E462" t="s">
        <v>52</v>
      </c>
      <c r="F462" t="s">
        <v>60</v>
      </c>
      <c r="G462" t="s">
        <v>85</v>
      </c>
      <c r="H462" t="s">
        <v>48</v>
      </c>
      <c r="I462">
        <v>1</v>
      </c>
      <c r="J462" s="7">
        <v>59.99</v>
      </c>
      <c r="K462" s="8">
        <v>0.2</v>
      </c>
      <c r="L462" s="9">
        <v>47.992000000000004</v>
      </c>
      <c r="M462" s="9">
        <v>28</v>
      </c>
      <c r="N462" s="9">
        <v>19.992000000000004</v>
      </c>
    </row>
    <row r="463" spans="1:14">
      <c r="A463" t="s">
        <v>858</v>
      </c>
      <c r="B463" s="6">
        <v>45984</v>
      </c>
      <c r="C463" t="s">
        <v>473</v>
      </c>
      <c r="D463" t="s">
        <v>78</v>
      </c>
      <c r="E463" t="s">
        <v>52</v>
      </c>
      <c r="F463" t="s">
        <v>56</v>
      </c>
      <c r="G463" t="s">
        <v>92</v>
      </c>
      <c r="H463" t="s">
        <v>57</v>
      </c>
      <c r="I463">
        <v>3</v>
      </c>
      <c r="J463" s="7">
        <v>22</v>
      </c>
      <c r="K463" s="8">
        <v>0.1</v>
      </c>
      <c r="L463" s="9">
        <v>59.4</v>
      </c>
      <c r="M463" s="9">
        <v>22.5</v>
      </c>
      <c r="N463" s="9">
        <v>36.9</v>
      </c>
    </row>
    <row r="464" spans="1:14">
      <c r="A464" t="s">
        <v>859</v>
      </c>
      <c r="B464" s="6">
        <v>45707</v>
      </c>
      <c r="C464" t="s">
        <v>371</v>
      </c>
      <c r="D464" t="s">
        <v>79</v>
      </c>
      <c r="E464" t="s">
        <v>55</v>
      </c>
      <c r="F464" t="s">
        <v>50</v>
      </c>
      <c r="G464" t="s">
        <v>92</v>
      </c>
      <c r="H464" t="s">
        <v>57</v>
      </c>
      <c r="I464">
        <v>1</v>
      </c>
      <c r="J464" s="7">
        <v>22</v>
      </c>
      <c r="K464" s="8">
        <v>0</v>
      </c>
      <c r="L464" s="9">
        <v>22</v>
      </c>
      <c r="M464" s="9">
        <v>7.5</v>
      </c>
      <c r="N464" s="9">
        <v>14.5</v>
      </c>
    </row>
    <row r="465" spans="1:14">
      <c r="A465" t="s">
        <v>860</v>
      </c>
      <c r="B465" s="6">
        <v>45771</v>
      </c>
      <c r="C465" t="s">
        <v>584</v>
      </c>
      <c r="D465" t="s">
        <v>78</v>
      </c>
      <c r="E465" t="s">
        <v>55</v>
      </c>
      <c r="F465" t="s">
        <v>56</v>
      </c>
      <c r="G465" t="s">
        <v>90</v>
      </c>
      <c r="H465" t="s">
        <v>54</v>
      </c>
      <c r="I465">
        <v>1</v>
      </c>
      <c r="J465" s="7">
        <v>29</v>
      </c>
      <c r="K465" s="8">
        <v>0.15</v>
      </c>
      <c r="L465" s="9">
        <v>24.65</v>
      </c>
      <c r="M465" s="9">
        <v>11</v>
      </c>
      <c r="N465" s="9">
        <v>13.649999999999999</v>
      </c>
    </row>
    <row r="466" spans="1:14">
      <c r="A466" t="s">
        <v>861</v>
      </c>
      <c r="B466" s="6">
        <v>45957</v>
      </c>
      <c r="C466" t="s">
        <v>862</v>
      </c>
      <c r="D466" t="s">
        <v>78</v>
      </c>
      <c r="E466" t="s">
        <v>49</v>
      </c>
      <c r="F466" t="s">
        <v>59</v>
      </c>
      <c r="G466" t="s">
        <v>89</v>
      </c>
      <c r="H466" t="s">
        <v>51</v>
      </c>
      <c r="I466">
        <v>1</v>
      </c>
      <c r="J466" s="7">
        <v>38</v>
      </c>
      <c r="K466" s="8">
        <v>0</v>
      </c>
      <c r="L466" s="9">
        <v>38</v>
      </c>
      <c r="M466" s="9">
        <v>17</v>
      </c>
      <c r="N466" s="9">
        <v>21</v>
      </c>
    </row>
    <row r="467" spans="1:14">
      <c r="A467" t="s">
        <v>863</v>
      </c>
      <c r="B467" s="6">
        <v>45757</v>
      </c>
      <c r="C467" t="s">
        <v>864</v>
      </c>
      <c r="D467" t="s">
        <v>78</v>
      </c>
      <c r="E467" t="s">
        <v>49</v>
      </c>
      <c r="F467" t="s">
        <v>53</v>
      </c>
      <c r="G467" t="s">
        <v>93</v>
      </c>
      <c r="H467" t="s">
        <v>54</v>
      </c>
      <c r="I467">
        <v>1</v>
      </c>
      <c r="J467" s="7">
        <v>68</v>
      </c>
      <c r="K467" s="8">
        <v>0.1</v>
      </c>
      <c r="L467" s="9">
        <v>61.2</v>
      </c>
      <c r="M467" s="9">
        <v>31</v>
      </c>
      <c r="N467" s="9">
        <v>30.200000000000003</v>
      </c>
    </row>
    <row r="468" spans="1:14">
      <c r="A468" t="s">
        <v>865</v>
      </c>
      <c r="B468" s="6">
        <v>45728</v>
      </c>
      <c r="C468" t="s">
        <v>160</v>
      </c>
      <c r="D468" t="s">
        <v>79</v>
      </c>
      <c r="E468" t="s">
        <v>52</v>
      </c>
      <c r="F468" t="s">
        <v>56</v>
      </c>
      <c r="G468" t="s">
        <v>88</v>
      </c>
      <c r="H468" t="s">
        <v>51</v>
      </c>
      <c r="I468">
        <v>1</v>
      </c>
      <c r="J468" s="7">
        <v>42</v>
      </c>
      <c r="K468" s="8">
        <v>0.2</v>
      </c>
      <c r="L468" s="9">
        <v>33.6</v>
      </c>
      <c r="M468" s="9">
        <v>19</v>
      </c>
      <c r="N468" s="9">
        <v>14.600000000000001</v>
      </c>
    </row>
    <row r="469" spans="1:14">
      <c r="A469" t="s">
        <v>866</v>
      </c>
      <c r="B469" s="6">
        <v>45750</v>
      </c>
      <c r="C469" t="s">
        <v>862</v>
      </c>
      <c r="D469" t="s">
        <v>78</v>
      </c>
      <c r="E469" t="s">
        <v>49</v>
      </c>
      <c r="F469" t="s">
        <v>50</v>
      </c>
      <c r="G469" t="s">
        <v>86</v>
      </c>
      <c r="H469" t="s">
        <v>48</v>
      </c>
      <c r="I469">
        <v>1</v>
      </c>
      <c r="J469" s="7">
        <v>34.99</v>
      </c>
      <c r="K469" s="8">
        <v>0.05</v>
      </c>
      <c r="L469" s="9">
        <v>33.240499999999997</v>
      </c>
      <c r="M469" s="9">
        <v>16</v>
      </c>
      <c r="N469" s="9">
        <v>17.240499999999997</v>
      </c>
    </row>
    <row r="470" spans="1:14">
      <c r="A470" t="s">
        <v>867</v>
      </c>
      <c r="B470" s="6">
        <v>45889</v>
      </c>
      <c r="C470" t="s">
        <v>260</v>
      </c>
      <c r="D470" t="s">
        <v>78</v>
      </c>
      <c r="E470" t="s">
        <v>58</v>
      </c>
      <c r="F470" t="s">
        <v>50</v>
      </c>
      <c r="G470" t="s">
        <v>89</v>
      </c>
      <c r="H470" t="s">
        <v>51</v>
      </c>
      <c r="I470">
        <v>1</v>
      </c>
      <c r="J470" s="7">
        <v>38</v>
      </c>
      <c r="K470" s="8">
        <v>0.1</v>
      </c>
      <c r="L470" s="9">
        <v>34.200000000000003</v>
      </c>
      <c r="M470" s="9">
        <v>17</v>
      </c>
      <c r="N470" s="9">
        <v>17.200000000000003</v>
      </c>
    </row>
    <row r="471" spans="1:14">
      <c r="A471" t="s">
        <v>868</v>
      </c>
      <c r="B471" s="6">
        <v>45724</v>
      </c>
      <c r="C471" t="s">
        <v>869</v>
      </c>
      <c r="D471" t="s">
        <v>78</v>
      </c>
      <c r="E471" t="s">
        <v>58</v>
      </c>
      <c r="F471" t="s">
        <v>50</v>
      </c>
      <c r="G471" t="s">
        <v>94</v>
      </c>
      <c r="H471" t="s">
        <v>51</v>
      </c>
      <c r="I471">
        <v>1</v>
      </c>
      <c r="J471" s="7">
        <v>18</v>
      </c>
      <c r="K471" s="8">
        <v>0</v>
      </c>
      <c r="L471" s="9">
        <v>18</v>
      </c>
      <c r="M471" s="9">
        <v>5.5</v>
      </c>
      <c r="N471" s="9">
        <v>12.5</v>
      </c>
    </row>
    <row r="472" spans="1:14">
      <c r="A472" t="s">
        <v>870</v>
      </c>
      <c r="B472" s="6">
        <v>45677</v>
      </c>
      <c r="C472" t="s">
        <v>871</v>
      </c>
      <c r="D472" t="s">
        <v>78</v>
      </c>
      <c r="E472" t="s">
        <v>52</v>
      </c>
      <c r="F472" t="s">
        <v>50</v>
      </c>
      <c r="G472" t="s">
        <v>93</v>
      </c>
      <c r="H472" t="s">
        <v>54</v>
      </c>
      <c r="I472">
        <v>1</v>
      </c>
      <c r="J472" s="7">
        <v>68</v>
      </c>
      <c r="K472" s="8">
        <v>0</v>
      </c>
      <c r="L472" s="9">
        <v>68</v>
      </c>
      <c r="M472" s="9">
        <v>31</v>
      </c>
      <c r="N472" s="9">
        <v>37</v>
      </c>
    </row>
    <row r="473" spans="1:14">
      <c r="A473" t="s">
        <v>872</v>
      </c>
      <c r="B473" s="6">
        <v>46004</v>
      </c>
      <c r="C473" t="s">
        <v>539</v>
      </c>
      <c r="D473" t="s">
        <v>79</v>
      </c>
      <c r="E473" t="s">
        <v>55</v>
      </c>
      <c r="F473" t="s">
        <v>53</v>
      </c>
      <c r="G473" t="s">
        <v>85</v>
      </c>
      <c r="H473" t="s">
        <v>48</v>
      </c>
      <c r="I473">
        <v>2</v>
      </c>
      <c r="J473" s="7">
        <v>59.99</v>
      </c>
      <c r="K473" s="8">
        <v>0</v>
      </c>
      <c r="L473" s="9">
        <v>119.98</v>
      </c>
      <c r="M473" s="9">
        <v>56</v>
      </c>
      <c r="N473" s="9">
        <v>63.980000000000004</v>
      </c>
    </row>
    <row r="474" spans="1:14">
      <c r="A474" t="s">
        <v>873</v>
      </c>
      <c r="B474" s="6">
        <v>45710</v>
      </c>
      <c r="C474" t="s">
        <v>194</v>
      </c>
      <c r="D474" t="s">
        <v>78</v>
      </c>
      <c r="E474" t="s">
        <v>55</v>
      </c>
      <c r="F474" t="s">
        <v>56</v>
      </c>
      <c r="G474" t="s">
        <v>91</v>
      </c>
      <c r="H474" t="s">
        <v>57</v>
      </c>
      <c r="I474">
        <v>1</v>
      </c>
      <c r="J474" s="7">
        <v>35</v>
      </c>
      <c r="K474" s="8">
        <v>0</v>
      </c>
      <c r="L474" s="9">
        <v>35</v>
      </c>
      <c r="M474" s="9">
        <v>14</v>
      </c>
      <c r="N474" s="9">
        <v>21</v>
      </c>
    </row>
    <row r="475" spans="1:14">
      <c r="A475" t="s">
        <v>874</v>
      </c>
      <c r="B475" s="6">
        <v>45891</v>
      </c>
      <c r="C475" t="s">
        <v>875</v>
      </c>
      <c r="D475" t="s">
        <v>79</v>
      </c>
      <c r="E475" t="s">
        <v>55</v>
      </c>
      <c r="F475" t="s">
        <v>59</v>
      </c>
      <c r="G475" t="s">
        <v>93</v>
      </c>
      <c r="H475" t="s">
        <v>54</v>
      </c>
      <c r="I475">
        <v>1</v>
      </c>
      <c r="J475" s="7">
        <v>68</v>
      </c>
      <c r="K475" s="8">
        <v>0</v>
      </c>
      <c r="L475" s="9">
        <v>68</v>
      </c>
      <c r="M475" s="9">
        <v>31</v>
      </c>
      <c r="N475" s="9">
        <v>37</v>
      </c>
    </row>
    <row r="476" spans="1:14">
      <c r="A476" t="s">
        <v>876</v>
      </c>
      <c r="B476" s="6">
        <v>45841</v>
      </c>
      <c r="C476" t="s">
        <v>380</v>
      </c>
      <c r="D476" t="s">
        <v>79</v>
      </c>
      <c r="E476" t="s">
        <v>52</v>
      </c>
      <c r="F476" t="s">
        <v>53</v>
      </c>
      <c r="G476" t="s">
        <v>88</v>
      </c>
      <c r="H476" t="s">
        <v>51</v>
      </c>
      <c r="I476">
        <v>1</v>
      </c>
      <c r="J476" s="7">
        <v>42</v>
      </c>
      <c r="K476" s="8">
        <v>0.15</v>
      </c>
      <c r="L476" s="9">
        <v>35.699999999999996</v>
      </c>
      <c r="M476" s="9">
        <v>19</v>
      </c>
      <c r="N476" s="9">
        <v>16.699999999999996</v>
      </c>
    </row>
    <row r="477" spans="1:14">
      <c r="A477" t="s">
        <v>877</v>
      </c>
      <c r="B477" s="6">
        <v>45725</v>
      </c>
      <c r="C477" t="s">
        <v>560</v>
      </c>
      <c r="D477" t="s">
        <v>78</v>
      </c>
      <c r="E477" t="s">
        <v>49</v>
      </c>
      <c r="F477" t="s">
        <v>59</v>
      </c>
      <c r="G477" t="s">
        <v>88</v>
      </c>
      <c r="H477" t="s">
        <v>51</v>
      </c>
      <c r="I477">
        <v>2</v>
      </c>
      <c r="J477" s="7">
        <v>42</v>
      </c>
      <c r="K477" s="8">
        <v>0.05</v>
      </c>
      <c r="L477" s="9">
        <v>79.8</v>
      </c>
      <c r="M477" s="9">
        <v>38</v>
      </c>
      <c r="N477" s="9">
        <v>41.8</v>
      </c>
    </row>
    <row r="478" spans="1:14">
      <c r="A478" t="s">
        <v>878</v>
      </c>
      <c r="B478" s="6">
        <v>45985</v>
      </c>
      <c r="C478" t="s">
        <v>879</v>
      </c>
      <c r="D478" t="s">
        <v>79</v>
      </c>
      <c r="E478" t="s">
        <v>49</v>
      </c>
      <c r="F478" t="s">
        <v>50</v>
      </c>
      <c r="G478" t="s">
        <v>89</v>
      </c>
      <c r="H478" t="s">
        <v>51</v>
      </c>
      <c r="I478">
        <v>2</v>
      </c>
      <c r="J478" s="7">
        <v>38</v>
      </c>
      <c r="K478" s="8">
        <v>0.05</v>
      </c>
      <c r="L478" s="9">
        <v>72.2</v>
      </c>
      <c r="M478" s="9">
        <v>34</v>
      </c>
      <c r="N478" s="9">
        <v>38.200000000000003</v>
      </c>
    </row>
    <row r="479" spans="1:14">
      <c r="A479" t="s">
        <v>880</v>
      </c>
      <c r="B479" s="6">
        <v>45682</v>
      </c>
      <c r="C479" t="s">
        <v>423</v>
      </c>
      <c r="D479" t="s">
        <v>78</v>
      </c>
      <c r="E479" t="s">
        <v>52</v>
      </c>
      <c r="F479" t="s">
        <v>53</v>
      </c>
      <c r="G479" t="s">
        <v>86</v>
      </c>
      <c r="H479" t="s">
        <v>48</v>
      </c>
      <c r="I479">
        <v>1</v>
      </c>
      <c r="J479" s="7">
        <v>34.99</v>
      </c>
      <c r="K479" s="8">
        <v>0</v>
      </c>
      <c r="L479" s="9">
        <v>34.99</v>
      </c>
      <c r="M479" s="9">
        <v>16</v>
      </c>
      <c r="N479" s="9">
        <v>18.990000000000002</v>
      </c>
    </row>
    <row r="480" spans="1:14">
      <c r="A480" t="s">
        <v>881</v>
      </c>
      <c r="B480" s="6">
        <v>46013</v>
      </c>
      <c r="C480" t="s">
        <v>293</v>
      </c>
      <c r="D480" t="s">
        <v>79</v>
      </c>
      <c r="E480" t="s">
        <v>52</v>
      </c>
      <c r="F480" t="s">
        <v>59</v>
      </c>
      <c r="G480" t="s">
        <v>85</v>
      </c>
      <c r="H480" t="s">
        <v>48</v>
      </c>
      <c r="I480">
        <v>1</v>
      </c>
      <c r="J480" s="7">
        <v>59.99</v>
      </c>
      <c r="K480" s="8">
        <v>0.1</v>
      </c>
      <c r="L480" s="9">
        <v>53.991</v>
      </c>
      <c r="M480" s="9">
        <v>28</v>
      </c>
      <c r="N480" s="9">
        <v>25.991</v>
      </c>
    </row>
    <row r="481" spans="1:14">
      <c r="A481" t="s">
        <v>882</v>
      </c>
      <c r="B481" s="6">
        <v>45711</v>
      </c>
      <c r="C481" t="s">
        <v>215</v>
      </c>
      <c r="D481" t="s">
        <v>78</v>
      </c>
      <c r="E481" t="s">
        <v>58</v>
      </c>
      <c r="F481" t="s">
        <v>53</v>
      </c>
      <c r="G481" t="s">
        <v>93</v>
      </c>
      <c r="H481" t="s">
        <v>54</v>
      </c>
      <c r="I481">
        <v>2</v>
      </c>
      <c r="J481" s="7">
        <v>68</v>
      </c>
      <c r="K481" s="8">
        <v>0</v>
      </c>
      <c r="L481" s="9">
        <v>136</v>
      </c>
      <c r="M481" s="9">
        <v>62</v>
      </c>
      <c r="N481" s="9">
        <v>74</v>
      </c>
    </row>
    <row r="482" spans="1:14">
      <c r="A482" t="s">
        <v>883</v>
      </c>
      <c r="B482" s="6">
        <v>45969</v>
      </c>
      <c r="C482" t="s">
        <v>708</v>
      </c>
      <c r="D482" t="s">
        <v>79</v>
      </c>
      <c r="E482" t="s">
        <v>58</v>
      </c>
      <c r="F482" t="s">
        <v>56</v>
      </c>
      <c r="G482" t="s">
        <v>88</v>
      </c>
      <c r="H482" t="s">
        <v>51</v>
      </c>
      <c r="I482">
        <v>2</v>
      </c>
      <c r="J482" s="7">
        <v>42</v>
      </c>
      <c r="K482" s="8">
        <v>0.1</v>
      </c>
      <c r="L482" s="9">
        <v>75.600000000000009</v>
      </c>
      <c r="M482" s="9">
        <v>38</v>
      </c>
      <c r="N482" s="9">
        <v>37.600000000000009</v>
      </c>
    </row>
    <row r="483" spans="1:14">
      <c r="A483" t="s">
        <v>884</v>
      </c>
      <c r="B483" s="6">
        <v>45740</v>
      </c>
      <c r="C483" t="s">
        <v>496</v>
      </c>
      <c r="D483" t="s">
        <v>79</v>
      </c>
      <c r="E483" t="s">
        <v>55</v>
      </c>
      <c r="F483" t="s">
        <v>53</v>
      </c>
      <c r="G483" t="s">
        <v>85</v>
      </c>
      <c r="H483" t="s">
        <v>48</v>
      </c>
      <c r="I483">
        <v>1</v>
      </c>
      <c r="J483" s="7">
        <v>59.99</v>
      </c>
      <c r="K483" s="8">
        <v>0.15</v>
      </c>
      <c r="L483" s="9">
        <v>50.991500000000002</v>
      </c>
      <c r="M483" s="9">
        <v>28</v>
      </c>
      <c r="N483" s="9">
        <v>22.991500000000002</v>
      </c>
    </row>
    <row r="484" spans="1:14">
      <c r="A484" t="s">
        <v>885</v>
      </c>
      <c r="B484" s="6">
        <v>45659</v>
      </c>
      <c r="C484" t="s">
        <v>676</v>
      </c>
      <c r="D484" t="s">
        <v>79</v>
      </c>
      <c r="E484" t="s">
        <v>52</v>
      </c>
      <c r="F484" t="s">
        <v>50</v>
      </c>
      <c r="G484" t="s">
        <v>85</v>
      </c>
      <c r="H484" t="s">
        <v>48</v>
      </c>
      <c r="I484">
        <v>2</v>
      </c>
      <c r="J484" s="7">
        <v>59.99</v>
      </c>
      <c r="K484" s="8">
        <v>0.15</v>
      </c>
      <c r="L484" s="9">
        <v>101.983</v>
      </c>
      <c r="M484" s="9">
        <v>56</v>
      </c>
      <c r="N484" s="9">
        <v>45.983000000000004</v>
      </c>
    </row>
    <row r="485" spans="1:14">
      <c r="A485" t="s">
        <v>886</v>
      </c>
      <c r="B485" s="6">
        <v>45919</v>
      </c>
      <c r="C485" t="s">
        <v>256</v>
      </c>
      <c r="D485" t="s">
        <v>78</v>
      </c>
      <c r="E485" t="s">
        <v>58</v>
      </c>
      <c r="F485" t="s">
        <v>56</v>
      </c>
      <c r="G485" t="s">
        <v>86</v>
      </c>
      <c r="H485" t="s">
        <v>48</v>
      </c>
      <c r="I485">
        <v>2</v>
      </c>
      <c r="J485" s="7">
        <v>34.99</v>
      </c>
      <c r="K485" s="8">
        <v>0</v>
      </c>
      <c r="L485" s="9">
        <v>69.98</v>
      </c>
      <c r="M485" s="9">
        <v>32</v>
      </c>
      <c r="N485" s="9">
        <v>37.980000000000004</v>
      </c>
    </row>
    <row r="486" spans="1:14">
      <c r="A486" t="s">
        <v>887</v>
      </c>
      <c r="B486" s="6">
        <v>45793</v>
      </c>
      <c r="C486" t="s">
        <v>443</v>
      </c>
      <c r="D486" t="s">
        <v>79</v>
      </c>
      <c r="E486" t="s">
        <v>55</v>
      </c>
      <c r="F486" t="s">
        <v>56</v>
      </c>
      <c r="G486" t="s">
        <v>92</v>
      </c>
      <c r="H486" t="s">
        <v>57</v>
      </c>
      <c r="I486">
        <v>1</v>
      </c>
      <c r="J486" s="7">
        <v>22</v>
      </c>
      <c r="K486" s="8">
        <v>0.1</v>
      </c>
      <c r="L486" s="9">
        <v>19.8</v>
      </c>
      <c r="M486" s="9">
        <v>7.5</v>
      </c>
      <c r="N486" s="9">
        <v>12.3</v>
      </c>
    </row>
    <row r="487" spans="1:14">
      <c r="A487" t="s">
        <v>888</v>
      </c>
      <c r="B487" s="6">
        <v>45876</v>
      </c>
      <c r="C487" t="s">
        <v>351</v>
      </c>
      <c r="D487" t="s">
        <v>78</v>
      </c>
      <c r="E487" t="s">
        <v>52</v>
      </c>
      <c r="F487" t="s">
        <v>56</v>
      </c>
      <c r="G487" t="s">
        <v>86</v>
      </c>
      <c r="H487" t="s">
        <v>48</v>
      </c>
      <c r="I487">
        <v>1</v>
      </c>
      <c r="J487" s="7">
        <v>34.99</v>
      </c>
      <c r="K487" s="8">
        <v>0.1</v>
      </c>
      <c r="L487" s="9">
        <v>31.491000000000003</v>
      </c>
      <c r="M487" s="9">
        <v>16</v>
      </c>
      <c r="N487" s="9">
        <v>15.491000000000003</v>
      </c>
    </row>
    <row r="488" spans="1:14">
      <c r="A488" t="s">
        <v>889</v>
      </c>
      <c r="B488" s="6">
        <v>45841</v>
      </c>
      <c r="C488" t="s">
        <v>180</v>
      </c>
      <c r="D488" t="s">
        <v>79</v>
      </c>
      <c r="E488" t="s">
        <v>55</v>
      </c>
      <c r="F488" t="s">
        <v>53</v>
      </c>
      <c r="G488" t="s">
        <v>92</v>
      </c>
      <c r="H488" t="s">
        <v>57</v>
      </c>
      <c r="I488">
        <v>4</v>
      </c>
      <c r="J488" s="7">
        <v>22</v>
      </c>
      <c r="K488" s="8">
        <v>0</v>
      </c>
      <c r="L488" s="9">
        <v>88</v>
      </c>
      <c r="M488" s="9">
        <v>30</v>
      </c>
      <c r="N488" s="9">
        <v>58</v>
      </c>
    </row>
    <row r="489" spans="1:14">
      <c r="A489" t="s">
        <v>890</v>
      </c>
      <c r="B489" s="6">
        <v>45716</v>
      </c>
      <c r="C489" t="s">
        <v>637</v>
      </c>
      <c r="D489" t="s">
        <v>79</v>
      </c>
      <c r="E489" t="s">
        <v>58</v>
      </c>
      <c r="F489" t="s">
        <v>53</v>
      </c>
      <c r="G489" t="s">
        <v>91</v>
      </c>
      <c r="H489" t="s">
        <v>57</v>
      </c>
      <c r="I489">
        <v>1</v>
      </c>
      <c r="J489" s="7">
        <v>35</v>
      </c>
      <c r="K489" s="8">
        <v>0</v>
      </c>
      <c r="L489" s="9">
        <v>35</v>
      </c>
      <c r="M489" s="9">
        <v>14</v>
      </c>
      <c r="N489" s="9">
        <v>21</v>
      </c>
    </row>
    <row r="490" spans="1:14">
      <c r="A490" t="s">
        <v>891</v>
      </c>
      <c r="B490" s="6">
        <v>45715</v>
      </c>
      <c r="C490" t="s">
        <v>793</v>
      </c>
      <c r="D490" t="s">
        <v>79</v>
      </c>
      <c r="E490" t="s">
        <v>49</v>
      </c>
      <c r="F490" t="s">
        <v>59</v>
      </c>
      <c r="G490" t="s">
        <v>87</v>
      </c>
      <c r="H490" t="s">
        <v>48</v>
      </c>
      <c r="I490">
        <v>2</v>
      </c>
      <c r="J490" s="7">
        <v>89.99</v>
      </c>
      <c r="K490" s="8">
        <v>0</v>
      </c>
      <c r="L490" s="9">
        <v>179.98</v>
      </c>
      <c r="M490" s="9">
        <v>92</v>
      </c>
      <c r="N490" s="9">
        <v>87.97999999999999</v>
      </c>
    </row>
    <row r="491" spans="1:14">
      <c r="A491" t="s">
        <v>892</v>
      </c>
      <c r="B491" s="6">
        <v>45960</v>
      </c>
      <c r="C491" t="s">
        <v>275</v>
      </c>
      <c r="D491" t="s">
        <v>78</v>
      </c>
      <c r="E491" t="s">
        <v>55</v>
      </c>
      <c r="F491" t="s">
        <v>60</v>
      </c>
      <c r="G491" t="s">
        <v>92</v>
      </c>
      <c r="H491" t="s">
        <v>57</v>
      </c>
      <c r="I491">
        <v>2</v>
      </c>
      <c r="J491" s="7">
        <v>22</v>
      </c>
      <c r="K491" s="8">
        <v>0.1</v>
      </c>
      <c r="L491" s="9">
        <v>39.6</v>
      </c>
      <c r="M491" s="9">
        <v>15</v>
      </c>
      <c r="N491" s="9">
        <v>24.6</v>
      </c>
    </row>
    <row r="492" spans="1:14">
      <c r="A492" t="s">
        <v>893</v>
      </c>
      <c r="B492" s="6">
        <v>45672</v>
      </c>
      <c r="C492" t="s">
        <v>791</v>
      </c>
      <c r="D492" t="s">
        <v>79</v>
      </c>
      <c r="E492" t="s">
        <v>49</v>
      </c>
      <c r="F492" t="s">
        <v>50</v>
      </c>
      <c r="G492" t="s">
        <v>87</v>
      </c>
      <c r="H492" t="s">
        <v>48</v>
      </c>
      <c r="I492">
        <v>1</v>
      </c>
      <c r="J492" s="7">
        <v>89.99</v>
      </c>
      <c r="K492" s="8">
        <v>0.05</v>
      </c>
      <c r="L492" s="9">
        <v>85.490499999999997</v>
      </c>
      <c r="M492" s="9">
        <v>46</v>
      </c>
      <c r="N492" s="9">
        <v>39.490499999999997</v>
      </c>
    </row>
    <row r="493" spans="1:14">
      <c r="A493" t="s">
        <v>894</v>
      </c>
      <c r="B493" s="6">
        <v>45791</v>
      </c>
      <c r="C493" t="s">
        <v>895</v>
      </c>
      <c r="D493" t="s">
        <v>78</v>
      </c>
      <c r="E493" t="s">
        <v>52</v>
      </c>
      <c r="F493" t="s">
        <v>56</v>
      </c>
      <c r="G493" t="s">
        <v>90</v>
      </c>
      <c r="H493" t="s">
        <v>54</v>
      </c>
      <c r="I493">
        <v>1</v>
      </c>
      <c r="J493" s="7">
        <v>29</v>
      </c>
      <c r="K493" s="8">
        <v>0.15</v>
      </c>
      <c r="L493" s="9">
        <v>24.65</v>
      </c>
      <c r="M493" s="9">
        <v>11</v>
      </c>
      <c r="N493" s="9">
        <v>13.649999999999999</v>
      </c>
    </row>
    <row r="494" spans="1:14">
      <c r="A494" t="s">
        <v>896</v>
      </c>
      <c r="B494" s="6">
        <v>45923</v>
      </c>
      <c r="C494" t="s">
        <v>897</v>
      </c>
      <c r="D494" t="s">
        <v>78</v>
      </c>
      <c r="E494" t="s">
        <v>52</v>
      </c>
      <c r="F494" t="s">
        <v>59</v>
      </c>
      <c r="G494" t="s">
        <v>93</v>
      </c>
      <c r="H494" t="s">
        <v>54</v>
      </c>
      <c r="I494">
        <v>2</v>
      </c>
      <c r="J494" s="7">
        <v>68</v>
      </c>
      <c r="K494" s="8">
        <v>0.05</v>
      </c>
      <c r="L494" s="9">
        <v>129.19999999999999</v>
      </c>
      <c r="M494" s="9">
        <v>62</v>
      </c>
      <c r="N494" s="9">
        <v>67.199999999999989</v>
      </c>
    </row>
    <row r="495" spans="1:14">
      <c r="A495" t="s">
        <v>898</v>
      </c>
      <c r="B495" s="6">
        <v>45835</v>
      </c>
      <c r="C495" t="s">
        <v>479</v>
      </c>
      <c r="D495" t="s">
        <v>79</v>
      </c>
      <c r="E495" t="s">
        <v>49</v>
      </c>
      <c r="F495" t="s">
        <v>50</v>
      </c>
      <c r="G495" t="s">
        <v>91</v>
      </c>
      <c r="H495" t="s">
        <v>57</v>
      </c>
      <c r="I495">
        <v>1</v>
      </c>
      <c r="J495" s="7">
        <v>35</v>
      </c>
      <c r="K495" s="8">
        <v>0.1</v>
      </c>
      <c r="L495" s="9">
        <v>31.5</v>
      </c>
      <c r="M495" s="9">
        <v>14</v>
      </c>
      <c r="N495" s="9">
        <v>17.5</v>
      </c>
    </row>
    <row r="496" spans="1:14">
      <c r="A496" t="s">
        <v>899</v>
      </c>
      <c r="B496" s="6">
        <v>45987</v>
      </c>
      <c r="C496" t="s">
        <v>775</v>
      </c>
      <c r="D496" t="s">
        <v>78</v>
      </c>
      <c r="E496" t="s">
        <v>49</v>
      </c>
      <c r="F496" t="s">
        <v>59</v>
      </c>
      <c r="G496" t="s">
        <v>87</v>
      </c>
      <c r="H496" t="s">
        <v>48</v>
      </c>
      <c r="I496">
        <v>1</v>
      </c>
      <c r="J496" s="7">
        <v>89.99</v>
      </c>
      <c r="K496" s="8">
        <v>0</v>
      </c>
      <c r="L496" s="9">
        <v>89.99</v>
      </c>
      <c r="M496" s="9">
        <v>46</v>
      </c>
      <c r="N496" s="9">
        <v>43.989999999999995</v>
      </c>
    </row>
    <row r="497" spans="1:14">
      <c r="A497" t="s">
        <v>900</v>
      </c>
      <c r="B497" s="6">
        <v>45822</v>
      </c>
      <c r="C497" t="s">
        <v>901</v>
      </c>
      <c r="D497" t="s">
        <v>78</v>
      </c>
      <c r="E497" t="s">
        <v>58</v>
      </c>
      <c r="F497" t="s">
        <v>59</v>
      </c>
      <c r="G497" t="s">
        <v>88</v>
      </c>
      <c r="H497" t="s">
        <v>51</v>
      </c>
      <c r="I497">
        <v>1</v>
      </c>
      <c r="J497" s="7">
        <v>42</v>
      </c>
      <c r="K497" s="8">
        <v>0</v>
      </c>
      <c r="L497" s="9">
        <v>42</v>
      </c>
      <c r="M497" s="9">
        <v>19</v>
      </c>
      <c r="N497" s="9">
        <v>23</v>
      </c>
    </row>
    <row r="498" spans="1:14">
      <c r="A498" t="s">
        <v>902</v>
      </c>
      <c r="B498" s="6">
        <v>45778</v>
      </c>
      <c r="C498" t="s">
        <v>903</v>
      </c>
      <c r="D498" t="s">
        <v>78</v>
      </c>
      <c r="E498" t="s">
        <v>58</v>
      </c>
      <c r="F498" t="s">
        <v>56</v>
      </c>
      <c r="G498" t="s">
        <v>86</v>
      </c>
      <c r="H498" t="s">
        <v>48</v>
      </c>
      <c r="I498">
        <v>1</v>
      </c>
      <c r="J498" s="7">
        <v>34.99</v>
      </c>
      <c r="K498" s="8">
        <v>0.1</v>
      </c>
      <c r="L498" s="9">
        <v>31.491000000000003</v>
      </c>
      <c r="M498" s="9">
        <v>16</v>
      </c>
      <c r="N498" s="9">
        <v>15.491000000000003</v>
      </c>
    </row>
    <row r="499" spans="1:14">
      <c r="A499" t="s">
        <v>904</v>
      </c>
      <c r="B499" s="6">
        <v>45718</v>
      </c>
      <c r="C499" t="s">
        <v>154</v>
      </c>
      <c r="D499" t="s">
        <v>78</v>
      </c>
      <c r="E499" t="s">
        <v>49</v>
      </c>
      <c r="F499" t="s">
        <v>50</v>
      </c>
      <c r="G499" t="s">
        <v>92</v>
      </c>
      <c r="H499" t="s">
        <v>57</v>
      </c>
      <c r="I499">
        <v>2</v>
      </c>
      <c r="J499" s="7">
        <v>22</v>
      </c>
      <c r="K499" s="8">
        <v>0</v>
      </c>
      <c r="L499" s="9">
        <v>44</v>
      </c>
      <c r="M499" s="9">
        <v>15</v>
      </c>
      <c r="N499" s="9">
        <v>29</v>
      </c>
    </row>
    <row r="500" spans="1:14">
      <c r="A500" t="s">
        <v>905</v>
      </c>
      <c r="B500" s="6">
        <v>45967</v>
      </c>
      <c r="C500" t="s">
        <v>419</v>
      </c>
      <c r="D500" t="s">
        <v>78</v>
      </c>
      <c r="E500" t="s">
        <v>58</v>
      </c>
      <c r="F500" t="s">
        <v>56</v>
      </c>
      <c r="G500" t="s">
        <v>94</v>
      </c>
      <c r="H500" t="s">
        <v>51</v>
      </c>
      <c r="I500">
        <v>2</v>
      </c>
      <c r="J500" s="7">
        <v>18</v>
      </c>
      <c r="K500" s="8">
        <v>0.15</v>
      </c>
      <c r="L500" s="9">
        <v>30.599999999999998</v>
      </c>
      <c r="M500" s="9">
        <v>11</v>
      </c>
      <c r="N500" s="9">
        <v>19.599999999999998</v>
      </c>
    </row>
    <row r="501" spans="1:14">
      <c r="A501" t="s">
        <v>906</v>
      </c>
      <c r="B501" s="6">
        <v>45844</v>
      </c>
      <c r="C501" t="s">
        <v>907</v>
      </c>
      <c r="D501" t="s">
        <v>78</v>
      </c>
      <c r="E501" t="s">
        <v>58</v>
      </c>
      <c r="F501" t="s">
        <v>56</v>
      </c>
      <c r="G501" t="s">
        <v>85</v>
      </c>
      <c r="H501" t="s">
        <v>48</v>
      </c>
      <c r="I501">
        <v>2</v>
      </c>
      <c r="J501" s="7">
        <v>59.99</v>
      </c>
      <c r="K501" s="8">
        <v>0.15</v>
      </c>
      <c r="L501" s="9">
        <v>101.983</v>
      </c>
      <c r="M501" s="9">
        <v>56</v>
      </c>
      <c r="N501" s="9">
        <v>45.983000000000004</v>
      </c>
    </row>
    <row r="502" spans="1:14">
      <c r="A502" t="s">
        <v>908</v>
      </c>
      <c r="B502" s="6">
        <v>45889</v>
      </c>
      <c r="C502" t="s">
        <v>909</v>
      </c>
      <c r="D502" t="s">
        <v>78</v>
      </c>
      <c r="E502" t="s">
        <v>55</v>
      </c>
      <c r="F502" t="s">
        <v>60</v>
      </c>
      <c r="G502" t="s">
        <v>86</v>
      </c>
      <c r="H502" t="s">
        <v>48</v>
      </c>
      <c r="I502">
        <v>1</v>
      </c>
      <c r="J502" s="7">
        <v>34.99</v>
      </c>
      <c r="K502" s="8">
        <v>0.05</v>
      </c>
      <c r="L502" s="9">
        <v>33.240499999999997</v>
      </c>
      <c r="M502" s="9">
        <v>16</v>
      </c>
      <c r="N502" s="9">
        <v>17.240499999999997</v>
      </c>
    </row>
    <row r="503" spans="1:14">
      <c r="A503" t="s">
        <v>910</v>
      </c>
      <c r="B503" s="6">
        <v>45925</v>
      </c>
      <c r="C503" t="s">
        <v>399</v>
      </c>
      <c r="D503" t="s">
        <v>78</v>
      </c>
      <c r="E503" t="s">
        <v>58</v>
      </c>
      <c r="F503" t="s">
        <v>50</v>
      </c>
      <c r="G503" t="s">
        <v>90</v>
      </c>
      <c r="H503" t="s">
        <v>54</v>
      </c>
      <c r="I503">
        <v>2</v>
      </c>
      <c r="J503" s="7">
        <v>29</v>
      </c>
      <c r="K503" s="8">
        <v>0</v>
      </c>
      <c r="L503" s="9">
        <v>58</v>
      </c>
      <c r="M503" s="9">
        <v>22</v>
      </c>
      <c r="N503" s="9">
        <v>36</v>
      </c>
    </row>
    <row r="504" spans="1:14">
      <c r="A504" t="s">
        <v>911</v>
      </c>
      <c r="B504" s="6">
        <v>45788</v>
      </c>
      <c r="C504" t="s">
        <v>606</v>
      </c>
      <c r="D504" t="s">
        <v>79</v>
      </c>
      <c r="E504" t="s">
        <v>58</v>
      </c>
      <c r="F504" t="s">
        <v>53</v>
      </c>
      <c r="G504" t="s">
        <v>94</v>
      </c>
      <c r="H504" t="s">
        <v>51</v>
      </c>
      <c r="I504">
        <v>1</v>
      </c>
      <c r="J504" s="7">
        <v>18</v>
      </c>
      <c r="K504" s="8">
        <v>0</v>
      </c>
      <c r="L504" s="9">
        <v>18</v>
      </c>
      <c r="M504" s="9">
        <v>5.5</v>
      </c>
      <c r="N504" s="9">
        <v>12.5</v>
      </c>
    </row>
    <row r="505" spans="1:14">
      <c r="A505" t="s">
        <v>912</v>
      </c>
      <c r="B505" s="6">
        <v>45831</v>
      </c>
      <c r="C505" t="s">
        <v>410</v>
      </c>
      <c r="D505" t="s">
        <v>79</v>
      </c>
      <c r="E505" t="s">
        <v>49</v>
      </c>
      <c r="F505" t="s">
        <v>59</v>
      </c>
      <c r="G505" t="s">
        <v>86</v>
      </c>
      <c r="H505" t="s">
        <v>48</v>
      </c>
      <c r="I505">
        <v>2</v>
      </c>
      <c r="J505" s="7">
        <v>34.99</v>
      </c>
      <c r="K505" s="8">
        <v>0</v>
      </c>
      <c r="L505" s="9">
        <v>69.98</v>
      </c>
      <c r="M505" s="9">
        <v>32</v>
      </c>
      <c r="N505" s="9">
        <v>37.980000000000004</v>
      </c>
    </row>
    <row r="506" spans="1:14">
      <c r="A506" t="s">
        <v>913</v>
      </c>
      <c r="B506" s="6">
        <v>45892</v>
      </c>
      <c r="C506" t="s">
        <v>769</v>
      </c>
      <c r="D506" t="s">
        <v>78</v>
      </c>
      <c r="E506" t="s">
        <v>49</v>
      </c>
      <c r="F506" t="s">
        <v>60</v>
      </c>
      <c r="G506" t="s">
        <v>94</v>
      </c>
      <c r="H506" t="s">
        <v>51</v>
      </c>
      <c r="I506">
        <v>4</v>
      </c>
      <c r="J506" s="7">
        <v>18</v>
      </c>
      <c r="K506" s="8">
        <v>0</v>
      </c>
      <c r="L506" s="9">
        <v>72</v>
      </c>
      <c r="M506" s="9">
        <v>22</v>
      </c>
      <c r="N506" s="9">
        <v>50</v>
      </c>
    </row>
    <row r="507" spans="1:14">
      <c r="A507" t="s">
        <v>914</v>
      </c>
      <c r="B507" s="6">
        <v>45879</v>
      </c>
      <c r="C507" t="s">
        <v>915</v>
      </c>
      <c r="D507" t="s">
        <v>79</v>
      </c>
      <c r="E507" t="s">
        <v>52</v>
      </c>
      <c r="F507" t="s">
        <v>53</v>
      </c>
      <c r="G507" t="s">
        <v>94</v>
      </c>
      <c r="H507" t="s">
        <v>51</v>
      </c>
      <c r="I507">
        <v>1</v>
      </c>
      <c r="J507" s="7">
        <v>18</v>
      </c>
      <c r="K507" s="8">
        <v>0.05</v>
      </c>
      <c r="L507" s="9">
        <v>17.099999999999998</v>
      </c>
      <c r="M507" s="9">
        <v>5.5</v>
      </c>
      <c r="N507" s="9">
        <v>11.599999999999998</v>
      </c>
    </row>
    <row r="508" spans="1:14">
      <c r="A508" t="s">
        <v>916</v>
      </c>
      <c r="B508" s="6">
        <v>45711</v>
      </c>
      <c r="C508" t="s">
        <v>705</v>
      </c>
      <c r="D508" t="s">
        <v>78</v>
      </c>
      <c r="E508" t="s">
        <v>58</v>
      </c>
      <c r="F508" t="s">
        <v>60</v>
      </c>
      <c r="G508" t="s">
        <v>91</v>
      </c>
      <c r="H508" t="s">
        <v>57</v>
      </c>
      <c r="I508">
        <v>2</v>
      </c>
      <c r="J508" s="7">
        <v>35</v>
      </c>
      <c r="K508" s="8">
        <v>0.05</v>
      </c>
      <c r="L508" s="9">
        <v>66.5</v>
      </c>
      <c r="M508" s="9">
        <v>28</v>
      </c>
      <c r="N508" s="9">
        <v>38.5</v>
      </c>
    </row>
    <row r="509" spans="1:14">
      <c r="A509" t="s">
        <v>917</v>
      </c>
      <c r="B509" s="6">
        <v>46012</v>
      </c>
      <c r="C509" t="s">
        <v>697</v>
      </c>
      <c r="D509" t="s">
        <v>79</v>
      </c>
      <c r="E509" t="s">
        <v>52</v>
      </c>
      <c r="F509" t="s">
        <v>53</v>
      </c>
      <c r="G509" t="s">
        <v>88</v>
      </c>
      <c r="H509" t="s">
        <v>51</v>
      </c>
      <c r="I509">
        <v>1</v>
      </c>
      <c r="J509" s="7">
        <v>42</v>
      </c>
      <c r="K509" s="8">
        <v>0.2</v>
      </c>
      <c r="L509" s="9">
        <v>33.6</v>
      </c>
      <c r="M509" s="9">
        <v>19</v>
      </c>
      <c r="N509" s="9">
        <v>14.600000000000001</v>
      </c>
    </row>
    <row r="510" spans="1:14">
      <c r="A510" t="s">
        <v>918</v>
      </c>
      <c r="B510" s="6">
        <v>45869</v>
      </c>
      <c r="C510" t="s">
        <v>919</v>
      </c>
      <c r="D510" t="s">
        <v>78</v>
      </c>
      <c r="E510" t="s">
        <v>55</v>
      </c>
      <c r="F510" t="s">
        <v>60</v>
      </c>
      <c r="G510" t="s">
        <v>94</v>
      </c>
      <c r="H510" t="s">
        <v>51</v>
      </c>
      <c r="I510">
        <v>2</v>
      </c>
      <c r="J510" s="7">
        <v>18</v>
      </c>
      <c r="K510" s="8">
        <v>0.1</v>
      </c>
      <c r="L510" s="9">
        <v>32.4</v>
      </c>
      <c r="M510" s="9">
        <v>11</v>
      </c>
      <c r="N510" s="9">
        <v>21.4</v>
      </c>
    </row>
    <row r="511" spans="1:14">
      <c r="A511" t="s">
        <v>920</v>
      </c>
      <c r="B511" s="6">
        <v>45981</v>
      </c>
      <c r="C511" t="s">
        <v>439</v>
      </c>
      <c r="D511" t="s">
        <v>78</v>
      </c>
      <c r="E511" t="s">
        <v>52</v>
      </c>
      <c r="F511" t="s">
        <v>53</v>
      </c>
      <c r="G511" t="s">
        <v>88</v>
      </c>
      <c r="H511" t="s">
        <v>51</v>
      </c>
      <c r="I511">
        <v>1</v>
      </c>
      <c r="J511" s="7">
        <v>42</v>
      </c>
      <c r="K511" s="8">
        <v>0.05</v>
      </c>
      <c r="L511" s="9">
        <v>39.9</v>
      </c>
      <c r="M511" s="9">
        <v>19</v>
      </c>
      <c r="N511" s="9">
        <v>20.9</v>
      </c>
    </row>
    <row r="512" spans="1:14">
      <c r="A512" t="s">
        <v>921</v>
      </c>
      <c r="B512" s="6">
        <v>45915</v>
      </c>
      <c r="C512" t="s">
        <v>922</v>
      </c>
      <c r="D512" t="s">
        <v>78</v>
      </c>
      <c r="E512" t="s">
        <v>58</v>
      </c>
      <c r="F512" t="s">
        <v>60</v>
      </c>
      <c r="G512" t="s">
        <v>93</v>
      </c>
      <c r="H512" t="s">
        <v>54</v>
      </c>
      <c r="I512">
        <v>2</v>
      </c>
      <c r="J512" s="7">
        <v>68</v>
      </c>
      <c r="K512" s="8">
        <v>0</v>
      </c>
      <c r="L512" s="9">
        <v>136</v>
      </c>
      <c r="M512" s="9">
        <v>62</v>
      </c>
      <c r="N512" s="9">
        <v>74</v>
      </c>
    </row>
    <row r="513" spans="1:14">
      <c r="A513" t="s">
        <v>923</v>
      </c>
      <c r="B513" s="6">
        <v>45950</v>
      </c>
      <c r="C513" t="s">
        <v>188</v>
      </c>
      <c r="D513" t="s">
        <v>78</v>
      </c>
      <c r="E513" t="s">
        <v>49</v>
      </c>
      <c r="F513" t="s">
        <v>60</v>
      </c>
      <c r="G513" t="s">
        <v>91</v>
      </c>
      <c r="H513" t="s">
        <v>57</v>
      </c>
      <c r="I513">
        <v>2</v>
      </c>
      <c r="J513" s="7">
        <v>35</v>
      </c>
      <c r="K513" s="8">
        <v>0.15</v>
      </c>
      <c r="L513" s="9">
        <v>59.5</v>
      </c>
      <c r="M513" s="9">
        <v>28</v>
      </c>
      <c r="N513" s="9">
        <v>31.5</v>
      </c>
    </row>
    <row r="514" spans="1:14">
      <c r="A514" t="s">
        <v>924</v>
      </c>
      <c r="B514" s="6">
        <v>45712</v>
      </c>
      <c r="C514" t="s">
        <v>925</v>
      </c>
      <c r="D514" t="s">
        <v>78</v>
      </c>
      <c r="E514" t="s">
        <v>52</v>
      </c>
      <c r="F514" t="s">
        <v>56</v>
      </c>
      <c r="G514" t="s">
        <v>85</v>
      </c>
      <c r="H514" t="s">
        <v>48</v>
      </c>
      <c r="I514">
        <v>1</v>
      </c>
      <c r="J514" s="7">
        <v>59.99</v>
      </c>
      <c r="K514" s="8">
        <v>0</v>
      </c>
      <c r="L514" s="9">
        <v>59.99</v>
      </c>
      <c r="M514" s="9">
        <v>28</v>
      </c>
      <c r="N514" s="9">
        <v>31.990000000000002</v>
      </c>
    </row>
    <row r="515" spans="1:14">
      <c r="A515" t="s">
        <v>926</v>
      </c>
      <c r="B515" s="6">
        <v>46007</v>
      </c>
      <c r="C515" t="s">
        <v>513</v>
      </c>
      <c r="D515" t="s">
        <v>79</v>
      </c>
      <c r="E515" t="s">
        <v>49</v>
      </c>
      <c r="F515" t="s">
        <v>56</v>
      </c>
      <c r="G515" t="s">
        <v>89</v>
      </c>
      <c r="H515" t="s">
        <v>51</v>
      </c>
      <c r="I515">
        <v>1</v>
      </c>
      <c r="J515" s="7">
        <v>38</v>
      </c>
      <c r="K515" s="8">
        <v>0</v>
      </c>
      <c r="L515" s="9">
        <v>38</v>
      </c>
      <c r="M515" s="9">
        <v>17</v>
      </c>
      <c r="N515" s="9">
        <v>21</v>
      </c>
    </row>
    <row r="516" spans="1:14">
      <c r="A516" t="s">
        <v>927</v>
      </c>
      <c r="B516" s="6">
        <v>45889</v>
      </c>
      <c r="C516" t="s">
        <v>612</v>
      </c>
      <c r="D516" t="s">
        <v>78</v>
      </c>
      <c r="E516" t="s">
        <v>58</v>
      </c>
      <c r="F516" t="s">
        <v>53</v>
      </c>
      <c r="G516" t="s">
        <v>86</v>
      </c>
      <c r="H516" t="s">
        <v>48</v>
      </c>
      <c r="I516">
        <v>2</v>
      </c>
      <c r="J516" s="7">
        <v>34.99</v>
      </c>
      <c r="K516" s="8">
        <v>0.1</v>
      </c>
      <c r="L516" s="9">
        <v>62.982000000000006</v>
      </c>
      <c r="M516" s="9">
        <v>32</v>
      </c>
      <c r="N516" s="9">
        <v>30.982000000000006</v>
      </c>
    </row>
    <row r="517" spans="1:14">
      <c r="A517" t="s">
        <v>928</v>
      </c>
      <c r="B517" s="6">
        <v>45919</v>
      </c>
      <c r="C517" t="s">
        <v>318</v>
      </c>
      <c r="D517" t="s">
        <v>78</v>
      </c>
      <c r="E517" t="s">
        <v>55</v>
      </c>
      <c r="F517" t="s">
        <v>60</v>
      </c>
      <c r="G517" t="s">
        <v>89</v>
      </c>
      <c r="H517" t="s">
        <v>51</v>
      </c>
      <c r="I517">
        <v>2</v>
      </c>
      <c r="J517" s="7">
        <v>38</v>
      </c>
      <c r="K517" s="8">
        <v>0</v>
      </c>
      <c r="L517" s="9">
        <v>76</v>
      </c>
      <c r="M517" s="9">
        <v>34</v>
      </c>
      <c r="N517" s="9">
        <v>42</v>
      </c>
    </row>
    <row r="518" spans="1:14">
      <c r="A518" t="s">
        <v>929</v>
      </c>
      <c r="B518" s="6">
        <v>45685</v>
      </c>
      <c r="C518" t="s">
        <v>641</v>
      </c>
      <c r="D518" t="s">
        <v>79</v>
      </c>
      <c r="E518" t="s">
        <v>52</v>
      </c>
      <c r="F518" t="s">
        <v>56</v>
      </c>
      <c r="G518" t="s">
        <v>85</v>
      </c>
      <c r="H518" t="s">
        <v>48</v>
      </c>
      <c r="I518">
        <v>2</v>
      </c>
      <c r="J518" s="7">
        <v>59.99</v>
      </c>
      <c r="K518" s="8">
        <v>0</v>
      </c>
      <c r="L518" s="9">
        <v>119.98</v>
      </c>
      <c r="M518" s="9">
        <v>56</v>
      </c>
      <c r="N518" s="9">
        <v>63.980000000000004</v>
      </c>
    </row>
    <row r="519" spans="1:14">
      <c r="A519" t="s">
        <v>930</v>
      </c>
      <c r="B519" s="6">
        <v>45959</v>
      </c>
      <c r="C519" t="s">
        <v>481</v>
      </c>
      <c r="D519" t="s">
        <v>79</v>
      </c>
      <c r="E519" t="s">
        <v>55</v>
      </c>
      <c r="F519" t="s">
        <v>59</v>
      </c>
      <c r="G519" t="s">
        <v>93</v>
      </c>
      <c r="H519" t="s">
        <v>54</v>
      </c>
      <c r="I519">
        <v>2</v>
      </c>
      <c r="J519" s="7">
        <v>68</v>
      </c>
      <c r="K519" s="8">
        <v>0</v>
      </c>
      <c r="L519" s="9">
        <v>136</v>
      </c>
      <c r="M519" s="9">
        <v>62</v>
      </c>
      <c r="N519" s="9">
        <v>74</v>
      </c>
    </row>
    <row r="520" spans="1:14">
      <c r="A520" t="s">
        <v>931</v>
      </c>
      <c r="B520" s="6">
        <v>45748</v>
      </c>
      <c r="C520" t="s">
        <v>634</v>
      </c>
      <c r="D520" t="s">
        <v>78</v>
      </c>
      <c r="E520" t="s">
        <v>49</v>
      </c>
      <c r="F520" t="s">
        <v>59</v>
      </c>
      <c r="G520" t="s">
        <v>86</v>
      </c>
      <c r="H520" t="s">
        <v>48</v>
      </c>
      <c r="I520">
        <v>1</v>
      </c>
      <c r="J520" s="7">
        <v>34.99</v>
      </c>
      <c r="K520" s="8">
        <v>0</v>
      </c>
      <c r="L520" s="9">
        <v>34.99</v>
      </c>
      <c r="M520" s="9">
        <v>16</v>
      </c>
      <c r="N520" s="9">
        <v>18.990000000000002</v>
      </c>
    </row>
    <row r="521" spans="1:14">
      <c r="A521" t="s">
        <v>932</v>
      </c>
      <c r="B521" s="6">
        <v>45800</v>
      </c>
      <c r="C521" t="s">
        <v>323</v>
      </c>
      <c r="D521" t="s">
        <v>79</v>
      </c>
      <c r="E521" t="s">
        <v>55</v>
      </c>
      <c r="F521" t="s">
        <v>59</v>
      </c>
      <c r="G521" t="s">
        <v>93</v>
      </c>
      <c r="H521" t="s">
        <v>54</v>
      </c>
      <c r="I521">
        <v>1</v>
      </c>
      <c r="J521" s="7">
        <v>68</v>
      </c>
      <c r="K521" s="8">
        <v>0</v>
      </c>
      <c r="L521" s="9">
        <v>68</v>
      </c>
      <c r="M521" s="9">
        <v>31</v>
      </c>
      <c r="N521" s="9">
        <v>37</v>
      </c>
    </row>
    <row r="522" spans="1:14">
      <c r="A522" t="s">
        <v>933</v>
      </c>
      <c r="B522" s="6">
        <v>46021</v>
      </c>
      <c r="C522" t="s">
        <v>222</v>
      </c>
      <c r="D522" t="s">
        <v>79</v>
      </c>
      <c r="E522" t="s">
        <v>55</v>
      </c>
      <c r="F522" t="s">
        <v>59</v>
      </c>
      <c r="G522" t="s">
        <v>87</v>
      </c>
      <c r="H522" t="s">
        <v>48</v>
      </c>
      <c r="I522">
        <v>1</v>
      </c>
      <c r="J522" s="7">
        <v>89.99</v>
      </c>
      <c r="K522" s="8">
        <v>0.15</v>
      </c>
      <c r="L522" s="9">
        <v>76.491499999999988</v>
      </c>
      <c r="M522" s="9">
        <v>46</v>
      </c>
      <c r="N522" s="9">
        <v>30.491499999999988</v>
      </c>
    </row>
    <row r="523" spans="1:14">
      <c r="A523" t="s">
        <v>934</v>
      </c>
      <c r="B523" s="6">
        <v>45951</v>
      </c>
      <c r="C523" t="s">
        <v>791</v>
      </c>
      <c r="D523" t="s">
        <v>78</v>
      </c>
      <c r="E523" t="s">
        <v>52</v>
      </c>
      <c r="F523" t="s">
        <v>60</v>
      </c>
      <c r="G523" t="s">
        <v>93</v>
      </c>
      <c r="H523" t="s">
        <v>54</v>
      </c>
      <c r="I523">
        <v>1</v>
      </c>
      <c r="J523" s="7">
        <v>68</v>
      </c>
      <c r="K523" s="8">
        <v>0.1</v>
      </c>
      <c r="L523" s="9">
        <v>61.2</v>
      </c>
      <c r="M523" s="9">
        <v>31</v>
      </c>
      <c r="N523" s="9">
        <v>30.200000000000003</v>
      </c>
    </row>
    <row r="524" spans="1:14">
      <c r="A524" t="s">
        <v>935</v>
      </c>
      <c r="B524" s="6">
        <v>45692</v>
      </c>
      <c r="C524" t="s">
        <v>337</v>
      </c>
      <c r="D524" t="s">
        <v>78</v>
      </c>
      <c r="E524" t="s">
        <v>52</v>
      </c>
      <c r="F524" t="s">
        <v>53</v>
      </c>
      <c r="G524" t="s">
        <v>93</v>
      </c>
      <c r="H524" t="s">
        <v>54</v>
      </c>
      <c r="I524">
        <v>1</v>
      </c>
      <c r="J524" s="7">
        <v>68</v>
      </c>
      <c r="K524" s="8">
        <v>0.05</v>
      </c>
      <c r="L524" s="9">
        <v>64.599999999999994</v>
      </c>
      <c r="M524" s="9">
        <v>31</v>
      </c>
      <c r="N524" s="9">
        <v>33.599999999999994</v>
      </c>
    </row>
    <row r="525" spans="1:14">
      <c r="A525" t="s">
        <v>936</v>
      </c>
      <c r="B525" s="6">
        <v>45997</v>
      </c>
      <c r="C525" t="s">
        <v>937</v>
      </c>
      <c r="D525" t="s">
        <v>79</v>
      </c>
      <c r="E525" t="s">
        <v>58</v>
      </c>
      <c r="F525" t="s">
        <v>60</v>
      </c>
      <c r="G525" t="s">
        <v>90</v>
      </c>
      <c r="H525" t="s">
        <v>54</v>
      </c>
      <c r="I525">
        <v>1</v>
      </c>
      <c r="J525" s="7">
        <v>29</v>
      </c>
      <c r="K525" s="8">
        <v>0</v>
      </c>
      <c r="L525" s="9">
        <v>29</v>
      </c>
      <c r="M525" s="9">
        <v>11</v>
      </c>
      <c r="N525" s="9">
        <v>18</v>
      </c>
    </row>
    <row r="526" spans="1:14">
      <c r="A526" t="s">
        <v>938</v>
      </c>
      <c r="B526" s="6">
        <v>45990</v>
      </c>
      <c r="C526" t="s">
        <v>168</v>
      </c>
      <c r="D526" t="s">
        <v>78</v>
      </c>
      <c r="E526" t="s">
        <v>52</v>
      </c>
      <c r="F526" t="s">
        <v>50</v>
      </c>
      <c r="G526" t="s">
        <v>85</v>
      </c>
      <c r="H526" t="s">
        <v>48</v>
      </c>
      <c r="I526">
        <v>1</v>
      </c>
      <c r="J526" s="7">
        <v>59.99</v>
      </c>
      <c r="K526" s="8">
        <v>0</v>
      </c>
      <c r="L526" s="9">
        <v>59.99</v>
      </c>
      <c r="M526" s="9">
        <v>28</v>
      </c>
      <c r="N526" s="9">
        <v>31.990000000000002</v>
      </c>
    </row>
    <row r="527" spans="1:14">
      <c r="A527" t="s">
        <v>939</v>
      </c>
      <c r="B527" s="6">
        <v>46007</v>
      </c>
      <c r="C527" t="s">
        <v>940</v>
      </c>
      <c r="D527" t="s">
        <v>78</v>
      </c>
      <c r="E527" t="s">
        <v>55</v>
      </c>
      <c r="F527" t="s">
        <v>50</v>
      </c>
      <c r="G527" t="s">
        <v>90</v>
      </c>
      <c r="H527" t="s">
        <v>54</v>
      </c>
      <c r="I527">
        <v>1</v>
      </c>
      <c r="J527" s="7">
        <v>29</v>
      </c>
      <c r="K527" s="8">
        <v>0.1</v>
      </c>
      <c r="L527" s="9">
        <v>26.1</v>
      </c>
      <c r="M527" s="9">
        <v>11</v>
      </c>
      <c r="N527" s="9">
        <v>15.100000000000001</v>
      </c>
    </row>
    <row r="528" spans="1:14">
      <c r="A528" t="s">
        <v>941</v>
      </c>
      <c r="B528" s="6">
        <v>45922</v>
      </c>
      <c r="C528" t="s">
        <v>273</v>
      </c>
      <c r="D528" t="s">
        <v>78</v>
      </c>
      <c r="E528" t="s">
        <v>52</v>
      </c>
      <c r="F528" t="s">
        <v>56</v>
      </c>
      <c r="G528" t="s">
        <v>90</v>
      </c>
      <c r="H528" t="s">
        <v>54</v>
      </c>
      <c r="I528">
        <v>1</v>
      </c>
      <c r="J528" s="7">
        <v>29</v>
      </c>
      <c r="K528" s="8">
        <v>0.05</v>
      </c>
      <c r="L528" s="9">
        <v>27.549999999999997</v>
      </c>
      <c r="M528" s="9">
        <v>11</v>
      </c>
      <c r="N528" s="9">
        <v>16.549999999999997</v>
      </c>
    </row>
    <row r="529" spans="1:14">
      <c r="A529" t="s">
        <v>942</v>
      </c>
      <c r="B529" s="6">
        <v>45921</v>
      </c>
      <c r="C529" t="s">
        <v>148</v>
      </c>
      <c r="D529" t="s">
        <v>79</v>
      </c>
      <c r="E529" t="s">
        <v>49</v>
      </c>
      <c r="F529" t="s">
        <v>50</v>
      </c>
      <c r="G529" t="s">
        <v>86</v>
      </c>
      <c r="H529" t="s">
        <v>48</v>
      </c>
      <c r="I529">
        <v>3</v>
      </c>
      <c r="J529" s="7">
        <v>34.99</v>
      </c>
      <c r="K529" s="8">
        <v>0</v>
      </c>
      <c r="L529" s="9">
        <v>104.97</v>
      </c>
      <c r="M529" s="9">
        <v>48</v>
      </c>
      <c r="N529" s="9">
        <v>56.97</v>
      </c>
    </row>
    <row r="530" spans="1:14">
      <c r="A530" t="s">
        <v>943</v>
      </c>
      <c r="B530" s="6">
        <v>45765</v>
      </c>
      <c r="C530" t="s">
        <v>396</v>
      </c>
      <c r="D530" t="s">
        <v>78</v>
      </c>
      <c r="E530" t="s">
        <v>58</v>
      </c>
      <c r="F530" t="s">
        <v>50</v>
      </c>
      <c r="G530" t="s">
        <v>88</v>
      </c>
      <c r="H530" t="s">
        <v>51</v>
      </c>
      <c r="I530">
        <v>3</v>
      </c>
      <c r="J530" s="7">
        <v>42</v>
      </c>
      <c r="K530" s="8">
        <v>0</v>
      </c>
      <c r="L530" s="9">
        <v>126</v>
      </c>
      <c r="M530" s="9">
        <v>57</v>
      </c>
      <c r="N530" s="9">
        <v>69</v>
      </c>
    </row>
    <row r="531" spans="1:14">
      <c r="A531" t="s">
        <v>944</v>
      </c>
      <c r="B531" s="6">
        <v>46009</v>
      </c>
      <c r="C531" t="s">
        <v>579</v>
      </c>
      <c r="D531" t="s">
        <v>78</v>
      </c>
      <c r="E531" t="s">
        <v>49</v>
      </c>
      <c r="F531" t="s">
        <v>53</v>
      </c>
      <c r="G531" t="s">
        <v>87</v>
      </c>
      <c r="H531" t="s">
        <v>48</v>
      </c>
      <c r="I531">
        <v>1</v>
      </c>
      <c r="J531" s="7">
        <v>89.99</v>
      </c>
      <c r="K531" s="8">
        <v>0.1</v>
      </c>
      <c r="L531" s="9">
        <v>80.991</v>
      </c>
      <c r="M531" s="9">
        <v>46</v>
      </c>
      <c r="N531" s="9">
        <v>34.991</v>
      </c>
    </row>
    <row r="532" spans="1:14">
      <c r="A532" t="s">
        <v>945</v>
      </c>
      <c r="B532" s="6">
        <v>45786</v>
      </c>
      <c r="C532" t="s">
        <v>394</v>
      </c>
      <c r="D532" t="s">
        <v>79</v>
      </c>
      <c r="E532" t="s">
        <v>58</v>
      </c>
      <c r="F532" t="s">
        <v>59</v>
      </c>
      <c r="G532" t="s">
        <v>93</v>
      </c>
      <c r="H532" t="s">
        <v>54</v>
      </c>
      <c r="I532">
        <v>1</v>
      </c>
      <c r="J532" s="7">
        <v>68</v>
      </c>
      <c r="K532" s="8">
        <v>0.1</v>
      </c>
      <c r="L532" s="9">
        <v>61.2</v>
      </c>
      <c r="M532" s="9">
        <v>31</v>
      </c>
      <c r="N532" s="9">
        <v>30.200000000000003</v>
      </c>
    </row>
    <row r="533" spans="1:14">
      <c r="A533" t="s">
        <v>946</v>
      </c>
      <c r="B533" s="6">
        <v>45980</v>
      </c>
      <c r="C533" t="s">
        <v>925</v>
      </c>
      <c r="D533" t="s">
        <v>79</v>
      </c>
      <c r="E533" t="s">
        <v>49</v>
      </c>
      <c r="F533" t="s">
        <v>60</v>
      </c>
      <c r="G533" t="s">
        <v>91</v>
      </c>
      <c r="H533" t="s">
        <v>57</v>
      </c>
      <c r="I533">
        <v>1</v>
      </c>
      <c r="J533" s="7">
        <v>35</v>
      </c>
      <c r="K533" s="8">
        <v>0</v>
      </c>
      <c r="L533" s="9">
        <v>35</v>
      </c>
      <c r="M533" s="9">
        <v>14</v>
      </c>
      <c r="N533" s="9">
        <v>21</v>
      </c>
    </row>
    <row r="534" spans="1:14">
      <c r="A534" t="s">
        <v>947</v>
      </c>
      <c r="B534" s="6">
        <v>45690</v>
      </c>
      <c r="C534" t="s">
        <v>948</v>
      </c>
      <c r="D534" t="s">
        <v>78</v>
      </c>
      <c r="E534" t="s">
        <v>49</v>
      </c>
      <c r="F534" t="s">
        <v>56</v>
      </c>
      <c r="G534" t="s">
        <v>94</v>
      </c>
      <c r="H534" t="s">
        <v>51</v>
      </c>
      <c r="I534">
        <v>1</v>
      </c>
      <c r="J534" s="7">
        <v>18</v>
      </c>
      <c r="K534" s="8">
        <v>0.15</v>
      </c>
      <c r="L534" s="9">
        <v>15.299999999999999</v>
      </c>
      <c r="M534" s="9">
        <v>5.5</v>
      </c>
      <c r="N534" s="9">
        <v>9.7999999999999989</v>
      </c>
    </row>
    <row r="535" spans="1:14">
      <c r="A535" t="s">
        <v>949</v>
      </c>
      <c r="B535" s="6">
        <v>46009</v>
      </c>
      <c r="C535" t="s">
        <v>570</v>
      </c>
      <c r="D535" t="s">
        <v>79</v>
      </c>
      <c r="E535" t="s">
        <v>58</v>
      </c>
      <c r="F535" t="s">
        <v>50</v>
      </c>
      <c r="G535" t="s">
        <v>89</v>
      </c>
      <c r="H535" t="s">
        <v>51</v>
      </c>
      <c r="I535">
        <v>2</v>
      </c>
      <c r="J535" s="7">
        <v>38</v>
      </c>
      <c r="K535" s="8">
        <v>0</v>
      </c>
      <c r="L535" s="9">
        <v>76</v>
      </c>
      <c r="M535" s="9">
        <v>34</v>
      </c>
      <c r="N535" s="9">
        <v>42</v>
      </c>
    </row>
    <row r="536" spans="1:14">
      <c r="A536" t="s">
        <v>950</v>
      </c>
      <c r="B536" s="6">
        <v>45900</v>
      </c>
      <c r="C536" t="s">
        <v>746</v>
      </c>
      <c r="D536" t="s">
        <v>78</v>
      </c>
      <c r="E536" t="s">
        <v>55</v>
      </c>
      <c r="F536" t="s">
        <v>53</v>
      </c>
      <c r="G536" t="s">
        <v>87</v>
      </c>
      <c r="H536" t="s">
        <v>48</v>
      </c>
      <c r="I536">
        <v>1</v>
      </c>
      <c r="J536" s="7">
        <v>89.99</v>
      </c>
      <c r="K536" s="8">
        <v>0</v>
      </c>
      <c r="L536" s="9">
        <v>89.99</v>
      </c>
      <c r="M536" s="9">
        <v>46</v>
      </c>
      <c r="N536" s="9">
        <v>43.989999999999995</v>
      </c>
    </row>
    <row r="537" spans="1:14">
      <c r="A537" t="s">
        <v>951</v>
      </c>
      <c r="B537" s="6">
        <v>45810</v>
      </c>
      <c r="C537" t="s">
        <v>806</v>
      </c>
      <c r="D537" t="s">
        <v>79</v>
      </c>
      <c r="E537" t="s">
        <v>49</v>
      </c>
      <c r="F537" t="s">
        <v>50</v>
      </c>
      <c r="G537" t="s">
        <v>90</v>
      </c>
      <c r="H537" t="s">
        <v>54</v>
      </c>
      <c r="I537">
        <v>4</v>
      </c>
      <c r="J537" s="7">
        <v>29</v>
      </c>
      <c r="K537" s="8">
        <v>0</v>
      </c>
      <c r="L537" s="9">
        <v>116</v>
      </c>
      <c r="M537" s="9">
        <v>44</v>
      </c>
      <c r="N537" s="9">
        <v>72</v>
      </c>
    </row>
    <row r="538" spans="1:14">
      <c r="A538" t="s">
        <v>952</v>
      </c>
      <c r="B538" s="6">
        <v>45660</v>
      </c>
      <c r="C538" t="s">
        <v>643</v>
      </c>
      <c r="D538" t="s">
        <v>79</v>
      </c>
      <c r="E538" t="s">
        <v>52</v>
      </c>
      <c r="F538" t="s">
        <v>56</v>
      </c>
      <c r="G538" t="s">
        <v>94</v>
      </c>
      <c r="H538" t="s">
        <v>51</v>
      </c>
      <c r="I538">
        <v>1</v>
      </c>
      <c r="J538" s="7">
        <v>18</v>
      </c>
      <c r="K538" s="8">
        <v>0.05</v>
      </c>
      <c r="L538" s="9">
        <v>17.099999999999998</v>
      </c>
      <c r="M538" s="9">
        <v>5.5</v>
      </c>
      <c r="N538" s="9">
        <v>11.599999999999998</v>
      </c>
    </row>
    <row r="539" spans="1:14">
      <c r="A539" t="s">
        <v>953</v>
      </c>
      <c r="B539" s="6">
        <v>45766</v>
      </c>
      <c r="C539" t="s">
        <v>211</v>
      </c>
      <c r="D539" t="s">
        <v>78</v>
      </c>
      <c r="E539" t="s">
        <v>52</v>
      </c>
      <c r="F539" t="s">
        <v>60</v>
      </c>
      <c r="G539" t="s">
        <v>91</v>
      </c>
      <c r="H539" t="s">
        <v>57</v>
      </c>
      <c r="I539">
        <v>3</v>
      </c>
      <c r="J539" s="7">
        <v>35</v>
      </c>
      <c r="K539" s="8">
        <v>0.15</v>
      </c>
      <c r="L539" s="9">
        <v>89.25</v>
      </c>
      <c r="M539" s="9">
        <v>42</v>
      </c>
      <c r="N539" s="9">
        <v>47.25</v>
      </c>
    </row>
    <row r="540" spans="1:14">
      <c r="A540" t="s">
        <v>954</v>
      </c>
      <c r="B540" s="6">
        <v>45787</v>
      </c>
      <c r="C540" t="s">
        <v>190</v>
      </c>
      <c r="D540" t="s">
        <v>78</v>
      </c>
      <c r="E540" t="s">
        <v>58</v>
      </c>
      <c r="F540" t="s">
        <v>60</v>
      </c>
      <c r="G540" t="s">
        <v>88</v>
      </c>
      <c r="H540" t="s">
        <v>51</v>
      </c>
      <c r="I540">
        <v>1</v>
      </c>
      <c r="J540" s="7">
        <v>42</v>
      </c>
      <c r="K540" s="8">
        <v>0.1</v>
      </c>
      <c r="L540" s="9">
        <v>37.800000000000004</v>
      </c>
      <c r="M540" s="9">
        <v>19</v>
      </c>
      <c r="N540" s="9">
        <v>18.800000000000004</v>
      </c>
    </row>
    <row r="541" spans="1:14">
      <c r="A541" t="s">
        <v>955</v>
      </c>
      <c r="B541" s="6">
        <v>45695</v>
      </c>
      <c r="C541" t="s">
        <v>956</v>
      </c>
      <c r="D541" t="s">
        <v>78</v>
      </c>
      <c r="E541" t="s">
        <v>58</v>
      </c>
      <c r="F541" t="s">
        <v>56</v>
      </c>
      <c r="G541" t="s">
        <v>89</v>
      </c>
      <c r="H541" t="s">
        <v>51</v>
      </c>
      <c r="I541">
        <v>2</v>
      </c>
      <c r="J541" s="7">
        <v>38</v>
      </c>
      <c r="K541" s="8">
        <v>0</v>
      </c>
      <c r="L541" s="9">
        <v>76</v>
      </c>
      <c r="M541" s="9">
        <v>34</v>
      </c>
      <c r="N541" s="9">
        <v>42</v>
      </c>
    </row>
    <row r="542" spans="1:14">
      <c r="A542" t="s">
        <v>957</v>
      </c>
      <c r="B542" s="6">
        <v>45840</v>
      </c>
      <c r="C542" t="s">
        <v>231</v>
      </c>
      <c r="D542" t="s">
        <v>78</v>
      </c>
      <c r="E542" t="s">
        <v>52</v>
      </c>
      <c r="F542" t="s">
        <v>56</v>
      </c>
      <c r="G542" t="s">
        <v>87</v>
      </c>
      <c r="H542" t="s">
        <v>48</v>
      </c>
      <c r="I542">
        <v>2</v>
      </c>
      <c r="J542" s="7">
        <v>89.99</v>
      </c>
      <c r="K542" s="8">
        <v>0</v>
      </c>
      <c r="L542" s="9">
        <v>179.98</v>
      </c>
      <c r="M542" s="9">
        <v>92</v>
      </c>
      <c r="N542" s="9">
        <v>87.97999999999999</v>
      </c>
    </row>
    <row r="543" spans="1:14">
      <c r="A543" t="s">
        <v>958</v>
      </c>
      <c r="B543" s="6">
        <v>45906</v>
      </c>
      <c r="C543" t="s">
        <v>362</v>
      </c>
      <c r="D543" t="s">
        <v>79</v>
      </c>
      <c r="E543" t="s">
        <v>55</v>
      </c>
      <c r="F543" t="s">
        <v>56</v>
      </c>
      <c r="G543" t="s">
        <v>92</v>
      </c>
      <c r="H543" t="s">
        <v>57</v>
      </c>
      <c r="I543">
        <v>1</v>
      </c>
      <c r="J543" s="7">
        <v>22</v>
      </c>
      <c r="K543" s="8">
        <v>0.05</v>
      </c>
      <c r="L543" s="9">
        <v>20.9</v>
      </c>
      <c r="M543" s="9">
        <v>7.5</v>
      </c>
      <c r="N543" s="9">
        <v>13.399999999999999</v>
      </c>
    </row>
    <row r="544" spans="1:14">
      <c r="A544" t="s">
        <v>959</v>
      </c>
      <c r="B544" s="6">
        <v>45877</v>
      </c>
      <c r="C544" t="s">
        <v>461</v>
      </c>
      <c r="D544" t="s">
        <v>78</v>
      </c>
      <c r="E544" t="s">
        <v>58</v>
      </c>
      <c r="F544" t="s">
        <v>56</v>
      </c>
      <c r="G544" t="s">
        <v>87</v>
      </c>
      <c r="H544" t="s">
        <v>48</v>
      </c>
      <c r="I544">
        <v>1</v>
      </c>
      <c r="J544" s="7">
        <v>89.99</v>
      </c>
      <c r="K544" s="8">
        <v>0</v>
      </c>
      <c r="L544" s="9">
        <v>89.99</v>
      </c>
      <c r="M544" s="9">
        <v>46</v>
      </c>
      <c r="N544" s="9">
        <v>43.989999999999995</v>
      </c>
    </row>
    <row r="545" spans="1:14">
      <c r="A545" t="s">
        <v>960</v>
      </c>
      <c r="B545" s="6">
        <v>45842</v>
      </c>
      <c r="C545" t="s">
        <v>961</v>
      </c>
      <c r="D545" t="s">
        <v>78</v>
      </c>
      <c r="E545" t="s">
        <v>55</v>
      </c>
      <c r="F545" t="s">
        <v>56</v>
      </c>
      <c r="G545" t="s">
        <v>87</v>
      </c>
      <c r="H545" t="s">
        <v>48</v>
      </c>
      <c r="I545">
        <v>2</v>
      </c>
      <c r="J545" s="7">
        <v>89.99</v>
      </c>
      <c r="K545" s="8">
        <v>0</v>
      </c>
      <c r="L545" s="9">
        <v>179.98</v>
      </c>
      <c r="M545" s="9">
        <v>92</v>
      </c>
      <c r="N545" s="9">
        <v>87.97999999999999</v>
      </c>
    </row>
    <row r="546" spans="1:14">
      <c r="A546" t="s">
        <v>962</v>
      </c>
      <c r="B546" s="6">
        <v>45907</v>
      </c>
      <c r="C546" t="s">
        <v>258</v>
      </c>
      <c r="D546" t="s">
        <v>78</v>
      </c>
      <c r="E546" t="s">
        <v>52</v>
      </c>
      <c r="F546" t="s">
        <v>60</v>
      </c>
      <c r="G546" t="s">
        <v>93</v>
      </c>
      <c r="H546" t="s">
        <v>54</v>
      </c>
      <c r="I546">
        <v>1</v>
      </c>
      <c r="J546" s="7">
        <v>68</v>
      </c>
      <c r="K546" s="8">
        <v>0.05</v>
      </c>
      <c r="L546" s="9">
        <v>64.599999999999994</v>
      </c>
      <c r="M546" s="9">
        <v>31</v>
      </c>
      <c r="N546" s="9">
        <v>33.599999999999994</v>
      </c>
    </row>
    <row r="547" spans="1:14">
      <c r="A547" t="s">
        <v>963</v>
      </c>
      <c r="B547" s="6">
        <v>45758</v>
      </c>
      <c r="C547" t="s">
        <v>380</v>
      </c>
      <c r="D547" t="s">
        <v>79</v>
      </c>
      <c r="E547" t="s">
        <v>49</v>
      </c>
      <c r="F547" t="s">
        <v>60</v>
      </c>
      <c r="G547" t="s">
        <v>89</v>
      </c>
      <c r="H547" t="s">
        <v>51</v>
      </c>
      <c r="I547">
        <v>2</v>
      </c>
      <c r="J547" s="7">
        <v>38</v>
      </c>
      <c r="K547" s="8">
        <v>0.05</v>
      </c>
      <c r="L547" s="9">
        <v>72.2</v>
      </c>
      <c r="M547" s="9">
        <v>34</v>
      </c>
      <c r="N547" s="9">
        <v>38.200000000000003</v>
      </c>
    </row>
    <row r="548" spans="1:14">
      <c r="A548" t="s">
        <v>964</v>
      </c>
      <c r="B548" s="6">
        <v>45954</v>
      </c>
      <c r="C548" t="s">
        <v>206</v>
      </c>
      <c r="D548" t="s">
        <v>78</v>
      </c>
      <c r="E548" t="s">
        <v>58</v>
      </c>
      <c r="F548" t="s">
        <v>53</v>
      </c>
      <c r="G548" t="s">
        <v>91</v>
      </c>
      <c r="H548" t="s">
        <v>57</v>
      </c>
      <c r="I548">
        <v>2</v>
      </c>
      <c r="J548" s="7">
        <v>35</v>
      </c>
      <c r="K548" s="8">
        <v>0</v>
      </c>
      <c r="L548" s="9">
        <v>70</v>
      </c>
      <c r="M548" s="9">
        <v>28</v>
      </c>
      <c r="N548" s="9">
        <v>42</v>
      </c>
    </row>
    <row r="549" spans="1:14">
      <c r="A549" t="s">
        <v>965</v>
      </c>
      <c r="B549" s="6">
        <v>45845</v>
      </c>
      <c r="C549" t="s">
        <v>443</v>
      </c>
      <c r="D549" t="s">
        <v>79</v>
      </c>
      <c r="E549" t="s">
        <v>52</v>
      </c>
      <c r="F549" t="s">
        <v>59</v>
      </c>
      <c r="G549" t="s">
        <v>91</v>
      </c>
      <c r="H549" t="s">
        <v>57</v>
      </c>
      <c r="I549">
        <v>1</v>
      </c>
      <c r="J549" s="7">
        <v>35</v>
      </c>
      <c r="K549" s="8">
        <v>0.1</v>
      </c>
      <c r="L549" s="9">
        <v>31.5</v>
      </c>
      <c r="M549" s="9">
        <v>14</v>
      </c>
      <c r="N549" s="9">
        <v>17.5</v>
      </c>
    </row>
    <row r="550" spans="1:14">
      <c r="A550" t="s">
        <v>966</v>
      </c>
      <c r="B550" s="6">
        <v>45914</v>
      </c>
      <c r="C550" t="s">
        <v>637</v>
      </c>
      <c r="D550" t="s">
        <v>78</v>
      </c>
      <c r="E550" t="s">
        <v>52</v>
      </c>
      <c r="F550" t="s">
        <v>60</v>
      </c>
      <c r="G550" t="s">
        <v>93</v>
      </c>
      <c r="H550" t="s">
        <v>54</v>
      </c>
      <c r="I550">
        <v>1</v>
      </c>
      <c r="J550" s="7">
        <v>68</v>
      </c>
      <c r="K550" s="8">
        <v>0</v>
      </c>
      <c r="L550" s="9">
        <v>68</v>
      </c>
      <c r="M550" s="9">
        <v>31</v>
      </c>
      <c r="N550" s="9">
        <v>37</v>
      </c>
    </row>
    <row r="551" spans="1:14">
      <c r="A551" t="s">
        <v>967</v>
      </c>
      <c r="B551" s="6">
        <v>45729</v>
      </c>
      <c r="C551" t="s">
        <v>443</v>
      </c>
      <c r="D551" t="s">
        <v>78</v>
      </c>
      <c r="E551" t="s">
        <v>58</v>
      </c>
      <c r="F551" t="s">
        <v>56</v>
      </c>
      <c r="G551" t="s">
        <v>92</v>
      </c>
      <c r="H551" t="s">
        <v>57</v>
      </c>
      <c r="I551">
        <v>1</v>
      </c>
      <c r="J551" s="7">
        <v>22</v>
      </c>
      <c r="K551" s="8">
        <v>0.05</v>
      </c>
      <c r="L551" s="9">
        <v>20.9</v>
      </c>
      <c r="M551" s="9">
        <v>7.5</v>
      </c>
      <c r="N551" s="9">
        <v>13.399999999999999</v>
      </c>
    </row>
    <row r="552" spans="1:14">
      <c r="A552" t="s">
        <v>968</v>
      </c>
      <c r="B552" s="6">
        <v>45678</v>
      </c>
      <c r="C552" t="s">
        <v>166</v>
      </c>
      <c r="D552" t="s">
        <v>78</v>
      </c>
      <c r="E552" t="s">
        <v>49</v>
      </c>
      <c r="F552" t="s">
        <v>53</v>
      </c>
      <c r="G552" t="s">
        <v>88</v>
      </c>
      <c r="H552" t="s">
        <v>51</v>
      </c>
      <c r="I552">
        <v>2</v>
      </c>
      <c r="J552" s="7">
        <v>42</v>
      </c>
      <c r="K552" s="8">
        <v>0</v>
      </c>
      <c r="L552" s="9">
        <v>84</v>
      </c>
      <c r="M552" s="9">
        <v>38</v>
      </c>
      <c r="N552" s="9">
        <v>46</v>
      </c>
    </row>
    <row r="553" spans="1:14">
      <c r="A553" t="s">
        <v>969</v>
      </c>
      <c r="B553" s="6">
        <v>45923</v>
      </c>
      <c r="C553" t="s">
        <v>970</v>
      </c>
      <c r="D553" t="s">
        <v>79</v>
      </c>
      <c r="E553" t="s">
        <v>55</v>
      </c>
      <c r="F553" t="s">
        <v>50</v>
      </c>
      <c r="G553" t="s">
        <v>90</v>
      </c>
      <c r="H553" t="s">
        <v>54</v>
      </c>
      <c r="I553">
        <v>1</v>
      </c>
      <c r="J553" s="7">
        <v>29</v>
      </c>
      <c r="K553" s="8">
        <v>0.15</v>
      </c>
      <c r="L553" s="9">
        <v>24.65</v>
      </c>
      <c r="M553" s="9">
        <v>11</v>
      </c>
      <c r="N553" s="9">
        <v>13.649999999999999</v>
      </c>
    </row>
    <row r="554" spans="1:14">
      <c r="A554" t="s">
        <v>971</v>
      </c>
      <c r="B554" s="6">
        <v>46018</v>
      </c>
      <c r="C554" t="s">
        <v>568</v>
      </c>
      <c r="D554" t="s">
        <v>79</v>
      </c>
      <c r="E554" t="s">
        <v>52</v>
      </c>
      <c r="F554" t="s">
        <v>59</v>
      </c>
      <c r="G554" t="s">
        <v>93</v>
      </c>
      <c r="H554" t="s">
        <v>54</v>
      </c>
      <c r="I554">
        <v>2</v>
      </c>
      <c r="J554" s="7">
        <v>68</v>
      </c>
      <c r="K554" s="8">
        <v>0</v>
      </c>
      <c r="L554" s="9">
        <v>136</v>
      </c>
      <c r="M554" s="9">
        <v>62</v>
      </c>
      <c r="N554" s="9">
        <v>74</v>
      </c>
    </row>
    <row r="555" spans="1:14">
      <c r="A555" t="s">
        <v>972</v>
      </c>
      <c r="B555" s="6">
        <v>45992</v>
      </c>
      <c r="C555" t="s">
        <v>973</v>
      </c>
      <c r="D555" t="s">
        <v>79</v>
      </c>
      <c r="E555" t="s">
        <v>55</v>
      </c>
      <c r="F555" t="s">
        <v>59</v>
      </c>
      <c r="G555" t="s">
        <v>91</v>
      </c>
      <c r="H555" t="s">
        <v>57</v>
      </c>
      <c r="I555">
        <v>1</v>
      </c>
      <c r="J555" s="7">
        <v>35</v>
      </c>
      <c r="K555" s="8">
        <v>0.05</v>
      </c>
      <c r="L555" s="9">
        <v>33.25</v>
      </c>
      <c r="M555" s="9">
        <v>14</v>
      </c>
      <c r="N555" s="9">
        <v>19.25</v>
      </c>
    </row>
    <row r="556" spans="1:14">
      <c r="A556" t="s">
        <v>974</v>
      </c>
      <c r="B556" s="6">
        <v>45772</v>
      </c>
      <c r="C556" t="s">
        <v>975</v>
      </c>
      <c r="D556" t="s">
        <v>78</v>
      </c>
      <c r="E556" t="s">
        <v>49</v>
      </c>
      <c r="F556" t="s">
        <v>60</v>
      </c>
      <c r="G556" t="s">
        <v>93</v>
      </c>
      <c r="H556" t="s">
        <v>54</v>
      </c>
      <c r="I556">
        <v>1</v>
      </c>
      <c r="J556" s="7">
        <v>68</v>
      </c>
      <c r="K556" s="8">
        <v>0.1</v>
      </c>
      <c r="L556" s="9">
        <v>61.2</v>
      </c>
      <c r="M556" s="9">
        <v>31</v>
      </c>
      <c r="N556" s="9">
        <v>30.200000000000003</v>
      </c>
    </row>
    <row r="557" spans="1:14">
      <c r="A557" t="s">
        <v>976</v>
      </c>
      <c r="B557" s="6">
        <v>45729</v>
      </c>
      <c r="C557" t="s">
        <v>215</v>
      </c>
      <c r="D557" t="s">
        <v>79</v>
      </c>
      <c r="E557" t="s">
        <v>52</v>
      </c>
      <c r="F557" t="s">
        <v>53</v>
      </c>
      <c r="G557" t="s">
        <v>92</v>
      </c>
      <c r="H557" t="s">
        <v>57</v>
      </c>
      <c r="I557">
        <v>1</v>
      </c>
      <c r="J557" s="7">
        <v>22</v>
      </c>
      <c r="K557" s="8">
        <v>0</v>
      </c>
      <c r="L557" s="9">
        <v>22</v>
      </c>
      <c r="M557" s="9">
        <v>7.5</v>
      </c>
      <c r="N557" s="9">
        <v>14.5</v>
      </c>
    </row>
    <row r="558" spans="1:14">
      <c r="A558" t="s">
        <v>977</v>
      </c>
      <c r="B558" s="6">
        <v>45738</v>
      </c>
      <c r="C558" t="s">
        <v>489</v>
      </c>
      <c r="D558" t="s">
        <v>79</v>
      </c>
      <c r="E558" t="s">
        <v>55</v>
      </c>
      <c r="F558" t="s">
        <v>50</v>
      </c>
      <c r="G558" t="s">
        <v>90</v>
      </c>
      <c r="H558" t="s">
        <v>54</v>
      </c>
      <c r="I558">
        <v>2</v>
      </c>
      <c r="J558" s="7">
        <v>29</v>
      </c>
      <c r="K558" s="8">
        <v>0.1</v>
      </c>
      <c r="L558" s="9">
        <v>52.2</v>
      </c>
      <c r="M558" s="9">
        <v>22</v>
      </c>
      <c r="N558" s="9">
        <v>30.200000000000003</v>
      </c>
    </row>
    <row r="559" spans="1:14">
      <c r="A559" t="s">
        <v>978</v>
      </c>
      <c r="B559" s="6">
        <v>45904</v>
      </c>
      <c r="C559" t="s">
        <v>226</v>
      </c>
      <c r="D559" t="s">
        <v>79</v>
      </c>
      <c r="E559" t="s">
        <v>49</v>
      </c>
      <c r="F559" t="s">
        <v>53</v>
      </c>
      <c r="G559" t="s">
        <v>92</v>
      </c>
      <c r="H559" t="s">
        <v>57</v>
      </c>
      <c r="I559">
        <v>1</v>
      </c>
      <c r="J559" s="7">
        <v>22</v>
      </c>
      <c r="K559" s="8">
        <v>0.05</v>
      </c>
      <c r="L559" s="9">
        <v>20.9</v>
      </c>
      <c r="M559" s="9">
        <v>7.5</v>
      </c>
      <c r="N559" s="9">
        <v>13.399999999999999</v>
      </c>
    </row>
    <row r="560" spans="1:14">
      <c r="A560" t="s">
        <v>979</v>
      </c>
      <c r="B560" s="6">
        <v>45680</v>
      </c>
      <c r="C560" t="s">
        <v>970</v>
      </c>
      <c r="D560" t="s">
        <v>79</v>
      </c>
      <c r="E560" t="s">
        <v>52</v>
      </c>
      <c r="F560" t="s">
        <v>50</v>
      </c>
      <c r="G560" t="s">
        <v>87</v>
      </c>
      <c r="H560" t="s">
        <v>48</v>
      </c>
      <c r="I560">
        <v>1</v>
      </c>
      <c r="J560" s="7">
        <v>89.99</v>
      </c>
      <c r="K560" s="8">
        <v>0</v>
      </c>
      <c r="L560" s="9">
        <v>89.99</v>
      </c>
      <c r="M560" s="9">
        <v>46</v>
      </c>
      <c r="N560" s="9">
        <v>43.989999999999995</v>
      </c>
    </row>
    <row r="561" spans="1:14">
      <c r="A561" t="s">
        <v>980</v>
      </c>
      <c r="B561" s="6">
        <v>45743</v>
      </c>
      <c r="C561" t="s">
        <v>608</v>
      </c>
      <c r="D561" t="s">
        <v>78</v>
      </c>
      <c r="E561" t="s">
        <v>49</v>
      </c>
      <c r="F561" t="s">
        <v>56</v>
      </c>
      <c r="G561" t="s">
        <v>89</v>
      </c>
      <c r="H561" t="s">
        <v>51</v>
      </c>
      <c r="I561">
        <v>3</v>
      </c>
      <c r="J561" s="7">
        <v>38</v>
      </c>
      <c r="K561" s="8">
        <v>0.05</v>
      </c>
      <c r="L561" s="9">
        <v>108.3</v>
      </c>
      <c r="M561" s="9">
        <v>51</v>
      </c>
      <c r="N561" s="9">
        <v>57.3</v>
      </c>
    </row>
    <row r="562" spans="1:14">
      <c r="A562" t="s">
        <v>981</v>
      </c>
      <c r="B562" s="6">
        <v>45701</v>
      </c>
      <c r="C562" t="s">
        <v>719</v>
      </c>
      <c r="D562" t="s">
        <v>79</v>
      </c>
      <c r="E562" t="s">
        <v>52</v>
      </c>
      <c r="F562" t="s">
        <v>59</v>
      </c>
      <c r="G562" t="s">
        <v>88</v>
      </c>
      <c r="H562" t="s">
        <v>51</v>
      </c>
      <c r="I562">
        <v>1</v>
      </c>
      <c r="J562" s="7">
        <v>42</v>
      </c>
      <c r="K562" s="8">
        <v>0.2</v>
      </c>
      <c r="L562" s="9">
        <v>33.6</v>
      </c>
      <c r="M562" s="9">
        <v>19</v>
      </c>
      <c r="N562" s="9">
        <v>14.600000000000001</v>
      </c>
    </row>
    <row r="563" spans="1:14">
      <c r="A563" t="s">
        <v>982</v>
      </c>
      <c r="B563" s="6">
        <v>45965</v>
      </c>
      <c r="C563" t="s">
        <v>983</v>
      </c>
      <c r="D563" t="s">
        <v>78</v>
      </c>
      <c r="E563" t="s">
        <v>55</v>
      </c>
      <c r="F563" t="s">
        <v>53</v>
      </c>
      <c r="G563" t="s">
        <v>87</v>
      </c>
      <c r="H563" t="s">
        <v>48</v>
      </c>
      <c r="I563">
        <v>2</v>
      </c>
      <c r="J563" s="7">
        <v>89.99</v>
      </c>
      <c r="K563" s="8">
        <v>0.1</v>
      </c>
      <c r="L563" s="9">
        <v>161.982</v>
      </c>
      <c r="M563" s="9">
        <v>92</v>
      </c>
      <c r="N563" s="9">
        <v>69.981999999999999</v>
      </c>
    </row>
    <row r="564" spans="1:14">
      <c r="A564" t="s">
        <v>984</v>
      </c>
      <c r="B564" s="6">
        <v>46009</v>
      </c>
      <c r="C564" t="s">
        <v>634</v>
      </c>
      <c r="D564" t="s">
        <v>78</v>
      </c>
      <c r="E564" t="s">
        <v>58</v>
      </c>
      <c r="F564" t="s">
        <v>53</v>
      </c>
      <c r="G564" t="s">
        <v>90</v>
      </c>
      <c r="H564" t="s">
        <v>54</v>
      </c>
      <c r="I564">
        <v>3</v>
      </c>
      <c r="J564" s="7">
        <v>29</v>
      </c>
      <c r="K564" s="8">
        <v>0.05</v>
      </c>
      <c r="L564" s="9">
        <v>82.649999999999991</v>
      </c>
      <c r="M564" s="9">
        <v>33</v>
      </c>
      <c r="N564" s="9">
        <v>49.649999999999991</v>
      </c>
    </row>
    <row r="565" spans="1:14">
      <c r="A565" t="s">
        <v>985</v>
      </c>
      <c r="B565" s="6">
        <v>45713</v>
      </c>
      <c r="C565" t="s">
        <v>483</v>
      </c>
      <c r="D565" t="s">
        <v>78</v>
      </c>
      <c r="E565" t="s">
        <v>52</v>
      </c>
      <c r="F565" t="s">
        <v>60</v>
      </c>
      <c r="G565" t="s">
        <v>85</v>
      </c>
      <c r="H565" t="s">
        <v>48</v>
      </c>
      <c r="I565">
        <v>1</v>
      </c>
      <c r="J565" s="7">
        <v>59.99</v>
      </c>
      <c r="K565" s="8">
        <v>0.15</v>
      </c>
      <c r="L565" s="9">
        <v>50.991500000000002</v>
      </c>
      <c r="M565" s="9">
        <v>28</v>
      </c>
      <c r="N565" s="9">
        <v>22.991500000000002</v>
      </c>
    </row>
    <row r="566" spans="1:14">
      <c r="A566" t="s">
        <v>986</v>
      </c>
      <c r="B566" s="6">
        <v>45707</v>
      </c>
      <c r="C566" t="s">
        <v>987</v>
      </c>
      <c r="D566" t="s">
        <v>78</v>
      </c>
      <c r="E566" t="s">
        <v>49</v>
      </c>
      <c r="F566" t="s">
        <v>50</v>
      </c>
      <c r="G566" t="s">
        <v>87</v>
      </c>
      <c r="H566" t="s">
        <v>48</v>
      </c>
      <c r="I566">
        <v>1</v>
      </c>
      <c r="J566" s="7">
        <v>89.99</v>
      </c>
      <c r="K566" s="8">
        <v>0.05</v>
      </c>
      <c r="L566" s="9">
        <v>85.490499999999997</v>
      </c>
      <c r="M566" s="9">
        <v>46</v>
      </c>
      <c r="N566" s="9">
        <v>39.490499999999997</v>
      </c>
    </row>
    <row r="567" spans="1:14">
      <c r="A567" t="s">
        <v>988</v>
      </c>
      <c r="B567" s="6">
        <v>45904</v>
      </c>
      <c r="C567" t="s">
        <v>406</v>
      </c>
      <c r="D567" t="s">
        <v>78</v>
      </c>
      <c r="E567" t="s">
        <v>58</v>
      </c>
      <c r="F567" t="s">
        <v>60</v>
      </c>
      <c r="G567" t="s">
        <v>87</v>
      </c>
      <c r="H567" t="s">
        <v>48</v>
      </c>
      <c r="I567">
        <v>3</v>
      </c>
      <c r="J567" s="7">
        <v>89.99</v>
      </c>
      <c r="K567" s="8">
        <v>0.05</v>
      </c>
      <c r="L567" s="9">
        <v>256.47149999999993</v>
      </c>
      <c r="M567" s="9">
        <v>138</v>
      </c>
      <c r="N567" s="9">
        <v>118.47149999999993</v>
      </c>
    </row>
    <row r="568" spans="1:14">
      <c r="A568" t="s">
        <v>989</v>
      </c>
      <c r="B568" s="6">
        <v>45873</v>
      </c>
      <c r="C568" t="s">
        <v>975</v>
      </c>
      <c r="D568" t="s">
        <v>78</v>
      </c>
      <c r="E568" t="s">
        <v>58</v>
      </c>
      <c r="F568" t="s">
        <v>56</v>
      </c>
      <c r="G568" t="s">
        <v>90</v>
      </c>
      <c r="H568" t="s">
        <v>54</v>
      </c>
      <c r="I568">
        <v>3</v>
      </c>
      <c r="J568" s="7">
        <v>29</v>
      </c>
      <c r="K568" s="8">
        <v>0.1</v>
      </c>
      <c r="L568" s="9">
        <v>78.3</v>
      </c>
      <c r="M568" s="9">
        <v>33</v>
      </c>
      <c r="N568" s="9">
        <v>45.3</v>
      </c>
    </row>
    <row r="569" spans="1:14">
      <c r="A569" t="s">
        <v>990</v>
      </c>
      <c r="B569" s="6">
        <v>45959</v>
      </c>
      <c r="C569" t="s">
        <v>166</v>
      </c>
      <c r="D569" t="s">
        <v>78</v>
      </c>
      <c r="E569" t="s">
        <v>49</v>
      </c>
      <c r="F569" t="s">
        <v>56</v>
      </c>
      <c r="G569" t="s">
        <v>94</v>
      </c>
      <c r="H569" t="s">
        <v>51</v>
      </c>
      <c r="I569">
        <v>1</v>
      </c>
      <c r="J569" s="7">
        <v>18</v>
      </c>
      <c r="K569" s="8">
        <v>0</v>
      </c>
      <c r="L569" s="9">
        <v>18</v>
      </c>
      <c r="M569" s="9">
        <v>5.5</v>
      </c>
      <c r="N569" s="9">
        <v>12.5</v>
      </c>
    </row>
    <row r="570" spans="1:14">
      <c r="A570" t="s">
        <v>991</v>
      </c>
      <c r="B570" s="6">
        <v>45964</v>
      </c>
      <c r="C570" t="s">
        <v>323</v>
      </c>
      <c r="D570" t="s">
        <v>79</v>
      </c>
      <c r="E570" t="s">
        <v>49</v>
      </c>
      <c r="F570" t="s">
        <v>60</v>
      </c>
      <c r="G570" t="s">
        <v>93</v>
      </c>
      <c r="H570" t="s">
        <v>54</v>
      </c>
      <c r="I570">
        <v>1</v>
      </c>
      <c r="J570" s="7">
        <v>68</v>
      </c>
      <c r="K570" s="8">
        <v>0</v>
      </c>
      <c r="L570" s="9">
        <v>68</v>
      </c>
      <c r="M570" s="9">
        <v>31</v>
      </c>
      <c r="N570" s="9">
        <v>37</v>
      </c>
    </row>
    <row r="571" spans="1:14">
      <c r="A571" t="s">
        <v>992</v>
      </c>
      <c r="B571" s="6">
        <v>45661</v>
      </c>
      <c r="C571" t="s">
        <v>174</v>
      </c>
      <c r="D571" t="s">
        <v>78</v>
      </c>
      <c r="E571" t="s">
        <v>49</v>
      </c>
      <c r="F571" t="s">
        <v>53</v>
      </c>
      <c r="G571" t="s">
        <v>91</v>
      </c>
      <c r="H571" t="s">
        <v>57</v>
      </c>
      <c r="I571">
        <v>2</v>
      </c>
      <c r="J571" s="7">
        <v>35</v>
      </c>
      <c r="K571" s="8">
        <v>0.1</v>
      </c>
      <c r="L571" s="9">
        <v>63</v>
      </c>
      <c r="M571" s="9">
        <v>28</v>
      </c>
      <c r="N571" s="9">
        <v>35</v>
      </c>
    </row>
    <row r="572" spans="1:14">
      <c r="A572" t="s">
        <v>993</v>
      </c>
      <c r="B572" s="6">
        <v>45876</v>
      </c>
      <c r="C572" t="s">
        <v>560</v>
      </c>
      <c r="D572" t="s">
        <v>78</v>
      </c>
      <c r="E572" t="s">
        <v>55</v>
      </c>
      <c r="F572" t="s">
        <v>59</v>
      </c>
      <c r="G572" t="s">
        <v>94</v>
      </c>
      <c r="H572" t="s">
        <v>51</v>
      </c>
      <c r="I572">
        <v>1</v>
      </c>
      <c r="J572" s="7">
        <v>18</v>
      </c>
      <c r="K572" s="8">
        <v>0.15</v>
      </c>
      <c r="L572" s="9">
        <v>15.299999999999999</v>
      </c>
      <c r="M572" s="9">
        <v>5.5</v>
      </c>
      <c r="N572" s="9">
        <v>9.7999999999999989</v>
      </c>
    </row>
    <row r="573" spans="1:14">
      <c r="A573" t="s">
        <v>994</v>
      </c>
      <c r="B573" s="6">
        <v>45762</v>
      </c>
      <c r="C573" t="s">
        <v>224</v>
      </c>
      <c r="D573" t="s">
        <v>78</v>
      </c>
      <c r="E573" t="s">
        <v>58</v>
      </c>
      <c r="F573" t="s">
        <v>56</v>
      </c>
      <c r="G573" t="s">
        <v>91</v>
      </c>
      <c r="H573" t="s">
        <v>57</v>
      </c>
      <c r="I573">
        <v>1</v>
      </c>
      <c r="J573" s="7">
        <v>35</v>
      </c>
      <c r="K573" s="8">
        <v>0.05</v>
      </c>
      <c r="L573" s="9">
        <v>33.25</v>
      </c>
      <c r="M573" s="9">
        <v>14</v>
      </c>
      <c r="N573" s="9">
        <v>19.25</v>
      </c>
    </row>
    <row r="574" spans="1:14">
      <c r="A574" t="s">
        <v>995</v>
      </c>
      <c r="B574" s="6">
        <v>45815</v>
      </c>
      <c r="C574" t="s">
        <v>587</v>
      </c>
      <c r="D574" t="s">
        <v>79</v>
      </c>
      <c r="E574" t="s">
        <v>52</v>
      </c>
      <c r="F574" t="s">
        <v>59</v>
      </c>
      <c r="G574" t="s">
        <v>94</v>
      </c>
      <c r="H574" t="s">
        <v>51</v>
      </c>
      <c r="I574">
        <v>1</v>
      </c>
      <c r="J574" s="7">
        <v>18</v>
      </c>
      <c r="K574" s="8">
        <v>0.1</v>
      </c>
      <c r="L574" s="9">
        <v>16.2</v>
      </c>
      <c r="M574" s="9">
        <v>5.5</v>
      </c>
      <c r="N574" s="9">
        <v>10.7</v>
      </c>
    </row>
    <row r="575" spans="1:14">
      <c r="A575" t="s">
        <v>996</v>
      </c>
      <c r="B575" s="6">
        <v>46016</v>
      </c>
      <c r="C575" t="s">
        <v>458</v>
      </c>
      <c r="D575" t="s">
        <v>79</v>
      </c>
      <c r="E575" t="s">
        <v>49</v>
      </c>
      <c r="F575" t="s">
        <v>53</v>
      </c>
      <c r="G575" t="s">
        <v>87</v>
      </c>
      <c r="H575" t="s">
        <v>48</v>
      </c>
      <c r="I575">
        <v>1</v>
      </c>
      <c r="J575" s="7">
        <v>89.99</v>
      </c>
      <c r="K575" s="8">
        <v>0.05</v>
      </c>
      <c r="L575" s="9">
        <v>85.490499999999997</v>
      </c>
      <c r="M575" s="9">
        <v>46</v>
      </c>
      <c r="N575" s="9">
        <v>39.490499999999997</v>
      </c>
    </row>
    <row r="576" spans="1:14">
      <c r="A576" t="s">
        <v>997</v>
      </c>
      <c r="B576" s="6">
        <v>45857</v>
      </c>
      <c r="C576" t="s">
        <v>998</v>
      </c>
      <c r="D576" t="s">
        <v>78</v>
      </c>
      <c r="E576" t="s">
        <v>58</v>
      </c>
      <c r="F576" t="s">
        <v>50</v>
      </c>
      <c r="G576" t="s">
        <v>85</v>
      </c>
      <c r="H576" t="s">
        <v>48</v>
      </c>
      <c r="I576">
        <v>2</v>
      </c>
      <c r="J576" s="7">
        <v>59.99</v>
      </c>
      <c r="K576" s="8">
        <v>0.1</v>
      </c>
      <c r="L576" s="9">
        <v>107.982</v>
      </c>
      <c r="M576" s="9">
        <v>56</v>
      </c>
      <c r="N576" s="9">
        <v>51.981999999999999</v>
      </c>
    </row>
    <row r="577" spans="1:14">
      <c r="A577" t="s">
        <v>999</v>
      </c>
      <c r="B577" s="6">
        <v>45690</v>
      </c>
      <c r="C577" t="s">
        <v>705</v>
      </c>
      <c r="D577" t="s">
        <v>78</v>
      </c>
      <c r="E577" t="s">
        <v>58</v>
      </c>
      <c r="F577" t="s">
        <v>60</v>
      </c>
      <c r="G577" t="s">
        <v>89</v>
      </c>
      <c r="H577" t="s">
        <v>51</v>
      </c>
      <c r="I577">
        <v>1</v>
      </c>
      <c r="J577" s="7">
        <v>38</v>
      </c>
      <c r="K577" s="8">
        <v>0</v>
      </c>
      <c r="L577" s="9">
        <v>38</v>
      </c>
      <c r="M577" s="9">
        <v>17</v>
      </c>
      <c r="N577" s="9">
        <v>21</v>
      </c>
    </row>
    <row r="578" spans="1:14">
      <c r="A578" t="s">
        <v>1000</v>
      </c>
      <c r="B578" s="6">
        <v>45993</v>
      </c>
      <c r="C578" t="s">
        <v>406</v>
      </c>
      <c r="D578" t="s">
        <v>78</v>
      </c>
      <c r="E578" t="s">
        <v>52</v>
      </c>
      <c r="F578" t="s">
        <v>59</v>
      </c>
      <c r="G578" t="s">
        <v>93</v>
      </c>
      <c r="H578" t="s">
        <v>54</v>
      </c>
      <c r="I578">
        <v>1</v>
      </c>
      <c r="J578" s="7">
        <v>68</v>
      </c>
      <c r="K578" s="8">
        <v>0.2</v>
      </c>
      <c r="L578" s="9">
        <v>54.400000000000006</v>
      </c>
      <c r="M578" s="9">
        <v>31</v>
      </c>
      <c r="N578" s="9">
        <v>23.400000000000006</v>
      </c>
    </row>
    <row r="579" spans="1:14">
      <c r="A579" t="s">
        <v>1001</v>
      </c>
      <c r="B579" s="6">
        <v>45882</v>
      </c>
      <c r="C579" t="s">
        <v>339</v>
      </c>
      <c r="D579" t="s">
        <v>79</v>
      </c>
      <c r="E579" t="s">
        <v>52</v>
      </c>
      <c r="F579" t="s">
        <v>50</v>
      </c>
      <c r="G579" t="s">
        <v>85</v>
      </c>
      <c r="H579" t="s">
        <v>48</v>
      </c>
      <c r="I579">
        <v>1</v>
      </c>
      <c r="J579" s="7">
        <v>59.99</v>
      </c>
      <c r="K579" s="8">
        <v>0.05</v>
      </c>
      <c r="L579" s="9">
        <v>56.990499999999997</v>
      </c>
      <c r="M579" s="9">
        <v>28</v>
      </c>
      <c r="N579" s="9">
        <v>28.990499999999997</v>
      </c>
    </row>
    <row r="580" spans="1:14">
      <c r="A580" t="s">
        <v>1002</v>
      </c>
      <c r="B580" s="6">
        <v>45964</v>
      </c>
      <c r="C580" t="s">
        <v>154</v>
      </c>
      <c r="D580" t="s">
        <v>78</v>
      </c>
      <c r="E580" t="s">
        <v>55</v>
      </c>
      <c r="F580" t="s">
        <v>53</v>
      </c>
      <c r="G580" t="s">
        <v>93</v>
      </c>
      <c r="H580" t="s">
        <v>54</v>
      </c>
      <c r="I580">
        <v>1</v>
      </c>
      <c r="J580" s="7">
        <v>68</v>
      </c>
      <c r="K580" s="8">
        <v>0</v>
      </c>
      <c r="L580" s="9">
        <v>68</v>
      </c>
      <c r="M580" s="9">
        <v>31</v>
      </c>
      <c r="N580" s="9">
        <v>37</v>
      </c>
    </row>
    <row r="581" spans="1:14">
      <c r="A581" t="s">
        <v>1003</v>
      </c>
      <c r="B581" s="6">
        <v>45993</v>
      </c>
      <c r="C581" t="s">
        <v>1004</v>
      </c>
      <c r="D581" t="s">
        <v>78</v>
      </c>
      <c r="E581" t="s">
        <v>55</v>
      </c>
      <c r="F581" t="s">
        <v>59</v>
      </c>
      <c r="G581" t="s">
        <v>85</v>
      </c>
      <c r="H581" t="s">
        <v>48</v>
      </c>
      <c r="I581">
        <v>4</v>
      </c>
      <c r="J581" s="7">
        <v>59.99</v>
      </c>
      <c r="K581" s="8">
        <v>0</v>
      </c>
      <c r="L581" s="9">
        <v>239.96</v>
      </c>
      <c r="M581" s="9">
        <v>112</v>
      </c>
      <c r="N581" s="9">
        <v>127.96000000000001</v>
      </c>
    </row>
    <row r="582" spans="1:14">
      <c r="A582" t="s">
        <v>1005</v>
      </c>
      <c r="B582" s="6">
        <v>45865</v>
      </c>
      <c r="C582" t="s">
        <v>194</v>
      </c>
      <c r="D582" t="s">
        <v>79</v>
      </c>
      <c r="E582" t="s">
        <v>55</v>
      </c>
      <c r="F582" t="s">
        <v>60</v>
      </c>
      <c r="G582" t="s">
        <v>94</v>
      </c>
      <c r="H582" t="s">
        <v>51</v>
      </c>
      <c r="I582">
        <v>1</v>
      </c>
      <c r="J582" s="7">
        <v>18</v>
      </c>
      <c r="K582" s="8">
        <v>0</v>
      </c>
      <c r="L582" s="9">
        <v>18</v>
      </c>
      <c r="M582" s="9">
        <v>5.5</v>
      </c>
      <c r="N582" s="9">
        <v>12.5</v>
      </c>
    </row>
    <row r="583" spans="1:14">
      <c r="A583" t="s">
        <v>1006</v>
      </c>
      <c r="B583" s="6">
        <v>45956</v>
      </c>
      <c r="C583" t="s">
        <v>1007</v>
      </c>
      <c r="D583" t="s">
        <v>78</v>
      </c>
      <c r="E583" t="s">
        <v>58</v>
      </c>
      <c r="F583" t="s">
        <v>59</v>
      </c>
      <c r="G583" t="s">
        <v>90</v>
      </c>
      <c r="H583" t="s">
        <v>54</v>
      </c>
      <c r="I583">
        <v>1</v>
      </c>
      <c r="J583" s="7">
        <v>29</v>
      </c>
      <c r="K583" s="8">
        <v>0.1</v>
      </c>
      <c r="L583" s="9">
        <v>26.1</v>
      </c>
      <c r="M583" s="9">
        <v>11</v>
      </c>
      <c r="N583" s="9">
        <v>15.100000000000001</v>
      </c>
    </row>
    <row r="584" spans="1:14">
      <c r="A584" t="s">
        <v>1008</v>
      </c>
      <c r="B584" s="6">
        <v>45952</v>
      </c>
      <c r="C584" t="s">
        <v>579</v>
      </c>
      <c r="D584" t="s">
        <v>78</v>
      </c>
      <c r="E584" t="s">
        <v>55</v>
      </c>
      <c r="F584" t="s">
        <v>56</v>
      </c>
      <c r="G584" t="s">
        <v>85</v>
      </c>
      <c r="H584" t="s">
        <v>48</v>
      </c>
      <c r="I584">
        <v>1</v>
      </c>
      <c r="J584" s="7">
        <v>59.99</v>
      </c>
      <c r="K584" s="8">
        <v>0</v>
      </c>
      <c r="L584" s="9">
        <v>59.99</v>
      </c>
      <c r="M584" s="9">
        <v>28</v>
      </c>
      <c r="N584" s="9">
        <v>31.990000000000002</v>
      </c>
    </row>
    <row r="585" spans="1:14">
      <c r="A585" t="s">
        <v>1009</v>
      </c>
      <c r="B585" s="6">
        <v>45717</v>
      </c>
      <c r="C585" t="s">
        <v>334</v>
      </c>
      <c r="D585" t="s">
        <v>79</v>
      </c>
      <c r="E585" t="s">
        <v>55</v>
      </c>
      <c r="F585" t="s">
        <v>59</v>
      </c>
      <c r="G585" t="s">
        <v>93</v>
      </c>
      <c r="H585" t="s">
        <v>54</v>
      </c>
      <c r="I585">
        <v>4</v>
      </c>
      <c r="J585" s="7">
        <v>68</v>
      </c>
      <c r="K585" s="8">
        <v>0.15</v>
      </c>
      <c r="L585" s="9">
        <v>231.2</v>
      </c>
      <c r="M585" s="9">
        <v>124</v>
      </c>
      <c r="N585" s="9">
        <v>107.19999999999999</v>
      </c>
    </row>
    <row r="586" spans="1:14">
      <c r="A586" t="s">
        <v>1010</v>
      </c>
      <c r="B586" s="6">
        <v>45851</v>
      </c>
      <c r="C586" t="s">
        <v>1011</v>
      </c>
      <c r="D586" t="s">
        <v>78</v>
      </c>
      <c r="E586" t="s">
        <v>58</v>
      </c>
      <c r="F586" t="s">
        <v>59</v>
      </c>
      <c r="G586" t="s">
        <v>94</v>
      </c>
      <c r="H586" t="s">
        <v>51</v>
      </c>
      <c r="I586">
        <v>1</v>
      </c>
      <c r="J586" s="7">
        <v>18</v>
      </c>
      <c r="K586" s="8">
        <v>0</v>
      </c>
      <c r="L586" s="9">
        <v>18</v>
      </c>
      <c r="M586" s="9">
        <v>5.5</v>
      </c>
      <c r="N586" s="9">
        <v>12.5</v>
      </c>
    </row>
    <row r="587" spans="1:14">
      <c r="A587" t="s">
        <v>1012</v>
      </c>
      <c r="B587" s="6">
        <v>45958</v>
      </c>
      <c r="C587" t="s">
        <v>791</v>
      </c>
      <c r="D587" t="s">
        <v>78</v>
      </c>
      <c r="E587" t="s">
        <v>52</v>
      </c>
      <c r="F587" t="s">
        <v>56</v>
      </c>
      <c r="G587" t="s">
        <v>85</v>
      </c>
      <c r="H587" t="s">
        <v>48</v>
      </c>
      <c r="I587">
        <v>1</v>
      </c>
      <c r="J587" s="7">
        <v>59.99</v>
      </c>
      <c r="K587" s="8">
        <v>0</v>
      </c>
      <c r="L587" s="9">
        <v>59.99</v>
      </c>
      <c r="M587" s="9">
        <v>28</v>
      </c>
      <c r="N587" s="9">
        <v>31.990000000000002</v>
      </c>
    </row>
    <row r="588" spans="1:14">
      <c r="A588" t="s">
        <v>1013</v>
      </c>
      <c r="B588" s="6">
        <v>45869</v>
      </c>
      <c r="C588" t="s">
        <v>330</v>
      </c>
      <c r="D588" t="s">
        <v>79</v>
      </c>
      <c r="E588" t="s">
        <v>55</v>
      </c>
      <c r="F588" t="s">
        <v>50</v>
      </c>
      <c r="G588" t="s">
        <v>90</v>
      </c>
      <c r="H588" t="s">
        <v>54</v>
      </c>
      <c r="I588">
        <v>1</v>
      </c>
      <c r="J588" s="7">
        <v>29</v>
      </c>
      <c r="K588" s="8">
        <v>0</v>
      </c>
      <c r="L588" s="9">
        <v>29</v>
      </c>
      <c r="M588" s="9">
        <v>11</v>
      </c>
      <c r="N588" s="9">
        <v>18</v>
      </c>
    </row>
    <row r="589" spans="1:14">
      <c r="A589" t="s">
        <v>1014</v>
      </c>
      <c r="B589" s="6">
        <v>45862</v>
      </c>
      <c r="C589" t="s">
        <v>909</v>
      </c>
      <c r="D589" t="s">
        <v>78</v>
      </c>
      <c r="E589" t="s">
        <v>52</v>
      </c>
      <c r="F589" t="s">
        <v>60</v>
      </c>
      <c r="G589" t="s">
        <v>90</v>
      </c>
      <c r="H589" t="s">
        <v>54</v>
      </c>
      <c r="I589">
        <v>1</v>
      </c>
      <c r="J589" s="7">
        <v>29</v>
      </c>
      <c r="K589" s="8">
        <v>0.15</v>
      </c>
      <c r="L589" s="9">
        <v>24.65</v>
      </c>
      <c r="M589" s="9">
        <v>11</v>
      </c>
      <c r="N589" s="9">
        <v>13.649999999999999</v>
      </c>
    </row>
    <row r="590" spans="1:14">
      <c r="A590" t="s">
        <v>1015</v>
      </c>
      <c r="B590" s="6">
        <v>45795</v>
      </c>
      <c r="C590" t="s">
        <v>192</v>
      </c>
      <c r="D590" t="s">
        <v>79</v>
      </c>
      <c r="E590" t="s">
        <v>52</v>
      </c>
      <c r="F590" t="s">
        <v>53</v>
      </c>
      <c r="G590" t="s">
        <v>87</v>
      </c>
      <c r="H590" t="s">
        <v>48</v>
      </c>
      <c r="I590">
        <v>3</v>
      </c>
      <c r="J590" s="7">
        <v>89.99</v>
      </c>
      <c r="K590" s="8">
        <v>0.1</v>
      </c>
      <c r="L590" s="9">
        <v>242.97299999999998</v>
      </c>
      <c r="M590" s="9">
        <v>138</v>
      </c>
      <c r="N590" s="9">
        <v>104.97299999999998</v>
      </c>
    </row>
    <row r="591" spans="1:14">
      <c r="A591" t="s">
        <v>1016</v>
      </c>
      <c r="B591" s="6">
        <v>45781</v>
      </c>
      <c r="C591" t="s">
        <v>836</v>
      </c>
      <c r="D591" t="s">
        <v>78</v>
      </c>
      <c r="E591" t="s">
        <v>55</v>
      </c>
      <c r="F591" t="s">
        <v>53</v>
      </c>
      <c r="G591" t="s">
        <v>89</v>
      </c>
      <c r="H591" t="s">
        <v>51</v>
      </c>
      <c r="I591">
        <v>1</v>
      </c>
      <c r="J591" s="7">
        <v>38</v>
      </c>
      <c r="K591" s="8">
        <v>0</v>
      </c>
      <c r="L591" s="9">
        <v>38</v>
      </c>
      <c r="M591" s="9">
        <v>17</v>
      </c>
      <c r="N591" s="9">
        <v>21</v>
      </c>
    </row>
    <row r="592" spans="1:14">
      <c r="A592" t="s">
        <v>1017</v>
      </c>
      <c r="B592" s="6">
        <v>45712</v>
      </c>
      <c r="C592" t="s">
        <v>222</v>
      </c>
      <c r="D592" t="s">
        <v>79</v>
      </c>
      <c r="E592" t="s">
        <v>49</v>
      </c>
      <c r="F592" t="s">
        <v>60</v>
      </c>
      <c r="G592" t="s">
        <v>86</v>
      </c>
      <c r="H592" t="s">
        <v>48</v>
      </c>
      <c r="I592">
        <v>3</v>
      </c>
      <c r="J592" s="7">
        <v>34.99</v>
      </c>
      <c r="K592" s="8">
        <v>0.1</v>
      </c>
      <c r="L592" s="9">
        <v>94.472999999999999</v>
      </c>
      <c r="M592" s="9">
        <v>48</v>
      </c>
      <c r="N592" s="9">
        <v>46.472999999999999</v>
      </c>
    </row>
    <row r="593" spans="1:14">
      <c r="A593" t="s">
        <v>1018</v>
      </c>
      <c r="B593" s="6">
        <v>45679</v>
      </c>
      <c r="C593" t="s">
        <v>334</v>
      </c>
      <c r="D593" t="s">
        <v>79</v>
      </c>
      <c r="E593" t="s">
        <v>55</v>
      </c>
      <c r="F593" t="s">
        <v>59</v>
      </c>
      <c r="G593" t="s">
        <v>92</v>
      </c>
      <c r="H593" t="s">
        <v>57</v>
      </c>
      <c r="I593">
        <v>1</v>
      </c>
      <c r="J593" s="7">
        <v>22</v>
      </c>
      <c r="K593" s="8">
        <v>0</v>
      </c>
      <c r="L593" s="9">
        <v>22</v>
      </c>
      <c r="M593" s="9">
        <v>7.5</v>
      </c>
      <c r="N593" s="9">
        <v>14.5</v>
      </c>
    </row>
    <row r="594" spans="1:14">
      <c r="A594" t="s">
        <v>1019</v>
      </c>
      <c r="B594" s="6">
        <v>45751</v>
      </c>
      <c r="C594" t="s">
        <v>190</v>
      </c>
      <c r="D594" t="s">
        <v>78</v>
      </c>
      <c r="E594" t="s">
        <v>58</v>
      </c>
      <c r="F594" t="s">
        <v>59</v>
      </c>
      <c r="G594" t="s">
        <v>93</v>
      </c>
      <c r="H594" t="s">
        <v>54</v>
      </c>
      <c r="I594">
        <v>1</v>
      </c>
      <c r="J594" s="7">
        <v>68</v>
      </c>
      <c r="K594" s="8">
        <v>0</v>
      </c>
      <c r="L594" s="9">
        <v>68</v>
      </c>
      <c r="M594" s="9">
        <v>31</v>
      </c>
      <c r="N594" s="9">
        <v>37</v>
      </c>
    </row>
    <row r="595" spans="1:14">
      <c r="A595" t="s">
        <v>1020</v>
      </c>
      <c r="B595" s="6">
        <v>45934</v>
      </c>
      <c r="C595" t="s">
        <v>1021</v>
      </c>
      <c r="D595" t="s">
        <v>79</v>
      </c>
      <c r="E595" t="s">
        <v>58</v>
      </c>
      <c r="F595" t="s">
        <v>50</v>
      </c>
      <c r="G595" t="s">
        <v>85</v>
      </c>
      <c r="H595" t="s">
        <v>48</v>
      </c>
      <c r="I595">
        <v>1</v>
      </c>
      <c r="J595" s="7">
        <v>59.99</v>
      </c>
      <c r="K595" s="8">
        <v>0</v>
      </c>
      <c r="L595" s="9">
        <v>59.99</v>
      </c>
      <c r="M595" s="9">
        <v>28</v>
      </c>
      <c r="N595" s="9">
        <v>31.990000000000002</v>
      </c>
    </row>
    <row r="596" spans="1:14">
      <c r="A596" t="s">
        <v>1022</v>
      </c>
      <c r="B596" s="6">
        <v>46015</v>
      </c>
      <c r="C596" t="s">
        <v>269</v>
      </c>
      <c r="D596" t="s">
        <v>78</v>
      </c>
      <c r="E596" t="s">
        <v>58</v>
      </c>
      <c r="F596" t="s">
        <v>60</v>
      </c>
      <c r="G596" t="s">
        <v>93</v>
      </c>
      <c r="H596" t="s">
        <v>54</v>
      </c>
      <c r="I596">
        <v>1</v>
      </c>
      <c r="J596" s="7">
        <v>68</v>
      </c>
      <c r="K596" s="8">
        <v>0.1</v>
      </c>
      <c r="L596" s="9">
        <v>61.2</v>
      </c>
      <c r="M596" s="9">
        <v>31</v>
      </c>
      <c r="N596" s="9">
        <v>30.200000000000003</v>
      </c>
    </row>
    <row r="597" spans="1:14">
      <c r="A597" t="s">
        <v>1023</v>
      </c>
      <c r="B597" s="6">
        <v>45709</v>
      </c>
      <c r="C597" t="s">
        <v>1024</v>
      </c>
      <c r="D597" t="s">
        <v>78</v>
      </c>
      <c r="E597" t="s">
        <v>52</v>
      </c>
      <c r="F597" t="s">
        <v>56</v>
      </c>
      <c r="G597" t="s">
        <v>90</v>
      </c>
      <c r="H597" t="s">
        <v>54</v>
      </c>
      <c r="I597">
        <v>1</v>
      </c>
      <c r="J597" s="7">
        <v>29</v>
      </c>
      <c r="K597" s="8">
        <v>0.15</v>
      </c>
      <c r="L597" s="9">
        <v>24.65</v>
      </c>
      <c r="M597" s="9">
        <v>11</v>
      </c>
      <c r="N597" s="9">
        <v>13.649999999999999</v>
      </c>
    </row>
    <row r="598" spans="1:14">
      <c r="A598" t="s">
        <v>1025</v>
      </c>
      <c r="B598" s="6">
        <v>45899</v>
      </c>
      <c r="C598" t="s">
        <v>483</v>
      </c>
      <c r="D598" t="s">
        <v>78</v>
      </c>
      <c r="E598" t="s">
        <v>55</v>
      </c>
      <c r="F598" t="s">
        <v>56</v>
      </c>
      <c r="G598" t="s">
        <v>94</v>
      </c>
      <c r="H598" t="s">
        <v>51</v>
      </c>
      <c r="I598">
        <v>1</v>
      </c>
      <c r="J598" s="7">
        <v>18</v>
      </c>
      <c r="K598" s="8">
        <v>0</v>
      </c>
      <c r="L598" s="9">
        <v>18</v>
      </c>
      <c r="M598" s="9">
        <v>5.5</v>
      </c>
      <c r="N598" s="9">
        <v>12.5</v>
      </c>
    </row>
    <row r="599" spans="1:14">
      <c r="A599" t="s">
        <v>1026</v>
      </c>
      <c r="B599" s="6">
        <v>45863</v>
      </c>
      <c r="C599" t="s">
        <v>1027</v>
      </c>
      <c r="D599" t="s">
        <v>79</v>
      </c>
      <c r="E599" t="s">
        <v>49</v>
      </c>
      <c r="F599" t="s">
        <v>56</v>
      </c>
      <c r="G599" t="s">
        <v>89</v>
      </c>
      <c r="H599" t="s">
        <v>51</v>
      </c>
      <c r="I599">
        <v>1</v>
      </c>
      <c r="J599" s="7">
        <v>38</v>
      </c>
      <c r="K599" s="8">
        <v>0.05</v>
      </c>
      <c r="L599" s="9">
        <v>36.1</v>
      </c>
      <c r="M599" s="9">
        <v>17</v>
      </c>
      <c r="N599" s="9">
        <v>19.100000000000001</v>
      </c>
    </row>
    <row r="600" spans="1:14">
      <c r="A600" t="s">
        <v>1028</v>
      </c>
      <c r="B600" s="6">
        <v>45778</v>
      </c>
      <c r="C600" t="s">
        <v>461</v>
      </c>
      <c r="D600" t="s">
        <v>78</v>
      </c>
      <c r="E600" t="s">
        <v>52</v>
      </c>
      <c r="F600" t="s">
        <v>59</v>
      </c>
      <c r="G600" t="s">
        <v>93</v>
      </c>
      <c r="H600" t="s">
        <v>54</v>
      </c>
      <c r="I600">
        <v>1</v>
      </c>
      <c r="J600" s="7">
        <v>68</v>
      </c>
      <c r="K600" s="8">
        <v>0</v>
      </c>
      <c r="L600" s="9">
        <v>68</v>
      </c>
      <c r="M600" s="9">
        <v>31</v>
      </c>
      <c r="N600" s="9">
        <v>37</v>
      </c>
    </row>
    <row r="601" spans="1:14">
      <c r="A601" t="s">
        <v>1029</v>
      </c>
      <c r="B601" s="6">
        <v>45662</v>
      </c>
      <c r="C601" t="s">
        <v>973</v>
      </c>
      <c r="D601" t="s">
        <v>79</v>
      </c>
      <c r="E601" t="s">
        <v>55</v>
      </c>
      <c r="F601" t="s">
        <v>59</v>
      </c>
      <c r="G601" t="s">
        <v>87</v>
      </c>
      <c r="H601" t="s">
        <v>48</v>
      </c>
      <c r="I601">
        <v>1</v>
      </c>
      <c r="J601" s="7">
        <v>89.99</v>
      </c>
      <c r="K601" s="8">
        <v>0</v>
      </c>
      <c r="L601" s="9">
        <v>89.99</v>
      </c>
      <c r="M601" s="9">
        <v>46</v>
      </c>
      <c r="N601" s="9">
        <v>43.989999999999995</v>
      </c>
    </row>
    <row r="602" spans="1:14">
      <c r="A602" t="s">
        <v>1030</v>
      </c>
      <c r="B602" s="6">
        <v>45811</v>
      </c>
      <c r="C602" t="s">
        <v>450</v>
      </c>
      <c r="D602" t="s">
        <v>78</v>
      </c>
      <c r="E602" t="s">
        <v>52</v>
      </c>
      <c r="F602" t="s">
        <v>50</v>
      </c>
      <c r="G602" t="s">
        <v>89</v>
      </c>
      <c r="H602" t="s">
        <v>51</v>
      </c>
      <c r="I602">
        <v>1</v>
      </c>
      <c r="J602" s="7">
        <v>38</v>
      </c>
      <c r="K602" s="8">
        <v>0.05</v>
      </c>
      <c r="L602" s="9">
        <v>36.1</v>
      </c>
      <c r="M602" s="9">
        <v>17</v>
      </c>
      <c r="N602" s="9">
        <v>19.100000000000001</v>
      </c>
    </row>
    <row r="603" spans="1:14">
      <c r="A603" t="s">
        <v>1031</v>
      </c>
      <c r="B603" s="6">
        <v>45768</v>
      </c>
      <c r="C603" t="s">
        <v>1032</v>
      </c>
      <c r="D603" t="s">
        <v>78</v>
      </c>
      <c r="E603" t="s">
        <v>55</v>
      </c>
      <c r="F603" t="s">
        <v>56</v>
      </c>
      <c r="G603" t="s">
        <v>89</v>
      </c>
      <c r="H603" t="s">
        <v>51</v>
      </c>
      <c r="I603">
        <v>1</v>
      </c>
      <c r="J603" s="7">
        <v>38</v>
      </c>
      <c r="K603" s="8">
        <v>0.05</v>
      </c>
      <c r="L603" s="9">
        <v>36.1</v>
      </c>
      <c r="M603" s="9">
        <v>17</v>
      </c>
      <c r="N603" s="9">
        <v>19.100000000000001</v>
      </c>
    </row>
    <row r="604" spans="1:14">
      <c r="A604" t="s">
        <v>1033</v>
      </c>
      <c r="B604" s="6">
        <v>45842</v>
      </c>
      <c r="C604" t="s">
        <v>1034</v>
      </c>
      <c r="D604" t="s">
        <v>78</v>
      </c>
      <c r="E604" t="s">
        <v>49</v>
      </c>
      <c r="F604" t="s">
        <v>56</v>
      </c>
      <c r="G604" t="s">
        <v>93</v>
      </c>
      <c r="H604" t="s">
        <v>54</v>
      </c>
      <c r="I604">
        <v>1</v>
      </c>
      <c r="J604" s="7">
        <v>68</v>
      </c>
      <c r="K604" s="8">
        <v>0.1</v>
      </c>
      <c r="L604" s="9">
        <v>61.2</v>
      </c>
      <c r="M604" s="9">
        <v>31</v>
      </c>
      <c r="N604" s="9">
        <v>30.200000000000003</v>
      </c>
    </row>
    <row r="605" spans="1:14">
      <c r="A605" t="s">
        <v>1035</v>
      </c>
      <c r="B605" s="6">
        <v>46005</v>
      </c>
      <c r="C605" t="s">
        <v>1021</v>
      </c>
      <c r="D605" t="s">
        <v>79</v>
      </c>
      <c r="E605" t="s">
        <v>55</v>
      </c>
      <c r="F605" t="s">
        <v>56</v>
      </c>
      <c r="G605" t="s">
        <v>94</v>
      </c>
      <c r="H605" t="s">
        <v>51</v>
      </c>
      <c r="I605">
        <v>1</v>
      </c>
      <c r="J605" s="7">
        <v>18</v>
      </c>
      <c r="K605" s="8">
        <v>0.05</v>
      </c>
      <c r="L605" s="9">
        <v>17.099999999999998</v>
      </c>
      <c r="M605" s="9">
        <v>5.5</v>
      </c>
      <c r="N605" s="9">
        <v>11.599999999999998</v>
      </c>
    </row>
    <row r="606" spans="1:14">
      <c r="A606" t="s">
        <v>1036</v>
      </c>
      <c r="B606" s="6">
        <v>45824</v>
      </c>
      <c r="C606" t="s">
        <v>570</v>
      </c>
      <c r="D606" t="s">
        <v>79</v>
      </c>
      <c r="E606" t="s">
        <v>55</v>
      </c>
      <c r="F606" t="s">
        <v>59</v>
      </c>
      <c r="G606" t="s">
        <v>93</v>
      </c>
      <c r="H606" t="s">
        <v>54</v>
      </c>
      <c r="I606">
        <v>1</v>
      </c>
      <c r="J606" s="7">
        <v>68</v>
      </c>
      <c r="K606" s="8">
        <v>0.1</v>
      </c>
      <c r="L606" s="9">
        <v>61.2</v>
      </c>
      <c r="M606" s="9">
        <v>31</v>
      </c>
      <c r="N606" s="9">
        <v>30.200000000000003</v>
      </c>
    </row>
    <row r="607" spans="1:14">
      <c r="A607" t="s">
        <v>1037</v>
      </c>
      <c r="B607" s="6">
        <v>45981</v>
      </c>
      <c r="C607" t="s">
        <v>269</v>
      </c>
      <c r="D607" t="s">
        <v>79</v>
      </c>
      <c r="E607" t="s">
        <v>58</v>
      </c>
      <c r="F607" t="s">
        <v>50</v>
      </c>
      <c r="G607" t="s">
        <v>87</v>
      </c>
      <c r="H607" t="s">
        <v>48</v>
      </c>
      <c r="I607">
        <v>3</v>
      </c>
      <c r="J607" s="7">
        <v>89.99</v>
      </c>
      <c r="K607" s="8">
        <v>0.05</v>
      </c>
      <c r="L607" s="9">
        <v>256.47149999999993</v>
      </c>
      <c r="M607" s="9">
        <v>138</v>
      </c>
      <c r="N607" s="9">
        <v>118.47149999999993</v>
      </c>
    </row>
    <row r="608" spans="1:14">
      <c r="A608" t="s">
        <v>1038</v>
      </c>
      <c r="B608" s="6">
        <v>45698</v>
      </c>
      <c r="C608" t="s">
        <v>228</v>
      </c>
      <c r="D608" t="s">
        <v>79</v>
      </c>
      <c r="E608" t="s">
        <v>58</v>
      </c>
      <c r="F608" t="s">
        <v>56</v>
      </c>
      <c r="G608" t="s">
        <v>87</v>
      </c>
      <c r="H608" t="s">
        <v>48</v>
      </c>
      <c r="I608">
        <v>1</v>
      </c>
      <c r="J608" s="7">
        <v>89.99</v>
      </c>
      <c r="K608" s="8">
        <v>0</v>
      </c>
      <c r="L608" s="9">
        <v>89.99</v>
      </c>
      <c r="M608" s="9">
        <v>46</v>
      </c>
      <c r="N608" s="9">
        <v>43.989999999999995</v>
      </c>
    </row>
    <row r="609" spans="1:14">
      <c r="A609" t="s">
        <v>1039</v>
      </c>
      <c r="B609" s="6">
        <v>45885</v>
      </c>
      <c r="C609" t="s">
        <v>502</v>
      </c>
      <c r="D609" t="s">
        <v>78</v>
      </c>
      <c r="E609" t="s">
        <v>52</v>
      </c>
      <c r="F609" t="s">
        <v>50</v>
      </c>
      <c r="G609" t="s">
        <v>90</v>
      </c>
      <c r="H609" t="s">
        <v>54</v>
      </c>
      <c r="I609">
        <v>2</v>
      </c>
      <c r="J609" s="7">
        <v>29</v>
      </c>
      <c r="K609" s="8">
        <v>0.05</v>
      </c>
      <c r="L609" s="9">
        <v>55.099999999999994</v>
      </c>
      <c r="M609" s="9">
        <v>22</v>
      </c>
      <c r="N609" s="9">
        <v>33.099999999999994</v>
      </c>
    </row>
    <row r="610" spans="1:14">
      <c r="A610" t="s">
        <v>1040</v>
      </c>
      <c r="B610" s="6">
        <v>45722</v>
      </c>
      <c r="C610" t="s">
        <v>1041</v>
      </c>
      <c r="D610" t="s">
        <v>79</v>
      </c>
      <c r="E610" t="s">
        <v>52</v>
      </c>
      <c r="F610" t="s">
        <v>53</v>
      </c>
      <c r="G610" t="s">
        <v>88</v>
      </c>
      <c r="H610" t="s">
        <v>51</v>
      </c>
      <c r="I610">
        <v>2</v>
      </c>
      <c r="J610" s="7">
        <v>42</v>
      </c>
      <c r="K610" s="8">
        <v>0.2</v>
      </c>
      <c r="L610" s="9">
        <v>67.2</v>
      </c>
      <c r="M610" s="9">
        <v>38</v>
      </c>
      <c r="N610" s="9">
        <v>29.200000000000003</v>
      </c>
    </row>
    <row r="611" spans="1:14">
      <c r="A611" t="s">
        <v>1042</v>
      </c>
      <c r="B611" s="6">
        <v>45861</v>
      </c>
      <c r="C611" t="s">
        <v>190</v>
      </c>
      <c r="D611" t="s">
        <v>78</v>
      </c>
      <c r="E611" t="s">
        <v>49</v>
      </c>
      <c r="F611" t="s">
        <v>59</v>
      </c>
      <c r="G611" t="s">
        <v>86</v>
      </c>
      <c r="H611" t="s">
        <v>48</v>
      </c>
      <c r="I611">
        <v>1</v>
      </c>
      <c r="J611" s="7">
        <v>34.99</v>
      </c>
      <c r="K611" s="8">
        <v>0.15</v>
      </c>
      <c r="L611" s="9">
        <v>29.741500000000002</v>
      </c>
      <c r="M611" s="9">
        <v>16</v>
      </c>
      <c r="N611" s="9">
        <v>13.741500000000002</v>
      </c>
    </row>
    <row r="612" spans="1:14">
      <c r="A612" t="s">
        <v>1043</v>
      </c>
      <c r="B612" s="6">
        <v>45926</v>
      </c>
      <c r="C612" t="s">
        <v>669</v>
      </c>
      <c r="D612" t="s">
        <v>78</v>
      </c>
      <c r="E612" t="s">
        <v>55</v>
      </c>
      <c r="F612" t="s">
        <v>53</v>
      </c>
      <c r="G612" t="s">
        <v>86</v>
      </c>
      <c r="H612" t="s">
        <v>48</v>
      </c>
      <c r="I612">
        <v>1</v>
      </c>
      <c r="J612" s="7">
        <v>34.99</v>
      </c>
      <c r="K612" s="8">
        <v>0.05</v>
      </c>
      <c r="L612" s="9">
        <v>33.240499999999997</v>
      </c>
      <c r="M612" s="9">
        <v>16</v>
      </c>
      <c r="N612" s="9">
        <v>17.240499999999997</v>
      </c>
    </row>
    <row r="613" spans="1:14">
      <c r="A613" t="s">
        <v>1044</v>
      </c>
      <c r="B613" s="6">
        <v>45784</v>
      </c>
      <c r="C613" t="s">
        <v>473</v>
      </c>
      <c r="D613" t="s">
        <v>78</v>
      </c>
      <c r="E613" t="s">
        <v>49</v>
      </c>
      <c r="F613" t="s">
        <v>50</v>
      </c>
      <c r="G613" t="s">
        <v>89</v>
      </c>
      <c r="H613" t="s">
        <v>51</v>
      </c>
      <c r="I613">
        <v>1</v>
      </c>
      <c r="J613" s="7">
        <v>38</v>
      </c>
      <c r="K613" s="8">
        <v>0</v>
      </c>
      <c r="L613" s="9">
        <v>38</v>
      </c>
      <c r="M613" s="9">
        <v>17</v>
      </c>
      <c r="N613" s="9">
        <v>21</v>
      </c>
    </row>
    <row r="614" spans="1:14">
      <c r="A614" t="s">
        <v>1045</v>
      </c>
      <c r="B614" s="6">
        <v>45997</v>
      </c>
      <c r="C614" t="s">
        <v>263</v>
      </c>
      <c r="D614" t="s">
        <v>78</v>
      </c>
      <c r="E614" t="s">
        <v>55</v>
      </c>
      <c r="F614" t="s">
        <v>60</v>
      </c>
      <c r="G614" t="s">
        <v>90</v>
      </c>
      <c r="H614" t="s">
        <v>54</v>
      </c>
      <c r="I614">
        <v>3</v>
      </c>
      <c r="J614" s="7">
        <v>29</v>
      </c>
      <c r="K614" s="8">
        <v>0</v>
      </c>
      <c r="L614" s="9">
        <v>87</v>
      </c>
      <c r="M614" s="9">
        <v>33</v>
      </c>
      <c r="N614" s="9">
        <v>54</v>
      </c>
    </row>
    <row r="615" spans="1:14">
      <c r="A615" t="s">
        <v>1046</v>
      </c>
      <c r="B615" s="6">
        <v>45885</v>
      </c>
      <c r="C615" t="s">
        <v>299</v>
      </c>
      <c r="D615" t="s">
        <v>78</v>
      </c>
      <c r="E615" t="s">
        <v>58</v>
      </c>
      <c r="F615" t="s">
        <v>60</v>
      </c>
      <c r="G615" t="s">
        <v>87</v>
      </c>
      <c r="H615" t="s">
        <v>48</v>
      </c>
      <c r="I615">
        <v>4</v>
      </c>
      <c r="J615" s="7">
        <v>89.99</v>
      </c>
      <c r="K615" s="8">
        <v>0.1</v>
      </c>
      <c r="L615" s="9">
        <v>323.964</v>
      </c>
      <c r="M615" s="9">
        <v>184</v>
      </c>
      <c r="N615" s="9">
        <v>139.964</v>
      </c>
    </row>
    <row r="616" spans="1:14">
      <c r="A616" t="s">
        <v>1047</v>
      </c>
      <c r="B616" s="6">
        <v>45880</v>
      </c>
      <c r="C616" t="s">
        <v>496</v>
      </c>
      <c r="D616" t="s">
        <v>79</v>
      </c>
      <c r="E616" t="s">
        <v>52</v>
      </c>
      <c r="F616" t="s">
        <v>50</v>
      </c>
      <c r="G616" t="s">
        <v>93</v>
      </c>
      <c r="H616" t="s">
        <v>54</v>
      </c>
      <c r="I616">
        <v>2</v>
      </c>
      <c r="J616" s="7">
        <v>68</v>
      </c>
      <c r="K616" s="8">
        <v>0.05</v>
      </c>
      <c r="L616" s="9">
        <v>129.19999999999999</v>
      </c>
      <c r="M616" s="9">
        <v>62</v>
      </c>
      <c r="N616" s="9">
        <v>67.199999999999989</v>
      </c>
    </row>
    <row r="617" spans="1:14">
      <c r="A617" t="s">
        <v>1048</v>
      </c>
      <c r="B617" s="6">
        <v>45884</v>
      </c>
      <c r="C617" t="s">
        <v>245</v>
      </c>
      <c r="D617" t="s">
        <v>78</v>
      </c>
      <c r="E617" t="s">
        <v>52</v>
      </c>
      <c r="F617" t="s">
        <v>56</v>
      </c>
      <c r="G617" t="s">
        <v>89</v>
      </c>
      <c r="H617" t="s">
        <v>51</v>
      </c>
      <c r="I617">
        <v>1</v>
      </c>
      <c r="J617" s="7">
        <v>38</v>
      </c>
      <c r="K617" s="8">
        <v>0</v>
      </c>
      <c r="L617" s="9">
        <v>38</v>
      </c>
      <c r="M617" s="9">
        <v>17</v>
      </c>
      <c r="N617" s="9">
        <v>21</v>
      </c>
    </row>
    <row r="618" spans="1:14">
      <c r="A618" t="s">
        <v>1049</v>
      </c>
      <c r="B618" s="6">
        <v>45804</v>
      </c>
      <c r="C618" t="s">
        <v>1050</v>
      </c>
      <c r="D618" t="s">
        <v>78</v>
      </c>
      <c r="E618" t="s">
        <v>58</v>
      </c>
      <c r="F618" t="s">
        <v>56</v>
      </c>
      <c r="G618" t="s">
        <v>92</v>
      </c>
      <c r="H618" t="s">
        <v>57</v>
      </c>
      <c r="I618">
        <v>1</v>
      </c>
      <c r="J618" s="7">
        <v>22</v>
      </c>
      <c r="K618" s="8">
        <v>0.1</v>
      </c>
      <c r="L618" s="9">
        <v>19.8</v>
      </c>
      <c r="M618" s="9">
        <v>7.5</v>
      </c>
      <c r="N618" s="9">
        <v>12.3</v>
      </c>
    </row>
    <row r="619" spans="1:14">
      <c r="A619" t="s">
        <v>1051</v>
      </c>
      <c r="B619" s="6">
        <v>45662</v>
      </c>
      <c r="C619" t="s">
        <v>458</v>
      </c>
      <c r="D619" t="s">
        <v>79</v>
      </c>
      <c r="E619" t="s">
        <v>55</v>
      </c>
      <c r="F619" t="s">
        <v>53</v>
      </c>
      <c r="G619" t="s">
        <v>91</v>
      </c>
      <c r="H619" t="s">
        <v>57</v>
      </c>
      <c r="I619">
        <v>2</v>
      </c>
      <c r="J619" s="7">
        <v>35</v>
      </c>
      <c r="K619" s="8">
        <v>0.05</v>
      </c>
      <c r="L619" s="9">
        <v>66.5</v>
      </c>
      <c r="M619" s="9">
        <v>28</v>
      </c>
      <c r="N619" s="9">
        <v>38.5</v>
      </c>
    </row>
    <row r="620" spans="1:14">
      <c r="A620" t="s">
        <v>1052</v>
      </c>
      <c r="B620" s="6">
        <v>45868</v>
      </c>
      <c r="C620" t="s">
        <v>1007</v>
      </c>
      <c r="D620" t="s">
        <v>79</v>
      </c>
      <c r="E620" t="s">
        <v>58</v>
      </c>
      <c r="F620" t="s">
        <v>53</v>
      </c>
      <c r="G620" t="s">
        <v>93</v>
      </c>
      <c r="H620" t="s">
        <v>54</v>
      </c>
      <c r="I620">
        <v>1</v>
      </c>
      <c r="J620" s="7">
        <v>68</v>
      </c>
      <c r="K620" s="8">
        <v>0</v>
      </c>
      <c r="L620" s="9">
        <v>68</v>
      </c>
      <c r="M620" s="9">
        <v>31</v>
      </c>
      <c r="N620" s="9">
        <v>37</v>
      </c>
    </row>
    <row r="621" spans="1:14">
      <c r="A621" t="s">
        <v>1053</v>
      </c>
      <c r="B621" s="6">
        <v>45792</v>
      </c>
      <c r="C621" t="s">
        <v>479</v>
      </c>
      <c r="D621" t="s">
        <v>79</v>
      </c>
      <c r="E621" t="s">
        <v>55</v>
      </c>
      <c r="F621" t="s">
        <v>56</v>
      </c>
      <c r="G621" t="s">
        <v>86</v>
      </c>
      <c r="H621" t="s">
        <v>48</v>
      </c>
      <c r="I621">
        <v>1</v>
      </c>
      <c r="J621" s="7">
        <v>34.99</v>
      </c>
      <c r="K621" s="8">
        <v>0</v>
      </c>
      <c r="L621" s="9">
        <v>34.99</v>
      </c>
      <c r="M621" s="9">
        <v>16</v>
      </c>
      <c r="N621" s="9">
        <v>18.990000000000002</v>
      </c>
    </row>
    <row r="622" spans="1:14">
      <c r="A622" t="s">
        <v>1054</v>
      </c>
      <c r="B622" s="6">
        <v>45990</v>
      </c>
      <c r="C622" t="s">
        <v>371</v>
      </c>
      <c r="D622" t="s">
        <v>79</v>
      </c>
      <c r="E622" t="s">
        <v>52</v>
      </c>
      <c r="F622" t="s">
        <v>56</v>
      </c>
      <c r="G622" t="s">
        <v>93</v>
      </c>
      <c r="H622" t="s">
        <v>54</v>
      </c>
      <c r="I622">
        <v>2</v>
      </c>
      <c r="J622" s="7">
        <v>68</v>
      </c>
      <c r="K622" s="8">
        <v>0</v>
      </c>
      <c r="L622" s="9">
        <v>136</v>
      </c>
      <c r="M622" s="9">
        <v>62</v>
      </c>
      <c r="N622" s="9">
        <v>74</v>
      </c>
    </row>
    <row r="623" spans="1:14">
      <c r="A623" t="s">
        <v>1055</v>
      </c>
      <c r="B623" s="6">
        <v>45714</v>
      </c>
      <c r="C623" t="s">
        <v>237</v>
      </c>
      <c r="D623" t="s">
        <v>79</v>
      </c>
      <c r="E623" t="s">
        <v>55</v>
      </c>
      <c r="F623" t="s">
        <v>50</v>
      </c>
      <c r="G623" t="s">
        <v>92</v>
      </c>
      <c r="H623" t="s">
        <v>57</v>
      </c>
      <c r="I623">
        <v>2</v>
      </c>
      <c r="J623" s="7">
        <v>22</v>
      </c>
      <c r="K623" s="8">
        <v>0</v>
      </c>
      <c r="L623" s="9">
        <v>44</v>
      </c>
      <c r="M623" s="9">
        <v>15</v>
      </c>
      <c r="N623" s="9">
        <v>29</v>
      </c>
    </row>
    <row r="624" spans="1:14">
      <c r="A624" t="s">
        <v>1056</v>
      </c>
      <c r="B624" s="6">
        <v>45735</v>
      </c>
      <c r="C624" t="s">
        <v>468</v>
      </c>
      <c r="D624" t="s">
        <v>79</v>
      </c>
      <c r="E624" t="s">
        <v>55</v>
      </c>
      <c r="F624" t="s">
        <v>53</v>
      </c>
      <c r="G624" t="s">
        <v>85</v>
      </c>
      <c r="H624" t="s">
        <v>48</v>
      </c>
      <c r="I624">
        <v>4</v>
      </c>
      <c r="J624" s="7">
        <v>59.99</v>
      </c>
      <c r="K624" s="8">
        <v>0</v>
      </c>
      <c r="L624" s="9">
        <v>239.96</v>
      </c>
      <c r="M624" s="9">
        <v>112</v>
      </c>
      <c r="N624" s="9">
        <v>127.96000000000001</v>
      </c>
    </row>
    <row r="625" spans="1:14">
      <c r="A625" t="s">
        <v>1057</v>
      </c>
      <c r="B625" s="6">
        <v>45882</v>
      </c>
      <c r="C625" t="s">
        <v>727</v>
      </c>
      <c r="D625" t="s">
        <v>78</v>
      </c>
      <c r="E625" t="s">
        <v>58</v>
      </c>
      <c r="F625" t="s">
        <v>56</v>
      </c>
      <c r="G625" t="s">
        <v>85</v>
      </c>
      <c r="H625" t="s">
        <v>48</v>
      </c>
      <c r="I625">
        <v>1</v>
      </c>
      <c r="J625" s="7">
        <v>59.99</v>
      </c>
      <c r="K625" s="8">
        <v>0</v>
      </c>
      <c r="L625" s="9">
        <v>59.99</v>
      </c>
      <c r="M625" s="9">
        <v>28</v>
      </c>
      <c r="N625" s="9">
        <v>31.990000000000002</v>
      </c>
    </row>
    <row r="626" spans="1:14">
      <c r="A626" t="s">
        <v>1058</v>
      </c>
      <c r="B626" s="6">
        <v>45913</v>
      </c>
      <c r="C626" t="s">
        <v>1059</v>
      </c>
      <c r="D626" t="s">
        <v>78</v>
      </c>
      <c r="E626" t="s">
        <v>52</v>
      </c>
      <c r="F626" t="s">
        <v>50</v>
      </c>
      <c r="G626" t="s">
        <v>90</v>
      </c>
      <c r="H626" t="s">
        <v>54</v>
      </c>
      <c r="I626">
        <v>1</v>
      </c>
      <c r="J626" s="7">
        <v>29</v>
      </c>
      <c r="K626" s="8">
        <v>0.1</v>
      </c>
      <c r="L626" s="9">
        <v>26.1</v>
      </c>
      <c r="M626" s="9">
        <v>11</v>
      </c>
      <c r="N626" s="9">
        <v>15.100000000000001</v>
      </c>
    </row>
    <row r="627" spans="1:14">
      <c r="A627" t="s">
        <v>1060</v>
      </c>
      <c r="B627" s="6">
        <v>45794</v>
      </c>
      <c r="C627" t="s">
        <v>408</v>
      </c>
      <c r="D627" t="s">
        <v>78</v>
      </c>
      <c r="E627" t="s">
        <v>58</v>
      </c>
      <c r="F627" t="s">
        <v>50</v>
      </c>
      <c r="G627" t="s">
        <v>91</v>
      </c>
      <c r="H627" t="s">
        <v>57</v>
      </c>
      <c r="I627">
        <v>1</v>
      </c>
      <c r="J627" s="7">
        <v>35</v>
      </c>
      <c r="K627" s="8">
        <v>0</v>
      </c>
      <c r="L627" s="9">
        <v>35</v>
      </c>
      <c r="M627" s="9">
        <v>14</v>
      </c>
      <c r="N627" s="9">
        <v>21</v>
      </c>
    </row>
    <row r="628" spans="1:14">
      <c r="A628" t="s">
        <v>1061</v>
      </c>
      <c r="B628" s="6">
        <v>45720</v>
      </c>
      <c r="C628" t="s">
        <v>831</v>
      </c>
      <c r="D628" t="s">
        <v>78</v>
      </c>
      <c r="E628" t="s">
        <v>52</v>
      </c>
      <c r="F628" t="s">
        <v>59</v>
      </c>
      <c r="G628" t="s">
        <v>88</v>
      </c>
      <c r="H628" t="s">
        <v>51</v>
      </c>
      <c r="I628">
        <v>1</v>
      </c>
      <c r="J628" s="7">
        <v>42</v>
      </c>
      <c r="K628" s="8">
        <v>0.2</v>
      </c>
      <c r="L628" s="9">
        <v>33.6</v>
      </c>
      <c r="M628" s="9">
        <v>19</v>
      </c>
      <c r="N628" s="9">
        <v>14.600000000000001</v>
      </c>
    </row>
    <row r="629" spans="1:14">
      <c r="A629" t="s">
        <v>1062</v>
      </c>
      <c r="B629" s="6">
        <v>45706</v>
      </c>
      <c r="C629" t="s">
        <v>1063</v>
      </c>
      <c r="D629" t="s">
        <v>78</v>
      </c>
      <c r="E629" t="s">
        <v>55</v>
      </c>
      <c r="F629" t="s">
        <v>53</v>
      </c>
      <c r="G629" t="s">
        <v>93</v>
      </c>
      <c r="H629" t="s">
        <v>54</v>
      </c>
      <c r="I629">
        <v>2</v>
      </c>
      <c r="J629" s="7">
        <v>68</v>
      </c>
      <c r="K629" s="8">
        <v>0</v>
      </c>
      <c r="L629" s="9">
        <v>136</v>
      </c>
      <c r="M629" s="9">
        <v>62</v>
      </c>
      <c r="N629" s="9">
        <v>74</v>
      </c>
    </row>
    <row r="630" spans="1:14">
      <c r="A630" t="s">
        <v>1064</v>
      </c>
      <c r="B630" s="6">
        <v>45980</v>
      </c>
      <c r="C630" t="s">
        <v>975</v>
      </c>
      <c r="D630" t="s">
        <v>78</v>
      </c>
      <c r="E630" t="s">
        <v>55</v>
      </c>
      <c r="F630" t="s">
        <v>53</v>
      </c>
      <c r="G630" t="s">
        <v>85</v>
      </c>
      <c r="H630" t="s">
        <v>48</v>
      </c>
      <c r="I630">
        <v>2</v>
      </c>
      <c r="J630" s="7">
        <v>59.99</v>
      </c>
      <c r="K630" s="8">
        <v>0.05</v>
      </c>
      <c r="L630" s="9">
        <v>113.98099999999999</v>
      </c>
      <c r="M630" s="9">
        <v>56</v>
      </c>
      <c r="N630" s="9">
        <v>57.980999999999995</v>
      </c>
    </row>
    <row r="631" spans="1:14">
      <c r="A631" t="s">
        <v>1065</v>
      </c>
      <c r="B631" s="6">
        <v>45842</v>
      </c>
      <c r="C631" t="s">
        <v>862</v>
      </c>
      <c r="D631" t="s">
        <v>78</v>
      </c>
      <c r="E631" t="s">
        <v>58</v>
      </c>
      <c r="F631" t="s">
        <v>56</v>
      </c>
      <c r="G631" t="s">
        <v>85</v>
      </c>
      <c r="H631" t="s">
        <v>48</v>
      </c>
      <c r="I631">
        <v>3</v>
      </c>
      <c r="J631" s="7">
        <v>59.99</v>
      </c>
      <c r="K631" s="8">
        <v>0</v>
      </c>
      <c r="L631" s="9">
        <v>179.97</v>
      </c>
      <c r="M631" s="9">
        <v>84</v>
      </c>
      <c r="N631" s="9">
        <v>95.97</v>
      </c>
    </row>
    <row r="632" spans="1:14">
      <c r="A632" t="s">
        <v>1066</v>
      </c>
      <c r="B632" s="6">
        <v>45665</v>
      </c>
      <c r="C632" t="s">
        <v>254</v>
      </c>
      <c r="D632" t="s">
        <v>78</v>
      </c>
      <c r="E632" t="s">
        <v>49</v>
      </c>
      <c r="F632" t="s">
        <v>50</v>
      </c>
      <c r="G632" t="s">
        <v>87</v>
      </c>
      <c r="H632" t="s">
        <v>48</v>
      </c>
      <c r="I632">
        <v>2</v>
      </c>
      <c r="J632" s="7">
        <v>89.99</v>
      </c>
      <c r="K632" s="8">
        <v>0.05</v>
      </c>
      <c r="L632" s="9">
        <v>170.98099999999999</v>
      </c>
      <c r="M632" s="9">
        <v>92</v>
      </c>
      <c r="N632" s="9">
        <v>78.980999999999995</v>
      </c>
    </row>
    <row r="633" spans="1:14">
      <c r="A633" t="s">
        <v>1067</v>
      </c>
      <c r="B633" s="6">
        <v>45955</v>
      </c>
      <c r="C633" t="s">
        <v>330</v>
      </c>
      <c r="D633" t="s">
        <v>79</v>
      </c>
      <c r="E633" t="s">
        <v>52</v>
      </c>
      <c r="F633" t="s">
        <v>59</v>
      </c>
      <c r="G633" t="s">
        <v>92</v>
      </c>
      <c r="H633" t="s">
        <v>57</v>
      </c>
      <c r="I633">
        <v>2</v>
      </c>
      <c r="J633" s="7">
        <v>22</v>
      </c>
      <c r="K633" s="8">
        <v>0</v>
      </c>
      <c r="L633" s="9">
        <v>44</v>
      </c>
      <c r="M633" s="9">
        <v>15</v>
      </c>
      <c r="N633" s="9">
        <v>29</v>
      </c>
    </row>
    <row r="634" spans="1:14">
      <c r="A634" t="s">
        <v>1068</v>
      </c>
      <c r="B634" s="6">
        <v>45704</v>
      </c>
      <c r="C634" t="s">
        <v>200</v>
      </c>
      <c r="D634" t="s">
        <v>79</v>
      </c>
      <c r="E634" t="s">
        <v>49</v>
      </c>
      <c r="F634" t="s">
        <v>56</v>
      </c>
      <c r="G634" t="s">
        <v>94</v>
      </c>
      <c r="H634" t="s">
        <v>51</v>
      </c>
      <c r="I634">
        <v>1</v>
      </c>
      <c r="J634" s="7">
        <v>18</v>
      </c>
      <c r="K634" s="8">
        <v>0.2</v>
      </c>
      <c r="L634" s="9">
        <v>14.4</v>
      </c>
      <c r="M634" s="9">
        <v>5.5</v>
      </c>
      <c r="N634" s="9">
        <v>8.9</v>
      </c>
    </row>
    <row r="635" spans="1:14">
      <c r="A635" t="s">
        <v>1069</v>
      </c>
      <c r="B635" s="6">
        <v>45988</v>
      </c>
      <c r="C635" t="s">
        <v>166</v>
      </c>
      <c r="D635" t="s">
        <v>78</v>
      </c>
      <c r="E635" t="s">
        <v>55</v>
      </c>
      <c r="F635" t="s">
        <v>60</v>
      </c>
      <c r="G635" t="s">
        <v>87</v>
      </c>
      <c r="H635" t="s">
        <v>48</v>
      </c>
      <c r="I635">
        <v>2</v>
      </c>
      <c r="J635" s="7">
        <v>89.99</v>
      </c>
      <c r="K635" s="8">
        <v>0.1</v>
      </c>
      <c r="L635" s="9">
        <v>161.982</v>
      </c>
      <c r="M635" s="9">
        <v>92</v>
      </c>
      <c r="N635" s="9">
        <v>69.981999999999999</v>
      </c>
    </row>
    <row r="636" spans="1:14">
      <c r="A636" t="s">
        <v>1070</v>
      </c>
      <c r="B636" s="6">
        <v>45988</v>
      </c>
      <c r="C636" t="s">
        <v>1071</v>
      </c>
      <c r="D636" t="s">
        <v>78</v>
      </c>
      <c r="E636" t="s">
        <v>58</v>
      </c>
      <c r="F636" t="s">
        <v>56</v>
      </c>
      <c r="G636" t="s">
        <v>90</v>
      </c>
      <c r="H636" t="s">
        <v>54</v>
      </c>
      <c r="I636">
        <v>2</v>
      </c>
      <c r="J636" s="7">
        <v>29</v>
      </c>
      <c r="K636" s="8">
        <v>0</v>
      </c>
      <c r="L636" s="9">
        <v>58</v>
      </c>
      <c r="M636" s="9">
        <v>22</v>
      </c>
      <c r="N636" s="9">
        <v>36</v>
      </c>
    </row>
    <row r="637" spans="1:14">
      <c r="A637" t="s">
        <v>1072</v>
      </c>
      <c r="B637" s="6">
        <v>45726</v>
      </c>
      <c r="C637" t="s">
        <v>410</v>
      </c>
      <c r="D637" t="s">
        <v>78</v>
      </c>
      <c r="E637" t="s">
        <v>58</v>
      </c>
      <c r="F637" t="s">
        <v>53</v>
      </c>
      <c r="G637" t="s">
        <v>89</v>
      </c>
      <c r="H637" t="s">
        <v>51</v>
      </c>
      <c r="I637">
        <v>3</v>
      </c>
      <c r="J637" s="7">
        <v>38</v>
      </c>
      <c r="K637" s="8">
        <v>0.05</v>
      </c>
      <c r="L637" s="9">
        <v>108.3</v>
      </c>
      <c r="M637" s="9">
        <v>51</v>
      </c>
      <c r="N637" s="9">
        <v>57.3</v>
      </c>
    </row>
    <row r="638" spans="1:14">
      <c r="A638" t="s">
        <v>1073</v>
      </c>
      <c r="B638" s="6">
        <v>45948</v>
      </c>
      <c r="C638" t="s">
        <v>626</v>
      </c>
      <c r="D638" t="s">
        <v>78</v>
      </c>
      <c r="E638" t="s">
        <v>52</v>
      </c>
      <c r="F638" t="s">
        <v>50</v>
      </c>
      <c r="G638" t="s">
        <v>87</v>
      </c>
      <c r="H638" t="s">
        <v>48</v>
      </c>
      <c r="I638">
        <v>1</v>
      </c>
      <c r="J638" s="7">
        <v>89.99</v>
      </c>
      <c r="K638" s="8">
        <v>0</v>
      </c>
      <c r="L638" s="9">
        <v>89.99</v>
      </c>
      <c r="M638" s="9">
        <v>46</v>
      </c>
      <c r="N638" s="9">
        <v>43.989999999999995</v>
      </c>
    </row>
    <row r="639" spans="1:14">
      <c r="A639" t="s">
        <v>1074</v>
      </c>
      <c r="B639" s="6">
        <v>45929</v>
      </c>
      <c r="C639" t="s">
        <v>592</v>
      </c>
      <c r="D639" t="s">
        <v>78</v>
      </c>
      <c r="E639" t="s">
        <v>49</v>
      </c>
      <c r="F639" t="s">
        <v>60</v>
      </c>
      <c r="G639" t="s">
        <v>87</v>
      </c>
      <c r="H639" t="s">
        <v>48</v>
      </c>
      <c r="I639">
        <v>1</v>
      </c>
      <c r="J639" s="7">
        <v>89.99</v>
      </c>
      <c r="K639" s="8">
        <v>0.1</v>
      </c>
      <c r="L639" s="9">
        <v>80.991</v>
      </c>
      <c r="M639" s="9">
        <v>46</v>
      </c>
      <c r="N639" s="9">
        <v>34.991</v>
      </c>
    </row>
    <row r="640" spans="1:14">
      <c r="A640" t="s">
        <v>1075</v>
      </c>
      <c r="B640" s="6">
        <v>45852</v>
      </c>
      <c r="C640" t="s">
        <v>1076</v>
      </c>
      <c r="D640" t="s">
        <v>78</v>
      </c>
      <c r="E640" t="s">
        <v>52</v>
      </c>
      <c r="F640" t="s">
        <v>56</v>
      </c>
      <c r="G640" t="s">
        <v>87</v>
      </c>
      <c r="H640" t="s">
        <v>48</v>
      </c>
      <c r="I640">
        <v>3</v>
      </c>
      <c r="J640" s="7">
        <v>89.99</v>
      </c>
      <c r="K640" s="8">
        <v>0.05</v>
      </c>
      <c r="L640" s="9">
        <v>256.47149999999993</v>
      </c>
      <c r="M640" s="9">
        <v>138</v>
      </c>
      <c r="N640" s="9">
        <v>118.47149999999993</v>
      </c>
    </row>
    <row r="641" spans="1:14">
      <c r="A641" t="s">
        <v>1077</v>
      </c>
      <c r="B641" s="6">
        <v>45690</v>
      </c>
      <c r="C641" t="s">
        <v>1078</v>
      </c>
      <c r="D641" t="s">
        <v>79</v>
      </c>
      <c r="E641" t="s">
        <v>52</v>
      </c>
      <c r="F641" t="s">
        <v>60</v>
      </c>
      <c r="G641" t="s">
        <v>93</v>
      </c>
      <c r="H641" t="s">
        <v>54</v>
      </c>
      <c r="I641">
        <v>2</v>
      </c>
      <c r="J641" s="7">
        <v>68</v>
      </c>
      <c r="K641" s="8">
        <v>0</v>
      </c>
      <c r="L641" s="9">
        <v>136</v>
      </c>
      <c r="M641" s="9">
        <v>62</v>
      </c>
      <c r="N641" s="9">
        <v>74</v>
      </c>
    </row>
    <row r="642" spans="1:14">
      <c r="A642" t="s">
        <v>1079</v>
      </c>
      <c r="B642" s="6">
        <v>45802</v>
      </c>
      <c r="C642" t="s">
        <v>983</v>
      </c>
      <c r="D642" t="s">
        <v>78</v>
      </c>
      <c r="E642" t="s">
        <v>49</v>
      </c>
      <c r="F642" t="s">
        <v>50</v>
      </c>
      <c r="G642" t="s">
        <v>90</v>
      </c>
      <c r="H642" t="s">
        <v>54</v>
      </c>
      <c r="I642">
        <v>1</v>
      </c>
      <c r="J642" s="7">
        <v>29</v>
      </c>
      <c r="K642" s="8">
        <v>0</v>
      </c>
      <c r="L642" s="9">
        <v>29</v>
      </c>
      <c r="M642" s="9">
        <v>11</v>
      </c>
      <c r="N642" s="9">
        <v>18</v>
      </c>
    </row>
    <row r="643" spans="1:14">
      <c r="A643" t="s">
        <v>1080</v>
      </c>
      <c r="B643" s="6">
        <v>45724</v>
      </c>
      <c r="C643" t="s">
        <v>327</v>
      </c>
      <c r="D643" t="s">
        <v>78</v>
      </c>
      <c r="E643" t="s">
        <v>49</v>
      </c>
      <c r="F643" t="s">
        <v>60</v>
      </c>
      <c r="G643" t="s">
        <v>87</v>
      </c>
      <c r="H643" t="s">
        <v>48</v>
      </c>
      <c r="I643">
        <v>3</v>
      </c>
      <c r="J643" s="7">
        <v>89.99</v>
      </c>
      <c r="K643" s="8">
        <v>0</v>
      </c>
      <c r="L643" s="9">
        <v>269.96999999999997</v>
      </c>
      <c r="M643" s="9">
        <v>138</v>
      </c>
      <c r="N643" s="9">
        <v>131.96999999999997</v>
      </c>
    </row>
    <row r="644" spans="1:14">
      <c r="A644" t="s">
        <v>1081</v>
      </c>
      <c r="B644" s="6">
        <v>45986</v>
      </c>
      <c r="C644" t="s">
        <v>1082</v>
      </c>
      <c r="D644" t="s">
        <v>79</v>
      </c>
      <c r="E644" t="s">
        <v>49</v>
      </c>
      <c r="F644" t="s">
        <v>56</v>
      </c>
      <c r="G644" t="s">
        <v>91</v>
      </c>
      <c r="H644" t="s">
        <v>57</v>
      </c>
      <c r="I644">
        <v>2</v>
      </c>
      <c r="J644" s="7">
        <v>35</v>
      </c>
      <c r="K644" s="8">
        <v>0.05</v>
      </c>
      <c r="L644" s="9">
        <v>66.5</v>
      </c>
      <c r="M644" s="9">
        <v>28</v>
      </c>
      <c r="N644" s="9">
        <v>38.5</v>
      </c>
    </row>
    <row r="645" spans="1:14">
      <c r="A645" t="s">
        <v>1083</v>
      </c>
      <c r="B645" s="6">
        <v>45771</v>
      </c>
      <c r="C645" t="s">
        <v>301</v>
      </c>
      <c r="D645" t="s">
        <v>79</v>
      </c>
      <c r="E645" t="s">
        <v>49</v>
      </c>
      <c r="F645" t="s">
        <v>59</v>
      </c>
      <c r="G645" t="s">
        <v>94</v>
      </c>
      <c r="H645" t="s">
        <v>51</v>
      </c>
      <c r="I645">
        <v>2</v>
      </c>
      <c r="J645" s="7">
        <v>18</v>
      </c>
      <c r="K645" s="8">
        <v>0</v>
      </c>
      <c r="L645" s="9">
        <v>36</v>
      </c>
      <c r="M645" s="9">
        <v>11</v>
      </c>
      <c r="N645" s="9">
        <v>25</v>
      </c>
    </row>
    <row r="646" spans="1:14">
      <c r="A646" t="s">
        <v>1084</v>
      </c>
      <c r="B646" s="6">
        <v>45985</v>
      </c>
      <c r="C646" t="s">
        <v>211</v>
      </c>
      <c r="D646" t="s">
        <v>79</v>
      </c>
      <c r="E646" t="s">
        <v>49</v>
      </c>
      <c r="F646" t="s">
        <v>60</v>
      </c>
      <c r="G646" t="s">
        <v>85</v>
      </c>
      <c r="H646" t="s">
        <v>48</v>
      </c>
      <c r="I646">
        <v>1</v>
      </c>
      <c r="J646" s="7">
        <v>59.99</v>
      </c>
      <c r="K646" s="8">
        <v>0.1</v>
      </c>
      <c r="L646" s="9">
        <v>53.991</v>
      </c>
      <c r="M646" s="9">
        <v>28</v>
      </c>
      <c r="N646" s="9">
        <v>25.991</v>
      </c>
    </row>
    <row r="647" spans="1:14">
      <c r="A647" t="s">
        <v>1085</v>
      </c>
      <c r="B647" s="6">
        <v>45794</v>
      </c>
      <c r="C647" t="s">
        <v>1086</v>
      </c>
      <c r="D647" t="s">
        <v>78</v>
      </c>
      <c r="E647" t="s">
        <v>49</v>
      </c>
      <c r="F647" t="s">
        <v>50</v>
      </c>
      <c r="G647" t="s">
        <v>93</v>
      </c>
      <c r="H647" t="s">
        <v>54</v>
      </c>
      <c r="I647">
        <v>1</v>
      </c>
      <c r="J647" s="7">
        <v>68</v>
      </c>
      <c r="K647" s="8">
        <v>0</v>
      </c>
      <c r="L647" s="9">
        <v>68</v>
      </c>
      <c r="M647" s="9">
        <v>31</v>
      </c>
      <c r="N647" s="9">
        <v>37</v>
      </c>
    </row>
    <row r="648" spans="1:14">
      <c r="A648" t="s">
        <v>1087</v>
      </c>
      <c r="B648" s="6">
        <v>45776</v>
      </c>
      <c r="C648" t="s">
        <v>436</v>
      </c>
      <c r="D648" t="s">
        <v>79</v>
      </c>
      <c r="E648" t="s">
        <v>52</v>
      </c>
      <c r="F648" t="s">
        <v>60</v>
      </c>
      <c r="G648" t="s">
        <v>93</v>
      </c>
      <c r="H648" t="s">
        <v>54</v>
      </c>
      <c r="I648">
        <v>1</v>
      </c>
      <c r="J648" s="7">
        <v>68</v>
      </c>
      <c r="K648" s="8">
        <v>0</v>
      </c>
      <c r="L648" s="9">
        <v>68</v>
      </c>
      <c r="M648" s="9">
        <v>31</v>
      </c>
      <c r="N648" s="9">
        <v>37</v>
      </c>
    </row>
    <row r="649" spans="1:14">
      <c r="A649" t="s">
        <v>1088</v>
      </c>
      <c r="B649" s="6">
        <v>45943</v>
      </c>
      <c r="C649" t="s">
        <v>1089</v>
      </c>
      <c r="D649" t="s">
        <v>78</v>
      </c>
      <c r="E649" t="s">
        <v>58</v>
      </c>
      <c r="F649" t="s">
        <v>59</v>
      </c>
      <c r="G649" t="s">
        <v>91</v>
      </c>
      <c r="H649" t="s">
        <v>57</v>
      </c>
      <c r="I649">
        <v>2</v>
      </c>
      <c r="J649" s="7">
        <v>35</v>
      </c>
      <c r="K649" s="8">
        <v>0.1</v>
      </c>
      <c r="L649" s="9">
        <v>63</v>
      </c>
      <c r="M649" s="9">
        <v>28</v>
      </c>
      <c r="N649" s="9">
        <v>35</v>
      </c>
    </row>
    <row r="650" spans="1:14">
      <c r="A650" t="s">
        <v>1090</v>
      </c>
      <c r="B650" s="6">
        <v>45711</v>
      </c>
      <c r="C650" t="s">
        <v>432</v>
      </c>
      <c r="D650" t="s">
        <v>78</v>
      </c>
      <c r="E650" t="s">
        <v>52</v>
      </c>
      <c r="F650" t="s">
        <v>60</v>
      </c>
      <c r="G650" t="s">
        <v>87</v>
      </c>
      <c r="H650" t="s">
        <v>48</v>
      </c>
      <c r="I650">
        <v>2</v>
      </c>
      <c r="J650" s="7">
        <v>89.99</v>
      </c>
      <c r="K650" s="8">
        <v>0.05</v>
      </c>
      <c r="L650" s="9">
        <v>170.98099999999999</v>
      </c>
      <c r="M650" s="9">
        <v>92</v>
      </c>
      <c r="N650" s="9">
        <v>78.980999999999995</v>
      </c>
    </row>
    <row r="651" spans="1:14">
      <c r="A651" t="s">
        <v>1091</v>
      </c>
      <c r="B651" s="6">
        <v>45965</v>
      </c>
      <c r="C651" t="s">
        <v>1092</v>
      </c>
      <c r="D651" t="s">
        <v>78</v>
      </c>
      <c r="E651" t="s">
        <v>55</v>
      </c>
      <c r="F651" t="s">
        <v>59</v>
      </c>
      <c r="G651" t="s">
        <v>92</v>
      </c>
      <c r="H651" t="s">
        <v>57</v>
      </c>
      <c r="I651">
        <v>3</v>
      </c>
      <c r="J651" s="7">
        <v>22</v>
      </c>
      <c r="K651" s="8">
        <v>0.15</v>
      </c>
      <c r="L651" s="9">
        <v>56.1</v>
      </c>
      <c r="M651" s="9">
        <v>22.5</v>
      </c>
      <c r="N651" s="9">
        <v>33.6</v>
      </c>
    </row>
    <row r="652" spans="1:14">
      <c r="A652" t="s">
        <v>1093</v>
      </c>
      <c r="B652" s="6">
        <v>45982</v>
      </c>
      <c r="C652" t="s">
        <v>746</v>
      </c>
      <c r="D652" t="s">
        <v>78</v>
      </c>
      <c r="E652" t="s">
        <v>52</v>
      </c>
      <c r="F652" t="s">
        <v>59</v>
      </c>
      <c r="G652" t="s">
        <v>91</v>
      </c>
      <c r="H652" t="s">
        <v>57</v>
      </c>
      <c r="I652">
        <v>2</v>
      </c>
      <c r="J652" s="7">
        <v>35</v>
      </c>
      <c r="K652" s="8">
        <v>0</v>
      </c>
      <c r="L652" s="9">
        <v>70</v>
      </c>
      <c r="M652" s="9">
        <v>28</v>
      </c>
      <c r="N652" s="9">
        <v>42</v>
      </c>
    </row>
    <row r="653" spans="1:14">
      <c r="A653" t="s">
        <v>1094</v>
      </c>
      <c r="B653" s="6">
        <v>45939</v>
      </c>
      <c r="C653" t="s">
        <v>245</v>
      </c>
      <c r="D653" t="s">
        <v>79</v>
      </c>
      <c r="E653" t="s">
        <v>49</v>
      </c>
      <c r="F653" t="s">
        <v>56</v>
      </c>
      <c r="G653" t="s">
        <v>89</v>
      </c>
      <c r="H653" t="s">
        <v>51</v>
      </c>
      <c r="I653">
        <v>1</v>
      </c>
      <c r="J653" s="7">
        <v>38</v>
      </c>
      <c r="K653" s="8">
        <v>0</v>
      </c>
      <c r="L653" s="9">
        <v>38</v>
      </c>
      <c r="M653" s="9">
        <v>17</v>
      </c>
      <c r="N653" s="9">
        <v>21</v>
      </c>
    </row>
    <row r="654" spans="1:14">
      <c r="A654" t="s">
        <v>1095</v>
      </c>
      <c r="B654" s="6">
        <v>45963</v>
      </c>
      <c r="C654" t="s">
        <v>818</v>
      </c>
      <c r="D654" t="s">
        <v>78</v>
      </c>
      <c r="E654" t="s">
        <v>52</v>
      </c>
      <c r="F654" t="s">
        <v>53</v>
      </c>
      <c r="G654" t="s">
        <v>85</v>
      </c>
      <c r="H654" t="s">
        <v>48</v>
      </c>
      <c r="I654">
        <v>1</v>
      </c>
      <c r="J654" s="7">
        <v>59.99</v>
      </c>
      <c r="K654" s="8">
        <v>0.2</v>
      </c>
      <c r="L654" s="9">
        <v>47.992000000000004</v>
      </c>
      <c r="M654" s="9">
        <v>28</v>
      </c>
      <c r="N654" s="9">
        <v>19.992000000000004</v>
      </c>
    </row>
    <row r="655" spans="1:14">
      <c r="A655" t="s">
        <v>1096</v>
      </c>
      <c r="B655" s="6">
        <v>45819</v>
      </c>
      <c r="C655" t="s">
        <v>1078</v>
      </c>
      <c r="D655" t="s">
        <v>79</v>
      </c>
      <c r="E655" t="s">
        <v>52</v>
      </c>
      <c r="F655" t="s">
        <v>50</v>
      </c>
      <c r="G655" t="s">
        <v>85</v>
      </c>
      <c r="H655" t="s">
        <v>48</v>
      </c>
      <c r="I655">
        <v>2</v>
      </c>
      <c r="J655" s="7">
        <v>59.99</v>
      </c>
      <c r="K655" s="8">
        <v>0.2</v>
      </c>
      <c r="L655" s="9">
        <v>95.984000000000009</v>
      </c>
      <c r="M655" s="9">
        <v>56</v>
      </c>
      <c r="N655" s="9">
        <v>39.984000000000009</v>
      </c>
    </row>
    <row r="656" spans="1:14">
      <c r="A656" t="s">
        <v>1097</v>
      </c>
      <c r="B656" s="6">
        <v>45677</v>
      </c>
      <c r="C656" t="s">
        <v>373</v>
      </c>
      <c r="D656" t="s">
        <v>78</v>
      </c>
      <c r="E656" t="s">
        <v>52</v>
      </c>
      <c r="F656" t="s">
        <v>53</v>
      </c>
      <c r="G656" t="s">
        <v>92</v>
      </c>
      <c r="H656" t="s">
        <v>57</v>
      </c>
      <c r="I656">
        <v>1</v>
      </c>
      <c r="J656" s="7">
        <v>22</v>
      </c>
      <c r="K656" s="8">
        <v>0</v>
      </c>
      <c r="L656" s="9">
        <v>22</v>
      </c>
      <c r="M656" s="9">
        <v>7.5</v>
      </c>
      <c r="N656" s="9">
        <v>14.5</v>
      </c>
    </row>
    <row r="657" spans="1:14">
      <c r="A657" t="s">
        <v>1098</v>
      </c>
      <c r="B657" s="6">
        <v>45789</v>
      </c>
      <c r="C657" t="s">
        <v>758</v>
      </c>
      <c r="D657" t="s">
        <v>79</v>
      </c>
      <c r="E657" t="s">
        <v>55</v>
      </c>
      <c r="F657" t="s">
        <v>59</v>
      </c>
      <c r="G657" t="s">
        <v>89</v>
      </c>
      <c r="H657" t="s">
        <v>51</v>
      </c>
      <c r="I657">
        <v>1</v>
      </c>
      <c r="J657" s="7">
        <v>38</v>
      </c>
      <c r="K657" s="8">
        <v>0</v>
      </c>
      <c r="L657" s="9">
        <v>38</v>
      </c>
      <c r="M657" s="9">
        <v>17</v>
      </c>
      <c r="N657" s="9">
        <v>21</v>
      </c>
    </row>
    <row r="658" spans="1:14">
      <c r="A658" t="s">
        <v>1099</v>
      </c>
      <c r="B658" s="6">
        <v>45746</v>
      </c>
      <c r="C658" t="s">
        <v>237</v>
      </c>
      <c r="D658" t="s">
        <v>78</v>
      </c>
      <c r="E658" t="s">
        <v>55</v>
      </c>
      <c r="F658" t="s">
        <v>50</v>
      </c>
      <c r="G658" t="s">
        <v>92</v>
      </c>
      <c r="H658" t="s">
        <v>57</v>
      </c>
      <c r="I658">
        <v>2</v>
      </c>
      <c r="J658" s="7">
        <v>22</v>
      </c>
      <c r="K658" s="8">
        <v>0.1</v>
      </c>
      <c r="L658" s="9">
        <v>39.6</v>
      </c>
      <c r="M658" s="9">
        <v>15</v>
      </c>
      <c r="N658" s="9">
        <v>24.6</v>
      </c>
    </row>
    <row r="659" spans="1:14">
      <c r="A659" t="s">
        <v>1100</v>
      </c>
      <c r="B659" s="6">
        <v>45953</v>
      </c>
      <c r="C659" t="s">
        <v>589</v>
      </c>
      <c r="D659" t="s">
        <v>79</v>
      </c>
      <c r="E659" t="s">
        <v>58</v>
      </c>
      <c r="F659" t="s">
        <v>59</v>
      </c>
      <c r="G659" t="s">
        <v>91</v>
      </c>
      <c r="H659" t="s">
        <v>57</v>
      </c>
      <c r="I659">
        <v>1</v>
      </c>
      <c r="J659" s="7">
        <v>35</v>
      </c>
      <c r="K659" s="8">
        <v>0</v>
      </c>
      <c r="L659" s="9">
        <v>35</v>
      </c>
      <c r="M659" s="9">
        <v>14</v>
      </c>
      <c r="N659" s="9">
        <v>21</v>
      </c>
    </row>
    <row r="660" spans="1:14">
      <c r="A660" t="s">
        <v>1101</v>
      </c>
      <c r="B660" s="6">
        <v>45719</v>
      </c>
      <c r="C660" t="s">
        <v>570</v>
      </c>
      <c r="D660" t="s">
        <v>79</v>
      </c>
      <c r="E660" t="s">
        <v>49</v>
      </c>
      <c r="F660" t="s">
        <v>56</v>
      </c>
      <c r="G660" t="s">
        <v>88</v>
      </c>
      <c r="H660" t="s">
        <v>51</v>
      </c>
      <c r="I660">
        <v>2</v>
      </c>
      <c r="J660" s="7">
        <v>42</v>
      </c>
      <c r="K660" s="8">
        <v>0.15</v>
      </c>
      <c r="L660" s="9">
        <v>71.399999999999991</v>
      </c>
      <c r="M660" s="9">
        <v>38</v>
      </c>
      <c r="N660" s="9">
        <v>33.399999999999991</v>
      </c>
    </row>
    <row r="661" spans="1:14">
      <c r="A661" t="s">
        <v>1102</v>
      </c>
      <c r="B661" s="6">
        <v>45926</v>
      </c>
      <c r="C661" t="s">
        <v>344</v>
      </c>
      <c r="D661" t="s">
        <v>78</v>
      </c>
      <c r="E661" t="s">
        <v>52</v>
      </c>
      <c r="F661" t="s">
        <v>53</v>
      </c>
      <c r="G661" t="s">
        <v>85</v>
      </c>
      <c r="H661" t="s">
        <v>48</v>
      </c>
      <c r="I661">
        <v>1</v>
      </c>
      <c r="J661" s="7">
        <v>59.99</v>
      </c>
      <c r="K661" s="8">
        <v>0.05</v>
      </c>
      <c r="L661" s="9">
        <v>56.990499999999997</v>
      </c>
      <c r="M661" s="9">
        <v>28</v>
      </c>
      <c r="N661" s="9">
        <v>28.990499999999997</v>
      </c>
    </row>
    <row r="662" spans="1:14">
      <c r="A662" t="s">
        <v>1103</v>
      </c>
      <c r="B662" s="6">
        <v>45683</v>
      </c>
      <c r="C662" t="s">
        <v>371</v>
      </c>
      <c r="D662" t="s">
        <v>78</v>
      </c>
      <c r="E662" t="s">
        <v>52</v>
      </c>
      <c r="F662" t="s">
        <v>59</v>
      </c>
      <c r="G662" t="s">
        <v>91</v>
      </c>
      <c r="H662" t="s">
        <v>57</v>
      </c>
      <c r="I662">
        <v>4</v>
      </c>
      <c r="J662" s="7">
        <v>35</v>
      </c>
      <c r="K662" s="8">
        <v>0.1</v>
      </c>
      <c r="L662" s="9">
        <v>126</v>
      </c>
      <c r="M662" s="9">
        <v>56</v>
      </c>
      <c r="N662" s="9">
        <v>70</v>
      </c>
    </row>
    <row r="663" spans="1:14">
      <c r="A663" t="s">
        <v>1104</v>
      </c>
      <c r="B663" s="6">
        <v>45806</v>
      </c>
      <c r="C663" t="s">
        <v>305</v>
      </c>
      <c r="D663" t="s">
        <v>78</v>
      </c>
      <c r="E663" t="s">
        <v>49</v>
      </c>
      <c r="F663" t="s">
        <v>60</v>
      </c>
      <c r="G663" t="s">
        <v>91</v>
      </c>
      <c r="H663" t="s">
        <v>57</v>
      </c>
      <c r="I663">
        <v>1</v>
      </c>
      <c r="J663" s="7">
        <v>35</v>
      </c>
      <c r="K663" s="8">
        <v>0</v>
      </c>
      <c r="L663" s="9">
        <v>35</v>
      </c>
      <c r="M663" s="9">
        <v>14</v>
      </c>
      <c r="N663" s="9">
        <v>21</v>
      </c>
    </row>
    <row r="664" spans="1:14">
      <c r="A664" t="s">
        <v>1105</v>
      </c>
      <c r="B664" s="6">
        <v>45862</v>
      </c>
      <c r="C664" t="s">
        <v>158</v>
      </c>
      <c r="D664" t="s">
        <v>79</v>
      </c>
      <c r="E664" t="s">
        <v>52</v>
      </c>
      <c r="F664" t="s">
        <v>59</v>
      </c>
      <c r="G664" t="s">
        <v>89</v>
      </c>
      <c r="H664" t="s">
        <v>51</v>
      </c>
      <c r="I664">
        <v>1</v>
      </c>
      <c r="J664" s="7">
        <v>38</v>
      </c>
      <c r="K664" s="8">
        <v>0.05</v>
      </c>
      <c r="L664" s="9">
        <v>36.1</v>
      </c>
      <c r="M664" s="9">
        <v>17</v>
      </c>
      <c r="N664" s="9">
        <v>19.100000000000001</v>
      </c>
    </row>
    <row r="665" spans="1:14">
      <c r="A665" t="s">
        <v>1106</v>
      </c>
      <c r="B665" s="6">
        <v>45944</v>
      </c>
      <c r="C665" t="s">
        <v>550</v>
      </c>
      <c r="D665" t="s">
        <v>78</v>
      </c>
      <c r="E665" t="s">
        <v>52</v>
      </c>
      <c r="F665" t="s">
        <v>53</v>
      </c>
      <c r="G665" t="s">
        <v>88</v>
      </c>
      <c r="H665" t="s">
        <v>51</v>
      </c>
      <c r="I665">
        <v>1</v>
      </c>
      <c r="J665" s="7">
        <v>42</v>
      </c>
      <c r="K665" s="8">
        <v>0.05</v>
      </c>
      <c r="L665" s="9">
        <v>39.9</v>
      </c>
      <c r="M665" s="9">
        <v>19</v>
      </c>
      <c r="N665" s="9">
        <v>20.9</v>
      </c>
    </row>
    <row r="666" spans="1:14">
      <c r="A666" t="s">
        <v>1107</v>
      </c>
      <c r="B666" s="6">
        <v>45694</v>
      </c>
      <c r="C666" t="s">
        <v>295</v>
      </c>
      <c r="D666" t="s">
        <v>79</v>
      </c>
      <c r="E666" t="s">
        <v>49</v>
      </c>
      <c r="F666" t="s">
        <v>59</v>
      </c>
      <c r="G666" t="s">
        <v>89</v>
      </c>
      <c r="H666" t="s">
        <v>51</v>
      </c>
      <c r="I666">
        <v>2</v>
      </c>
      <c r="J666" s="7">
        <v>38</v>
      </c>
      <c r="K666" s="8">
        <v>0</v>
      </c>
      <c r="L666" s="9">
        <v>76</v>
      </c>
      <c r="M666" s="9">
        <v>34</v>
      </c>
      <c r="N666" s="9">
        <v>42</v>
      </c>
    </row>
    <row r="667" spans="1:14">
      <c r="A667" t="s">
        <v>1108</v>
      </c>
      <c r="B667" s="6">
        <v>45874</v>
      </c>
      <c r="C667" t="s">
        <v>761</v>
      </c>
      <c r="D667" t="s">
        <v>79</v>
      </c>
      <c r="E667" t="s">
        <v>55</v>
      </c>
      <c r="F667" t="s">
        <v>53</v>
      </c>
      <c r="G667" t="s">
        <v>90</v>
      </c>
      <c r="H667" t="s">
        <v>54</v>
      </c>
      <c r="I667">
        <v>1</v>
      </c>
      <c r="J667" s="7">
        <v>29</v>
      </c>
      <c r="K667" s="8">
        <v>0</v>
      </c>
      <c r="L667" s="9">
        <v>29</v>
      </c>
      <c r="M667" s="9">
        <v>11</v>
      </c>
      <c r="N667" s="9">
        <v>18</v>
      </c>
    </row>
    <row r="668" spans="1:14">
      <c r="A668" t="s">
        <v>1109</v>
      </c>
      <c r="B668" s="6">
        <v>45837</v>
      </c>
      <c r="C668" t="s">
        <v>791</v>
      </c>
      <c r="D668" t="s">
        <v>79</v>
      </c>
      <c r="E668" t="s">
        <v>49</v>
      </c>
      <c r="F668" t="s">
        <v>53</v>
      </c>
      <c r="G668" t="s">
        <v>94</v>
      </c>
      <c r="H668" t="s">
        <v>51</v>
      </c>
      <c r="I668">
        <v>2</v>
      </c>
      <c r="J668" s="7">
        <v>18</v>
      </c>
      <c r="K668" s="8">
        <v>0.1</v>
      </c>
      <c r="L668" s="9">
        <v>32.4</v>
      </c>
      <c r="M668" s="9">
        <v>11</v>
      </c>
      <c r="N668" s="9">
        <v>21.4</v>
      </c>
    </row>
    <row r="669" spans="1:14">
      <c r="A669" t="s">
        <v>1110</v>
      </c>
      <c r="B669" s="6">
        <v>45760</v>
      </c>
      <c r="C669" t="s">
        <v>461</v>
      </c>
      <c r="D669" t="s">
        <v>78</v>
      </c>
      <c r="E669" t="s">
        <v>49</v>
      </c>
      <c r="F669" t="s">
        <v>53</v>
      </c>
      <c r="G669" t="s">
        <v>90</v>
      </c>
      <c r="H669" t="s">
        <v>54</v>
      </c>
      <c r="I669">
        <v>1</v>
      </c>
      <c r="J669" s="7">
        <v>29</v>
      </c>
      <c r="K669" s="8">
        <v>0.1</v>
      </c>
      <c r="L669" s="9">
        <v>26.1</v>
      </c>
      <c r="M669" s="9">
        <v>11</v>
      </c>
      <c r="N669" s="9">
        <v>15.100000000000001</v>
      </c>
    </row>
    <row r="670" spans="1:14">
      <c r="A670" t="s">
        <v>1111</v>
      </c>
      <c r="B670" s="6">
        <v>45975</v>
      </c>
      <c r="C670" t="s">
        <v>1112</v>
      </c>
      <c r="D670" t="s">
        <v>78</v>
      </c>
      <c r="E670" t="s">
        <v>49</v>
      </c>
      <c r="F670" t="s">
        <v>56</v>
      </c>
      <c r="G670" t="s">
        <v>87</v>
      </c>
      <c r="H670" t="s">
        <v>48</v>
      </c>
      <c r="I670">
        <v>3</v>
      </c>
      <c r="J670" s="7">
        <v>89.99</v>
      </c>
      <c r="K670" s="8">
        <v>0.1</v>
      </c>
      <c r="L670" s="9">
        <v>242.97299999999998</v>
      </c>
      <c r="M670" s="9">
        <v>138</v>
      </c>
      <c r="N670" s="9">
        <v>104.97299999999998</v>
      </c>
    </row>
    <row r="671" spans="1:14">
      <c r="A671" t="s">
        <v>1113</v>
      </c>
      <c r="B671" s="6">
        <v>45888</v>
      </c>
      <c r="C671" t="s">
        <v>394</v>
      </c>
      <c r="D671" t="s">
        <v>78</v>
      </c>
      <c r="E671" t="s">
        <v>55</v>
      </c>
      <c r="F671" t="s">
        <v>60</v>
      </c>
      <c r="G671" t="s">
        <v>92</v>
      </c>
      <c r="H671" t="s">
        <v>57</v>
      </c>
      <c r="I671">
        <v>1</v>
      </c>
      <c r="J671" s="7">
        <v>22</v>
      </c>
      <c r="K671" s="8">
        <v>0</v>
      </c>
      <c r="L671" s="9">
        <v>22</v>
      </c>
      <c r="M671" s="9">
        <v>7.5</v>
      </c>
      <c r="N671" s="9">
        <v>14.5</v>
      </c>
    </row>
    <row r="672" spans="1:14">
      <c r="A672" t="s">
        <v>1114</v>
      </c>
      <c r="B672" s="6">
        <v>45905</v>
      </c>
      <c r="C672" t="s">
        <v>380</v>
      </c>
      <c r="D672" t="s">
        <v>79</v>
      </c>
      <c r="E672" t="s">
        <v>58</v>
      </c>
      <c r="F672" t="s">
        <v>60</v>
      </c>
      <c r="G672" t="s">
        <v>94</v>
      </c>
      <c r="H672" t="s">
        <v>51</v>
      </c>
      <c r="I672">
        <v>2</v>
      </c>
      <c r="J672" s="7">
        <v>18</v>
      </c>
      <c r="K672" s="8">
        <v>0</v>
      </c>
      <c r="L672" s="9">
        <v>36</v>
      </c>
      <c r="M672" s="9">
        <v>11</v>
      </c>
      <c r="N672" s="9">
        <v>25</v>
      </c>
    </row>
    <row r="673" spans="1:14">
      <c r="A673" t="s">
        <v>1115</v>
      </c>
      <c r="B673" s="6">
        <v>45997</v>
      </c>
      <c r="C673" t="s">
        <v>198</v>
      </c>
      <c r="D673" t="s">
        <v>78</v>
      </c>
      <c r="E673" t="s">
        <v>55</v>
      </c>
      <c r="F673" t="s">
        <v>50</v>
      </c>
      <c r="G673" t="s">
        <v>93</v>
      </c>
      <c r="H673" t="s">
        <v>54</v>
      </c>
      <c r="I673">
        <v>1</v>
      </c>
      <c r="J673" s="7">
        <v>68</v>
      </c>
      <c r="K673" s="8">
        <v>0</v>
      </c>
      <c r="L673" s="9">
        <v>68</v>
      </c>
      <c r="M673" s="9">
        <v>31</v>
      </c>
      <c r="N673" s="9">
        <v>37</v>
      </c>
    </row>
    <row r="674" spans="1:14">
      <c r="A674" t="s">
        <v>1116</v>
      </c>
      <c r="B674" s="6">
        <v>45896</v>
      </c>
      <c r="C674" t="s">
        <v>150</v>
      </c>
      <c r="D674" t="s">
        <v>79</v>
      </c>
      <c r="E674" t="s">
        <v>49</v>
      </c>
      <c r="F674" t="s">
        <v>50</v>
      </c>
      <c r="G674" t="s">
        <v>85</v>
      </c>
      <c r="H674" t="s">
        <v>48</v>
      </c>
      <c r="I674">
        <v>1</v>
      </c>
      <c r="J674" s="7">
        <v>59.99</v>
      </c>
      <c r="K674" s="8">
        <v>0.1</v>
      </c>
      <c r="L674" s="9">
        <v>53.991</v>
      </c>
      <c r="M674" s="9">
        <v>28</v>
      </c>
      <c r="N674" s="9">
        <v>25.991</v>
      </c>
    </row>
    <row r="675" spans="1:14">
      <c r="A675" t="s">
        <v>1117</v>
      </c>
      <c r="B675" s="6">
        <v>45807</v>
      </c>
      <c r="C675" t="s">
        <v>152</v>
      </c>
      <c r="D675" t="s">
        <v>79</v>
      </c>
      <c r="E675" t="s">
        <v>55</v>
      </c>
      <c r="F675" t="s">
        <v>59</v>
      </c>
      <c r="G675" t="s">
        <v>91</v>
      </c>
      <c r="H675" t="s">
        <v>57</v>
      </c>
      <c r="I675">
        <v>1</v>
      </c>
      <c r="J675" s="7">
        <v>35</v>
      </c>
      <c r="K675" s="8">
        <v>0</v>
      </c>
      <c r="L675" s="9">
        <v>35</v>
      </c>
      <c r="M675" s="9">
        <v>14</v>
      </c>
      <c r="N675" s="9">
        <v>21</v>
      </c>
    </row>
    <row r="676" spans="1:14">
      <c r="A676" t="s">
        <v>1118</v>
      </c>
      <c r="B676" s="6">
        <v>45963</v>
      </c>
      <c r="C676" t="s">
        <v>258</v>
      </c>
      <c r="D676" t="s">
        <v>79</v>
      </c>
      <c r="E676" t="s">
        <v>49</v>
      </c>
      <c r="F676" t="s">
        <v>50</v>
      </c>
      <c r="G676" t="s">
        <v>93</v>
      </c>
      <c r="H676" t="s">
        <v>54</v>
      </c>
      <c r="I676">
        <v>1</v>
      </c>
      <c r="J676" s="7">
        <v>68</v>
      </c>
      <c r="K676" s="8">
        <v>0</v>
      </c>
      <c r="L676" s="9">
        <v>68</v>
      </c>
      <c r="M676" s="9">
        <v>31</v>
      </c>
      <c r="N676" s="9">
        <v>37</v>
      </c>
    </row>
    <row r="677" spans="1:14">
      <c r="A677" t="s">
        <v>1119</v>
      </c>
      <c r="B677" s="6">
        <v>45784</v>
      </c>
      <c r="C677" t="s">
        <v>380</v>
      </c>
      <c r="D677" t="s">
        <v>79</v>
      </c>
      <c r="E677" t="s">
        <v>55</v>
      </c>
      <c r="F677" t="s">
        <v>56</v>
      </c>
      <c r="G677" t="s">
        <v>93</v>
      </c>
      <c r="H677" t="s">
        <v>54</v>
      </c>
      <c r="I677">
        <v>1</v>
      </c>
      <c r="J677" s="7">
        <v>68</v>
      </c>
      <c r="K677" s="8">
        <v>0.05</v>
      </c>
      <c r="L677" s="9">
        <v>64.599999999999994</v>
      </c>
      <c r="M677" s="9">
        <v>31</v>
      </c>
      <c r="N677" s="9">
        <v>33.599999999999994</v>
      </c>
    </row>
    <row r="678" spans="1:14">
      <c r="A678" t="s">
        <v>1120</v>
      </c>
      <c r="B678" s="6">
        <v>45839</v>
      </c>
      <c r="C678" t="s">
        <v>241</v>
      </c>
      <c r="D678" t="s">
        <v>78</v>
      </c>
      <c r="E678" t="s">
        <v>55</v>
      </c>
      <c r="F678" t="s">
        <v>59</v>
      </c>
      <c r="G678" t="s">
        <v>89</v>
      </c>
      <c r="H678" t="s">
        <v>51</v>
      </c>
      <c r="I678">
        <v>1</v>
      </c>
      <c r="J678" s="7">
        <v>38</v>
      </c>
      <c r="K678" s="8">
        <v>0.2</v>
      </c>
      <c r="L678" s="9">
        <v>30.400000000000002</v>
      </c>
      <c r="M678" s="9">
        <v>17</v>
      </c>
      <c r="N678" s="9">
        <v>13.400000000000002</v>
      </c>
    </row>
    <row r="679" spans="1:14">
      <c r="A679" t="s">
        <v>1121</v>
      </c>
      <c r="B679" s="6">
        <v>45673</v>
      </c>
      <c r="C679" t="s">
        <v>553</v>
      </c>
      <c r="D679" t="s">
        <v>78</v>
      </c>
      <c r="E679" t="s">
        <v>52</v>
      </c>
      <c r="F679" t="s">
        <v>50</v>
      </c>
      <c r="G679" t="s">
        <v>93</v>
      </c>
      <c r="H679" t="s">
        <v>54</v>
      </c>
      <c r="I679">
        <v>3</v>
      </c>
      <c r="J679" s="7">
        <v>68</v>
      </c>
      <c r="K679" s="8">
        <v>0</v>
      </c>
      <c r="L679" s="9">
        <v>204</v>
      </c>
      <c r="M679" s="9">
        <v>93</v>
      </c>
      <c r="N679" s="9">
        <v>111</v>
      </c>
    </row>
    <row r="680" spans="1:14">
      <c r="A680" t="s">
        <v>1122</v>
      </c>
      <c r="B680" s="6">
        <v>45853</v>
      </c>
      <c r="C680" t="s">
        <v>1027</v>
      </c>
      <c r="D680" t="s">
        <v>79</v>
      </c>
      <c r="E680" t="s">
        <v>58</v>
      </c>
      <c r="F680" t="s">
        <v>53</v>
      </c>
      <c r="G680" t="s">
        <v>93</v>
      </c>
      <c r="H680" t="s">
        <v>54</v>
      </c>
      <c r="I680">
        <v>4</v>
      </c>
      <c r="J680" s="7">
        <v>68</v>
      </c>
      <c r="K680" s="8">
        <v>0.05</v>
      </c>
      <c r="L680" s="9">
        <v>258.39999999999998</v>
      </c>
      <c r="M680" s="9">
        <v>124</v>
      </c>
      <c r="N680" s="9">
        <v>134.39999999999998</v>
      </c>
    </row>
    <row r="681" spans="1:14">
      <c r="A681" t="s">
        <v>1123</v>
      </c>
      <c r="B681" s="6">
        <v>45951</v>
      </c>
      <c r="C681" t="s">
        <v>612</v>
      </c>
      <c r="D681" t="s">
        <v>79</v>
      </c>
      <c r="E681" t="s">
        <v>52</v>
      </c>
      <c r="F681" t="s">
        <v>53</v>
      </c>
      <c r="G681" t="s">
        <v>87</v>
      </c>
      <c r="H681" t="s">
        <v>48</v>
      </c>
      <c r="I681">
        <v>1</v>
      </c>
      <c r="J681" s="7">
        <v>89.99</v>
      </c>
      <c r="K681" s="8">
        <v>0</v>
      </c>
      <c r="L681" s="9">
        <v>89.99</v>
      </c>
      <c r="M681" s="9">
        <v>46</v>
      </c>
      <c r="N681" s="9">
        <v>43.989999999999995</v>
      </c>
    </row>
    <row r="682" spans="1:14">
      <c r="A682" t="s">
        <v>1124</v>
      </c>
      <c r="B682" s="6">
        <v>45992</v>
      </c>
      <c r="C682" t="s">
        <v>351</v>
      </c>
      <c r="D682" t="s">
        <v>78</v>
      </c>
      <c r="E682" t="s">
        <v>55</v>
      </c>
      <c r="F682" t="s">
        <v>60</v>
      </c>
      <c r="G682" t="s">
        <v>87</v>
      </c>
      <c r="H682" t="s">
        <v>48</v>
      </c>
      <c r="I682">
        <v>1</v>
      </c>
      <c r="J682" s="7">
        <v>89.99</v>
      </c>
      <c r="K682" s="8">
        <v>0.1</v>
      </c>
      <c r="L682" s="9">
        <v>80.991</v>
      </c>
      <c r="M682" s="9">
        <v>46</v>
      </c>
      <c r="N682" s="9">
        <v>34.991</v>
      </c>
    </row>
    <row r="683" spans="1:14">
      <c r="A683" t="s">
        <v>1125</v>
      </c>
      <c r="B683" s="6">
        <v>45727</v>
      </c>
      <c r="C683" t="s">
        <v>1126</v>
      </c>
      <c r="D683" t="s">
        <v>78</v>
      </c>
      <c r="E683" t="s">
        <v>52</v>
      </c>
      <c r="F683" t="s">
        <v>56</v>
      </c>
      <c r="G683" t="s">
        <v>91</v>
      </c>
      <c r="H683" t="s">
        <v>57</v>
      </c>
      <c r="I683">
        <v>4</v>
      </c>
      <c r="J683" s="7">
        <v>35</v>
      </c>
      <c r="K683" s="8">
        <v>0.2</v>
      </c>
      <c r="L683" s="9">
        <v>112</v>
      </c>
      <c r="M683" s="9">
        <v>56</v>
      </c>
      <c r="N683" s="9">
        <v>56</v>
      </c>
    </row>
    <row r="684" spans="1:14">
      <c r="A684" t="s">
        <v>1127</v>
      </c>
      <c r="B684" s="6">
        <v>45692</v>
      </c>
      <c r="C684" t="s">
        <v>443</v>
      </c>
      <c r="D684" t="s">
        <v>78</v>
      </c>
      <c r="E684" t="s">
        <v>49</v>
      </c>
      <c r="F684" t="s">
        <v>56</v>
      </c>
      <c r="G684" t="s">
        <v>93</v>
      </c>
      <c r="H684" t="s">
        <v>54</v>
      </c>
      <c r="I684">
        <v>1</v>
      </c>
      <c r="J684" s="7">
        <v>68</v>
      </c>
      <c r="K684" s="8">
        <v>0.1</v>
      </c>
      <c r="L684" s="9">
        <v>61.2</v>
      </c>
      <c r="M684" s="9">
        <v>31</v>
      </c>
      <c r="N684" s="9">
        <v>30.200000000000003</v>
      </c>
    </row>
    <row r="685" spans="1:14">
      <c r="A685" t="s">
        <v>1128</v>
      </c>
      <c r="B685" s="6">
        <v>45869</v>
      </c>
      <c r="C685" t="s">
        <v>351</v>
      </c>
      <c r="D685" t="s">
        <v>79</v>
      </c>
      <c r="E685" t="s">
        <v>52</v>
      </c>
      <c r="F685" t="s">
        <v>53</v>
      </c>
      <c r="G685" t="s">
        <v>91</v>
      </c>
      <c r="H685" t="s">
        <v>57</v>
      </c>
      <c r="I685">
        <v>1</v>
      </c>
      <c r="J685" s="7">
        <v>35</v>
      </c>
      <c r="K685" s="8">
        <v>0.1</v>
      </c>
      <c r="L685" s="9">
        <v>31.5</v>
      </c>
      <c r="M685" s="9">
        <v>14</v>
      </c>
      <c r="N685" s="9">
        <v>17.5</v>
      </c>
    </row>
    <row r="686" spans="1:14">
      <c r="A686" t="s">
        <v>1129</v>
      </c>
      <c r="B686" s="6">
        <v>45712</v>
      </c>
      <c r="C686" t="s">
        <v>228</v>
      </c>
      <c r="D686" t="s">
        <v>79</v>
      </c>
      <c r="E686" t="s">
        <v>52</v>
      </c>
      <c r="F686" t="s">
        <v>60</v>
      </c>
      <c r="G686" t="s">
        <v>87</v>
      </c>
      <c r="H686" t="s">
        <v>48</v>
      </c>
      <c r="I686">
        <v>1</v>
      </c>
      <c r="J686" s="7">
        <v>89.99</v>
      </c>
      <c r="K686" s="8">
        <v>0.1</v>
      </c>
      <c r="L686" s="9">
        <v>80.991</v>
      </c>
      <c r="M686" s="9">
        <v>46</v>
      </c>
      <c r="N686" s="9">
        <v>34.991</v>
      </c>
    </row>
    <row r="687" spans="1:14">
      <c r="A687" t="s">
        <v>1130</v>
      </c>
      <c r="B687" s="6">
        <v>45776</v>
      </c>
      <c r="C687" t="s">
        <v>637</v>
      </c>
      <c r="D687" t="s">
        <v>79</v>
      </c>
      <c r="E687" t="s">
        <v>52</v>
      </c>
      <c r="F687" t="s">
        <v>60</v>
      </c>
      <c r="G687" t="s">
        <v>88</v>
      </c>
      <c r="H687" t="s">
        <v>51</v>
      </c>
      <c r="I687">
        <v>2</v>
      </c>
      <c r="J687" s="7">
        <v>42</v>
      </c>
      <c r="K687" s="8">
        <v>0</v>
      </c>
      <c r="L687" s="9">
        <v>84</v>
      </c>
      <c r="M687" s="9">
        <v>38</v>
      </c>
      <c r="N687" s="9">
        <v>46</v>
      </c>
    </row>
    <row r="688" spans="1:14">
      <c r="A688" t="s">
        <v>1131</v>
      </c>
      <c r="B688" s="6">
        <v>45967</v>
      </c>
      <c r="C688" t="s">
        <v>301</v>
      </c>
      <c r="D688" t="s">
        <v>79</v>
      </c>
      <c r="E688" t="s">
        <v>58</v>
      </c>
      <c r="F688" t="s">
        <v>53</v>
      </c>
      <c r="G688" t="s">
        <v>92</v>
      </c>
      <c r="H688" t="s">
        <v>57</v>
      </c>
      <c r="I688">
        <v>2</v>
      </c>
      <c r="J688" s="7">
        <v>22</v>
      </c>
      <c r="K688" s="8">
        <v>0</v>
      </c>
      <c r="L688" s="9">
        <v>44</v>
      </c>
      <c r="M688" s="9">
        <v>15</v>
      </c>
      <c r="N688" s="9">
        <v>29</v>
      </c>
    </row>
    <row r="689" spans="1:14">
      <c r="A689" t="s">
        <v>1132</v>
      </c>
      <c r="B689" s="6">
        <v>45741</v>
      </c>
      <c r="C689" t="s">
        <v>293</v>
      </c>
      <c r="D689" t="s">
        <v>79</v>
      </c>
      <c r="E689" t="s">
        <v>58</v>
      </c>
      <c r="F689" t="s">
        <v>53</v>
      </c>
      <c r="G689" t="s">
        <v>88</v>
      </c>
      <c r="H689" t="s">
        <v>51</v>
      </c>
      <c r="I689">
        <v>1</v>
      </c>
      <c r="J689" s="7">
        <v>42</v>
      </c>
      <c r="K689" s="8">
        <v>0</v>
      </c>
      <c r="L689" s="9">
        <v>42</v>
      </c>
      <c r="M689" s="9">
        <v>19</v>
      </c>
      <c r="N689" s="9">
        <v>23</v>
      </c>
    </row>
    <row r="690" spans="1:14">
      <c r="A690" t="s">
        <v>1133</v>
      </c>
      <c r="B690" s="6">
        <v>46001</v>
      </c>
      <c r="C690" t="s">
        <v>791</v>
      </c>
      <c r="D690" t="s">
        <v>79</v>
      </c>
      <c r="E690" t="s">
        <v>58</v>
      </c>
      <c r="F690" t="s">
        <v>56</v>
      </c>
      <c r="G690" t="s">
        <v>88</v>
      </c>
      <c r="H690" t="s">
        <v>51</v>
      </c>
      <c r="I690">
        <v>2</v>
      </c>
      <c r="J690" s="7">
        <v>42</v>
      </c>
      <c r="K690" s="8">
        <v>0</v>
      </c>
      <c r="L690" s="9">
        <v>84</v>
      </c>
      <c r="M690" s="9">
        <v>38</v>
      </c>
      <c r="N690" s="9">
        <v>46</v>
      </c>
    </row>
    <row r="691" spans="1:14">
      <c r="A691" t="s">
        <v>1134</v>
      </c>
      <c r="B691" s="6">
        <v>45892</v>
      </c>
      <c r="C691" t="s">
        <v>570</v>
      </c>
      <c r="D691" t="s">
        <v>79</v>
      </c>
      <c r="E691" t="s">
        <v>55</v>
      </c>
      <c r="F691" t="s">
        <v>59</v>
      </c>
      <c r="G691" t="s">
        <v>88</v>
      </c>
      <c r="H691" t="s">
        <v>51</v>
      </c>
      <c r="I691">
        <v>1</v>
      </c>
      <c r="J691" s="7">
        <v>42</v>
      </c>
      <c r="K691" s="8">
        <v>0.1</v>
      </c>
      <c r="L691" s="9">
        <v>37.800000000000004</v>
      </c>
      <c r="M691" s="9">
        <v>19</v>
      </c>
      <c r="N691" s="9">
        <v>18.800000000000004</v>
      </c>
    </row>
    <row r="692" spans="1:14">
      <c r="A692" t="s">
        <v>1135</v>
      </c>
      <c r="B692" s="6">
        <v>45971</v>
      </c>
      <c r="C692" t="s">
        <v>447</v>
      </c>
      <c r="D692" t="s">
        <v>79</v>
      </c>
      <c r="E692" t="s">
        <v>49</v>
      </c>
      <c r="F692" t="s">
        <v>59</v>
      </c>
      <c r="G692" t="s">
        <v>94</v>
      </c>
      <c r="H692" t="s">
        <v>51</v>
      </c>
      <c r="I692">
        <v>1</v>
      </c>
      <c r="J692" s="7">
        <v>18</v>
      </c>
      <c r="K692" s="8">
        <v>0.05</v>
      </c>
      <c r="L692" s="9">
        <v>17.099999999999998</v>
      </c>
      <c r="M692" s="9">
        <v>5.5</v>
      </c>
      <c r="N692" s="9">
        <v>11.599999999999998</v>
      </c>
    </row>
    <row r="693" spans="1:14">
      <c r="A693" t="s">
        <v>1136</v>
      </c>
      <c r="B693" s="6">
        <v>45891</v>
      </c>
      <c r="C693" t="s">
        <v>1137</v>
      </c>
      <c r="D693" t="s">
        <v>78</v>
      </c>
      <c r="E693" t="s">
        <v>49</v>
      </c>
      <c r="F693" t="s">
        <v>60</v>
      </c>
      <c r="G693" t="s">
        <v>85</v>
      </c>
      <c r="H693" t="s">
        <v>48</v>
      </c>
      <c r="I693">
        <v>3</v>
      </c>
      <c r="J693" s="7">
        <v>59.99</v>
      </c>
      <c r="K693" s="8">
        <v>0</v>
      </c>
      <c r="L693" s="9">
        <v>179.97</v>
      </c>
      <c r="M693" s="9">
        <v>84</v>
      </c>
      <c r="N693" s="9">
        <v>95.97</v>
      </c>
    </row>
    <row r="694" spans="1:14">
      <c r="A694" t="s">
        <v>1138</v>
      </c>
      <c r="B694" s="6">
        <v>45856</v>
      </c>
      <c r="C694" t="s">
        <v>360</v>
      </c>
      <c r="D694" t="s">
        <v>78</v>
      </c>
      <c r="E694" t="s">
        <v>58</v>
      </c>
      <c r="F694" t="s">
        <v>56</v>
      </c>
      <c r="G694" t="s">
        <v>93</v>
      </c>
      <c r="H694" t="s">
        <v>54</v>
      </c>
      <c r="I694">
        <v>2</v>
      </c>
      <c r="J694" s="7">
        <v>68</v>
      </c>
      <c r="K694" s="8">
        <v>0.2</v>
      </c>
      <c r="L694" s="9">
        <v>108.80000000000001</v>
      </c>
      <c r="M694" s="9">
        <v>62</v>
      </c>
      <c r="N694" s="9">
        <v>46.800000000000011</v>
      </c>
    </row>
    <row r="695" spans="1:14">
      <c r="A695" t="s">
        <v>1139</v>
      </c>
      <c r="B695" s="6">
        <v>45804</v>
      </c>
      <c r="C695" t="s">
        <v>973</v>
      </c>
      <c r="D695" t="s">
        <v>79</v>
      </c>
      <c r="E695" t="s">
        <v>52</v>
      </c>
      <c r="F695" t="s">
        <v>59</v>
      </c>
      <c r="G695" t="s">
        <v>92</v>
      </c>
      <c r="H695" t="s">
        <v>57</v>
      </c>
      <c r="I695">
        <v>1</v>
      </c>
      <c r="J695" s="7">
        <v>22</v>
      </c>
      <c r="K695" s="8">
        <v>0</v>
      </c>
      <c r="L695" s="9">
        <v>22</v>
      </c>
      <c r="M695" s="9">
        <v>7.5</v>
      </c>
      <c r="N695" s="9">
        <v>14.5</v>
      </c>
    </row>
    <row r="696" spans="1:14">
      <c r="A696" t="s">
        <v>1140</v>
      </c>
      <c r="B696" s="6">
        <v>45988</v>
      </c>
      <c r="C696" t="s">
        <v>1141</v>
      </c>
      <c r="D696" t="s">
        <v>78</v>
      </c>
      <c r="E696" t="s">
        <v>52</v>
      </c>
      <c r="F696" t="s">
        <v>59</v>
      </c>
      <c r="G696" t="s">
        <v>92</v>
      </c>
      <c r="H696" t="s">
        <v>57</v>
      </c>
      <c r="I696">
        <v>1</v>
      </c>
      <c r="J696" s="7">
        <v>22</v>
      </c>
      <c r="K696" s="8">
        <v>0.05</v>
      </c>
      <c r="L696" s="9">
        <v>20.9</v>
      </c>
      <c r="M696" s="9">
        <v>7.5</v>
      </c>
      <c r="N696" s="9">
        <v>13.399999999999999</v>
      </c>
    </row>
    <row r="697" spans="1:14">
      <c r="A697" t="s">
        <v>1142</v>
      </c>
      <c r="B697" s="6">
        <v>45869</v>
      </c>
      <c r="C697" t="s">
        <v>739</v>
      </c>
      <c r="D697" t="s">
        <v>79</v>
      </c>
      <c r="E697" t="s">
        <v>58</v>
      </c>
      <c r="F697" t="s">
        <v>50</v>
      </c>
      <c r="G697" t="s">
        <v>90</v>
      </c>
      <c r="H697" t="s">
        <v>54</v>
      </c>
      <c r="I697">
        <v>1</v>
      </c>
      <c r="J697" s="7">
        <v>29</v>
      </c>
      <c r="K697" s="8">
        <v>0</v>
      </c>
      <c r="L697" s="9">
        <v>29</v>
      </c>
      <c r="M697" s="9">
        <v>11</v>
      </c>
      <c r="N697" s="9">
        <v>18</v>
      </c>
    </row>
    <row r="698" spans="1:14">
      <c r="A698" t="s">
        <v>1143</v>
      </c>
      <c r="B698" s="6">
        <v>45786</v>
      </c>
      <c r="C698" t="s">
        <v>241</v>
      </c>
      <c r="D698" t="s">
        <v>79</v>
      </c>
      <c r="E698" t="s">
        <v>49</v>
      </c>
      <c r="F698" t="s">
        <v>50</v>
      </c>
      <c r="G698" t="s">
        <v>90</v>
      </c>
      <c r="H698" t="s">
        <v>54</v>
      </c>
      <c r="I698">
        <v>2</v>
      </c>
      <c r="J698" s="7">
        <v>29</v>
      </c>
      <c r="K698" s="8">
        <v>0.15</v>
      </c>
      <c r="L698" s="9">
        <v>49.3</v>
      </c>
      <c r="M698" s="9">
        <v>22</v>
      </c>
      <c r="N698" s="9">
        <v>27.299999999999997</v>
      </c>
    </row>
    <row r="699" spans="1:14">
      <c r="A699" t="s">
        <v>1144</v>
      </c>
      <c r="B699" s="6">
        <v>46019</v>
      </c>
      <c r="C699" t="s">
        <v>1145</v>
      </c>
      <c r="D699" t="s">
        <v>79</v>
      </c>
      <c r="E699" t="s">
        <v>52</v>
      </c>
      <c r="F699" t="s">
        <v>59</v>
      </c>
      <c r="G699" t="s">
        <v>92</v>
      </c>
      <c r="H699" t="s">
        <v>57</v>
      </c>
      <c r="I699">
        <v>2</v>
      </c>
      <c r="J699" s="7">
        <v>22</v>
      </c>
      <c r="K699" s="8">
        <v>0</v>
      </c>
      <c r="L699" s="9">
        <v>44</v>
      </c>
      <c r="M699" s="9">
        <v>15</v>
      </c>
      <c r="N699" s="9">
        <v>29</v>
      </c>
    </row>
    <row r="700" spans="1:14">
      <c r="A700" t="s">
        <v>1146</v>
      </c>
      <c r="B700" s="6">
        <v>45939</v>
      </c>
      <c r="C700" t="s">
        <v>983</v>
      </c>
      <c r="D700" t="s">
        <v>78</v>
      </c>
      <c r="E700" t="s">
        <v>52</v>
      </c>
      <c r="F700" t="s">
        <v>53</v>
      </c>
      <c r="G700" t="s">
        <v>91</v>
      </c>
      <c r="H700" t="s">
        <v>57</v>
      </c>
      <c r="I700">
        <v>1</v>
      </c>
      <c r="J700" s="7">
        <v>35</v>
      </c>
      <c r="K700" s="8">
        <v>0</v>
      </c>
      <c r="L700" s="9">
        <v>35</v>
      </c>
      <c r="M700" s="9">
        <v>14</v>
      </c>
      <c r="N700" s="9">
        <v>21</v>
      </c>
    </row>
    <row r="701" spans="1:14">
      <c r="A701" t="s">
        <v>1147</v>
      </c>
      <c r="B701" s="6">
        <v>45732</v>
      </c>
      <c r="C701" t="s">
        <v>421</v>
      </c>
      <c r="D701" t="s">
        <v>78</v>
      </c>
      <c r="E701" t="s">
        <v>58</v>
      </c>
      <c r="F701" t="s">
        <v>56</v>
      </c>
      <c r="G701" t="s">
        <v>87</v>
      </c>
      <c r="H701" t="s">
        <v>48</v>
      </c>
      <c r="I701">
        <v>2</v>
      </c>
      <c r="J701" s="7">
        <v>89.99</v>
      </c>
      <c r="K701" s="8">
        <v>0</v>
      </c>
      <c r="L701" s="9">
        <v>179.98</v>
      </c>
      <c r="M701" s="9">
        <v>92</v>
      </c>
      <c r="N701" s="9">
        <v>87.97999999999999</v>
      </c>
    </row>
    <row r="702" spans="1:14">
      <c r="A702" t="s">
        <v>1148</v>
      </c>
      <c r="B702" s="6">
        <v>45978</v>
      </c>
      <c r="C702" t="s">
        <v>342</v>
      </c>
      <c r="D702" t="s">
        <v>78</v>
      </c>
      <c r="E702" t="s">
        <v>55</v>
      </c>
      <c r="F702" t="s">
        <v>50</v>
      </c>
      <c r="G702" t="s">
        <v>87</v>
      </c>
      <c r="H702" t="s">
        <v>48</v>
      </c>
      <c r="I702">
        <v>1</v>
      </c>
      <c r="J702" s="7">
        <v>89.99</v>
      </c>
      <c r="K702" s="8">
        <v>0</v>
      </c>
      <c r="L702" s="9">
        <v>89.99</v>
      </c>
      <c r="M702" s="9">
        <v>46</v>
      </c>
      <c r="N702" s="9">
        <v>43.989999999999995</v>
      </c>
    </row>
    <row r="703" spans="1:14">
      <c r="A703" t="s">
        <v>1149</v>
      </c>
      <c r="B703" s="6">
        <v>45892</v>
      </c>
      <c r="C703" t="s">
        <v>530</v>
      </c>
      <c r="D703" t="s">
        <v>78</v>
      </c>
      <c r="E703" t="s">
        <v>52</v>
      </c>
      <c r="F703" t="s">
        <v>53</v>
      </c>
      <c r="G703" t="s">
        <v>92</v>
      </c>
      <c r="H703" t="s">
        <v>57</v>
      </c>
      <c r="I703">
        <v>3</v>
      </c>
      <c r="J703" s="7">
        <v>22</v>
      </c>
      <c r="K703" s="8">
        <v>0.05</v>
      </c>
      <c r="L703" s="9">
        <v>62.699999999999996</v>
      </c>
      <c r="M703" s="9">
        <v>22.5</v>
      </c>
      <c r="N703" s="9">
        <v>40.199999999999996</v>
      </c>
    </row>
    <row r="704" spans="1:14">
      <c r="A704" t="s">
        <v>1150</v>
      </c>
      <c r="B704" s="6">
        <v>45959</v>
      </c>
      <c r="C704" t="s">
        <v>323</v>
      </c>
      <c r="D704" t="s">
        <v>79</v>
      </c>
      <c r="E704" t="s">
        <v>52</v>
      </c>
      <c r="F704" t="s">
        <v>60</v>
      </c>
      <c r="G704" t="s">
        <v>92</v>
      </c>
      <c r="H704" t="s">
        <v>57</v>
      </c>
      <c r="I704">
        <v>1</v>
      </c>
      <c r="J704" s="7">
        <v>22</v>
      </c>
      <c r="K704" s="8">
        <v>0</v>
      </c>
      <c r="L704" s="9">
        <v>22</v>
      </c>
      <c r="M704" s="9">
        <v>7.5</v>
      </c>
      <c r="N704" s="9">
        <v>14.5</v>
      </c>
    </row>
    <row r="705" spans="1:14">
      <c r="A705" t="s">
        <v>1151</v>
      </c>
      <c r="B705" s="6">
        <v>45800</v>
      </c>
      <c r="C705" t="s">
        <v>211</v>
      </c>
      <c r="D705" t="s">
        <v>78</v>
      </c>
      <c r="E705" t="s">
        <v>52</v>
      </c>
      <c r="F705" t="s">
        <v>50</v>
      </c>
      <c r="G705" t="s">
        <v>94</v>
      </c>
      <c r="H705" t="s">
        <v>51</v>
      </c>
      <c r="I705">
        <v>2</v>
      </c>
      <c r="J705" s="7">
        <v>18</v>
      </c>
      <c r="K705" s="8">
        <v>0.1</v>
      </c>
      <c r="L705" s="9">
        <v>32.4</v>
      </c>
      <c r="M705" s="9">
        <v>11</v>
      </c>
      <c r="N705" s="9">
        <v>21.4</v>
      </c>
    </row>
    <row r="706" spans="1:14">
      <c r="A706" t="s">
        <v>1152</v>
      </c>
      <c r="B706" s="6">
        <v>45992</v>
      </c>
      <c r="C706" t="s">
        <v>840</v>
      </c>
      <c r="D706" t="s">
        <v>79</v>
      </c>
      <c r="E706" t="s">
        <v>55</v>
      </c>
      <c r="F706" t="s">
        <v>56</v>
      </c>
      <c r="G706" t="s">
        <v>90</v>
      </c>
      <c r="H706" t="s">
        <v>54</v>
      </c>
      <c r="I706">
        <v>1</v>
      </c>
      <c r="J706" s="7">
        <v>29</v>
      </c>
      <c r="K706" s="8">
        <v>0.15</v>
      </c>
      <c r="L706" s="9">
        <v>24.65</v>
      </c>
      <c r="M706" s="9">
        <v>11</v>
      </c>
      <c r="N706" s="9">
        <v>13.649999999999999</v>
      </c>
    </row>
    <row r="707" spans="1:14">
      <c r="A707" t="s">
        <v>1153</v>
      </c>
      <c r="B707" s="6">
        <v>45702</v>
      </c>
      <c r="C707" t="s">
        <v>436</v>
      </c>
      <c r="D707" t="s">
        <v>78</v>
      </c>
      <c r="E707" t="s">
        <v>52</v>
      </c>
      <c r="F707" t="s">
        <v>59</v>
      </c>
      <c r="G707" t="s">
        <v>85</v>
      </c>
      <c r="H707" t="s">
        <v>48</v>
      </c>
      <c r="I707">
        <v>1</v>
      </c>
      <c r="J707" s="7">
        <v>59.99</v>
      </c>
      <c r="K707" s="8">
        <v>0.2</v>
      </c>
      <c r="L707" s="9">
        <v>47.992000000000004</v>
      </c>
      <c r="M707" s="9">
        <v>28</v>
      </c>
      <c r="N707" s="9">
        <v>19.992000000000004</v>
      </c>
    </row>
    <row r="708" spans="1:14">
      <c r="A708" t="s">
        <v>1154</v>
      </c>
      <c r="B708" s="6">
        <v>45954</v>
      </c>
      <c r="C708" t="s">
        <v>1155</v>
      </c>
      <c r="D708" t="s">
        <v>78</v>
      </c>
      <c r="E708" t="s">
        <v>58</v>
      </c>
      <c r="F708" t="s">
        <v>50</v>
      </c>
      <c r="G708" t="s">
        <v>90</v>
      </c>
      <c r="H708" t="s">
        <v>54</v>
      </c>
      <c r="I708">
        <v>3</v>
      </c>
      <c r="J708" s="7">
        <v>29</v>
      </c>
      <c r="K708" s="8">
        <v>0</v>
      </c>
      <c r="L708" s="9">
        <v>87</v>
      </c>
      <c r="M708" s="9">
        <v>33</v>
      </c>
      <c r="N708" s="9">
        <v>54</v>
      </c>
    </row>
    <row r="709" spans="1:14">
      <c r="A709" t="s">
        <v>1156</v>
      </c>
      <c r="B709" s="6">
        <v>45876</v>
      </c>
      <c r="C709" t="s">
        <v>458</v>
      </c>
      <c r="D709" t="s">
        <v>78</v>
      </c>
      <c r="E709" t="s">
        <v>55</v>
      </c>
      <c r="F709" t="s">
        <v>60</v>
      </c>
      <c r="G709" t="s">
        <v>93</v>
      </c>
      <c r="H709" t="s">
        <v>54</v>
      </c>
      <c r="I709">
        <v>1</v>
      </c>
      <c r="J709" s="7">
        <v>68</v>
      </c>
      <c r="K709" s="8">
        <v>0</v>
      </c>
      <c r="L709" s="9">
        <v>68</v>
      </c>
      <c r="M709" s="9">
        <v>31</v>
      </c>
      <c r="N709" s="9">
        <v>37</v>
      </c>
    </row>
    <row r="710" spans="1:14">
      <c r="A710" t="s">
        <v>1157</v>
      </c>
      <c r="B710" s="6">
        <v>45869</v>
      </c>
      <c r="C710" t="s">
        <v>1158</v>
      </c>
      <c r="D710" t="s">
        <v>78</v>
      </c>
      <c r="E710" t="s">
        <v>49</v>
      </c>
      <c r="F710" t="s">
        <v>59</v>
      </c>
      <c r="G710" t="s">
        <v>93</v>
      </c>
      <c r="H710" t="s">
        <v>54</v>
      </c>
      <c r="I710">
        <v>1</v>
      </c>
      <c r="J710" s="7">
        <v>68</v>
      </c>
      <c r="K710" s="8">
        <v>0</v>
      </c>
      <c r="L710" s="9">
        <v>68</v>
      </c>
      <c r="M710" s="9">
        <v>31</v>
      </c>
      <c r="N710" s="9">
        <v>37</v>
      </c>
    </row>
    <row r="711" spans="1:14">
      <c r="A711" t="s">
        <v>1159</v>
      </c>
      <c r="B711" s="6">
        <v>46010</v>
      </c>
      <c r="C711" t="s">
        <v>1160</v>
      </c>
      <c r="D711" t="s">
        <v>78</v>
      </c>
      <c r="E711" t="s">
        <v>55</v>
      </c>
      <c r="F711" t="s">
        <v>56</v>
      </c>
      <c r="G711" t="s">
        <v>94</v>
      </c>
      <c r="H711" t="s">
        <v>51</v>
      </c>
      <c r="I711">
        <v>3</v>
      </c>
      <c r="J711" s="7">
        <v>18</v>
      </c>
      <c r="K711" s="8">
        <v>0.2</v>
      </c>
      <c r="L711" s="9">
        <v>43.2</v>
      </c>
      <c r="M711" s="9">
        <v>16.5</v>
      </c>
      <c r="N711" s="9">
        <v>26.700000000000003</v>
      </c>
    </row>
    <row r="712" spans="1:14">
      <c r="A712" t="s">
        <v>1161</v>
      </c>
      <c r="B712" s="6">
        <v>45927</v>
      </c>
      <c r="C712" t="s">
        <v>608</v>
      </c>
      <c r="D712" t="s">
        <v>78</v>
      </c>
      <c r="E712" t="s">
        <v>58</v>
      </c>
      <c r="F712" t="s">
        <v>60</v>
      </c>
      <c r="G712" t="s">
        <v>94</v>
      </c>
      <c r="H712" t="s">
        <v>51</v>
      </c>
      <c r="I712">
        <v>4</v>
      </c>
      <c r="J712" s="7">
        <v>18</v>
      </c>
      <c r="K712" s="8">
        <v>0</v>
      </c>
      <c r="L712" s="9">
        <v>72</v>
      </c>
      <c r="M712" s="9">
        <v>22</v>
      </c>
      <c r="N712" s="9">
        <v>50</v>
      </c>
    </row>
    <row r="713" spans="1:14">
      <c r="A713" t="s">
        <v>1162</v>
      </c>
      <c r="B713" s="6">
        <v>45981</v>
      </c>
      <c r="C713" t="s">
        <v>443</v>
      </c>
      <c r="D713" t="s">
        <v>79</v>
      </c>
      <c r="E713" t="s">
        <v>52</v>
      </c>
      <c r="F713" t="s">
        <v>50</v>
      </c>
      <c r="G713" t="s">
        <v>92</v>
      </c>
      <c r="H713" t="s">
        <v>57</v>
      </c>
      <c r="I713">
        <v>1</v>
      </c>
      <c r="J713" s="7">
        <v>22</v>
      </c>
      <c r="K713" s="8">
        <v>0</v>
      </c>
      <c r="L713" s="9">
        <v>22</v>
      </c>
      <c r="M713" s="9">
        <v>7.5</v>
      </c>
      <c r="N713" s="9">
        <v>14.5</v>
      </c>
    </row>
    <row r="714" spans="1:14">
      <c r="A714" t="s">
        <v>1163</v>
      </c>
      <c r="B714" s="6">
        <v>45718</v>
      </c>
      <c r="C714" t="s">
        <v>321</v>
      </c>
      <c r="D714" t="s">
        <v>79</v>
      </c>
      <c r="E714" t="s">
        <v>58</v>
      </c>
      <c r="F714" t="s">
        <v>59</v>
      </c>
      <c r="G714" t="s">
        <v>85</v>
      </c>
      <c r="H714" t="s">
        <v>48</v>
      </c>
      <c r="I714">
        <v>1</v>
      </c>
      <c r="J714" s="7">
        <v>59.99</v>
      </c>
      <c r="K714" s="8">
        <v>0.1</v>
      </c>
      <c r="L714" s="9">
        <v>53.991</v>
      </c>
      <c r="M714" s="9">
        <v>28</v>
      </c>
      <c r="N714" s="9">
        <v>25.991</v>
      </c>
    </row>
    <row r="715" spans="1:14">
      <c r="A715" t="s">
        <v>1164</v>
      </c>
      <c r="B715" s="6">
        <v>45681</v>
      </c>
      <c r="C715" t="s">
        <v>749</v>
      </c>
      <c r="D715" t="s">
        <v>78</v>
      </c>
      <c r="E715" t="s">
        <v>52</v>
      </c>
      <c r="F715" t="s">
        <v>56</v>
      </c>
      <c r="G715" t="s">
        <v>90</v>
      </c>
      <c r="H715" t="s">
        <v>54</v>
      </c>
      <c r="I715">
        <v>1</v>
      </c>
      <c r="J715" s="7">
        <v>29</v>
      </c>
      <c r="K715" s="8">
        <v>0.1</v>
      </c>
      <c r="L715" s="9">
        <v>26.1</v>
      </c>
      <c r="M715" s="9">
        <v>11</v>
      </c>
      <c r="N715" s="9">
        <v>15.100000000000001</v>
      </c>
    </row>
    <row r="716" spans="1:14">
      <c r="A716" t="s">
        <v>1165</v>
      </c>
      <c r="B716" s="6">
        <v>45788</v>
      </c>
      <c r="C716" t="s">
        <v>144</v>
      </c>
      <c r="D716" t="s">
        <v>78</v>
      </c>
      <c r="E716" t="s">
        <v>49</v>
      </c>
      <c r="F716" t="s">
        <v>56</v>
      </c>
      <c r="G716" t="s">
        <v>86</v>
      </c>
      <c r="H716" t="s">
        <v>48</v>
      </c>
      <c r="I716">
        <v>1</v>
      </c>
      <c r="J716" s="7">
        <v>34.99</v>
      </c>
      <c r="K716" s="8">
        <v>0.05</v>
      </c>
      <c r="L716" s="9">
        <v>33.240499999999997</v>
      </c>
      <c r="M716" s="9">
        <v>16</v>
      </c>
      <c r="N716" s="9">
        <v>17.240499999999997</v>
      </c>
    </row>
    <row r="717" spans="1:14">
      <c r="A717" t="s">
        <v>1166</v>
      </c>
      <c r="B717" s="6">
        <v>45832</v>
      </c>
      <c r="C717" t="s">
        <v>589</v>
      </c>
      <c r="D717" t="s">
        <v>78</v>
      </c>
      <c r="E717" t="s">
        <v>52</v>
      </c>
      <c r="F717" t="s">
        <v>56</v>
      </c>
      <c r="G717" t="s">
        <v>91</v>
      </c>
      <c r="H717" t="s">
        <v>57</v>
      </c>
      <c r="I717">
        <v>2</v>
      </c>
      <c r="J717" s="7">
        <v>35</v>
      </c>
      <c r="K717" s="8">
        <v>0.05</v>
      </c>
      <c r="L717" s="9">
        <v>66.5</v>
      </c>
      <c r="M717" s="9">
        <v>28</v>
      </c>
      <c r="N717" s="9">
        <v>38.5</v>
      </c>
    </row>
    <row r="718" spans="1:14">
      <c r="A718" t="s">
        <v>1167</v>
      </c>
      <c r="B718" s="6">
        <v>45831</v>
      </c>
      <c r="C718" t="s">
        <v>496</v>
      </c>
      <c r="D718" t="s">
        <v>79</v>
      </c>
      <c r="E718" t="s">
        <v>52</v>
      </c>
      <c r="F718" t="s">
        <v>59</v>
      </c>
      <c r="G718" t="s">
        <v>92</v>
      </c>
      <c r="H718" t="s">
        <v>57</v>
      </c>
      <c r="I718">
        <v>3</v>
      </c>
      <c r="J718" s="7">
        <v>22</v>
      </c>
      <c r="K718" s="8">
        <v>0.1</v>
      </c>
      <c r="L718" s="9">
        <v>59.4</v>
      </c>
      <c r="M718" s="9">
        <v>22.5</v>
      </c>
      <c r="N718" s="9">
        <v>36.9</v>
      </c>
    </row>
    <row r="719" spans="1:14">
      <c r="A719" t="s">
        <v>1168</v>
      </c>
      <c r="B719" s="6">
        <v>45932</v>
      </c>
      <c r="C719" t="s">
        <v>233</v>
      </c>
      <c r="D719" t="s">
        <v>79</v>
      </c>
      <c r="E719" t="s">
        <v>55</v>
      </c>
      <c r="F719" t="s">
        <v>60</v>
      </c>
      <c r="G719" t="s">
        <v>90</v>
      </c>
      <c r="H719" t="s">
        <v>54</v>
      </c>
      <c r="I719">
        <v>1</v>
      </c>
      <c r="J719" s="7">
        <v>29</v>
      </c>
      <c r="K719" s="8">
        <v>0.1</v>
      </c>
      <c r="L719" s="9">
        <v>26.1</v>
      </c>
      <c r="M719" s="9">
        <v>11</v>
      </c>
      <c r="N719" s="9">
        <v>15.100000000000001</v>
      </c>
    </row>
    <row r="720" spans="1:14">
      <c r="A720" t="s">
        <v>1169</v>
      </c>
      <c r="B720" s="6">
        <v>46005</v>
      </c>
      <c r="C720" t="s">
        <v>584</v>
      </c>
      <c r="D720" t="s">
        <v>78</v>
      </c>
      <c r="E720" t="s">
        <v>55</v>
      </c>
      <c r="F720" t="s">
        <v>50</v>
      </c>
      <c r="G720" t="s">
        <v>90</v>
      </c>
      <c r="H720" t="s">
        <v>54</v>
      </c>
      <c r="I720">
        <v>1</v>
      </c>
      <c r="J720" s="7">
        <v>29</v>
      </c>
      <c r="K720" s="8">
        <v>0</v>
      </c>
      <c r="L720" s="9">
        <v>29</v>
      </c>
      <c r="M720" s="9">
        <v>11</v>
      </c>
      <c r="N720" s="9">
        <v>18</v>
      </c>
    </row>
    <row r="721" spans="1:14">
      <c r="A721" t="s">
        <v>1170</v>
      </c>
      <c r="B721" s="6">
        <v>45734</v>
      </c>
      <c r="C721" t="s">
        <v>310</v>
      </c>
      <c r="D721" t="s">
        <v>78</v>
      </c>
      <c r="E721" t="s">
        <v>52</v>
      </c>
      <c r="F721" t="s">
        <v>60</v>
      </c>
      <c r="G721" t="s">
        <v>89</v>
      </c>
      <c r="H721" t="s">
        <v>51</v>
      </c>
      <c r="I721">
        <v>2</v>
      </c>
      <c r="J721" s="7">
        <v>38</v>
      </c>
      <c r="K721" s="8">
        <v>0</v>
      </c>
      <c r="L721" s="9">
        <v>76</v>
      </c>
      <c r="M721" s="9">
        <v>34</v>
      </c>
      <c r="N721" s="9">
        <v>42</v>
      </c>
    </row>
    <row r="722" spans="1:14">
      <c r="A722" t="s">
        <v>1171</v>
      </c>
      <c r="B722" s="6">
        <v>45968</v>
      </c>
      <c r="C722" t="s">
        <v>643</v>
      </c>
      <c r="D722" t="s">
        <v>79</v>
      </c>
      <c r="E722" t="s">
        <v>55</v>
      </c>
      <c r="F722" t="s">
        <v>50</v>
      </c>
      <c r="G722" t="s">
        <v>91</v>
      </c>
      <c r="H722" t="s">
        <v>57</v>
      </c>
      <c r="I722">
        <v>1</v>
      </c>
      <c r="J722" s="7">
        <v>35</v>
      </c>
      <c r="K722" s="8">
        <v>0</v>
      </c>
      <c r="L722" s="9">
        <v>35</v>
      </c>
      <c r="M722" s="9">
        <v>14</v>
      </c>
      <c r="N722" s="9">
        <v>21</v>
      </c>
    </row>
    <row r="723" spans="1:14">
      <c r="A723" t="s">
        <v>1172</v>
      </c>
      <c r="B723" s="6">
        <v>45797</v>
      </c>
      <c r="C723" t="s">
        <v>840</v>
      </c>
      <c r="D723" t="s">
        <v>78</v>
      </c>
      <c r="E723" t="s">
        <v>52</v>
      </c>
      <c r="F723" t="s">
        <v>60</v>
      </c>
      <c r="G723" t="s">
        <v>91</v>
      </c>
      <c r="H723" t="s">
        <v>57</v>
      </c>
      <c r="I723">
        <v>1</v>
      </c>
      <c r="J723" s="7">
        <v>35</v>
      </c>
      <c r="K723" s="8">
        <v>0.15</v>
      </c>
      <c r="L723" s="9">
        <v>29.75</v>
      </c>
      <c r="M723" s="9">
        <v>14</v>
      </c>
      <c r="N723" s="9">
        <v>15.75</v>
      </c>
    </row>
    <row r="724" spans="1:14">
      <c r="A724" t="s">
        <v>1173</v>
      </c>
      <c r="B724" s="6">
        <v>45812</v>
      </c>
      <c r="C724" t="s">
        <v>194</v>
      </c>
      <c r="D724" t="s">
        <v>79</v>
      </c>
      <c r="E724" t="s">
        <v>58</v>
      </c>
      <c r="F724" t="s">
        <v>60</v>
      </c>
      <c r="G724" t="s">
        <v>87</v>
      </c>
      <c r="H724" t="s">
        <v>48</v>
      </c>
      <c r="I724">
        <v>1</v>
      </c>
      <c r="J724" s="7">
        <v>89.99</v>
      </c>
      <c r="K724" s="8">
        <v>0.1</v>
      </c>
      <c r="L724" s="9">
        <v>80.991</v>
      </c>
      <c r="M724" s="9">
        <v>46</v>
      </c>
      <c r="N724" s="9">
        <v>34.991</v>
      </c>
    </row>
    <row r="725" spans="1:14">
      <c r="A725" t="s">
        <v>1174</v>
      </c>
      <c r="B725" s="6">
        <v>45670</v>
      </c>
      <c r="C725" t="s">
        <v>1175</v>
      </c>
      <c r="D725" t="s">
        <v>78</v>
      </c>
      <c r="E725" t="s">
        <v>55</v>
      </c>
      <c r="F725" t="s">
        <v>56</v>
      </c>
      <c r="G725" t="s">
        <v>92</v>
      </c>
      <c r="H725" t="s">
        <v>57</v>
      </c>
      <c r="I725">
        <v>3</v>
      </c>
      <c r="J725" s="7">
        <v>22</v>
      </c>
      <c r="K725" s="8">
        <v>0</v>
      </c>
      <c r="L725" s="9">
        <v>66</v>
      </c>
      <c r="M725" s="9">
        <v>22.5</v>
      </c>
      <c r="N725" s="9">
        <v>43.5</v>
      </c>
    </row>
    <row r="726" spans="1:14">
      <c r="A726" t="s">
        <v>1176</v>
      </c>
      <c r="B726" s="6">
        <v>45731</v>
      </c>
      <c r="C726" t="s">
        <v>158</v>
      </c>
      <c r="D726" t="s">
        <v>79</v>
      </c>
      <c r="E726" t="s">
        <v>52</v>
      </c>
      <c r="F726" t="s">
        <v>50</v>
      </c>
      <c r="G726" t="s">
        <v>86</v>
      </c>
      <c r="H726" t="s">
        <v>48</v>
      </c>
      <c r="I726">
        <v>2</v>
      </c>
      <c r="J726" s="7">
        <v>34.99</v>
      </c>
      <c r="K726" s="8">
        <v>0.15</v>
      </c>
      <c r="L726" s="9">
        <v>59.483000000000004</v>
      </c>
      <c r="M726" s="9">
        <v>32</v>
      </c>
      <c r="N726" s="9">
        <v>27.483000000000004</v>
      </c>
    </row>
    <row r="727" spans="1:14">
      <c r="A727" t="s">
        <v>1177</v>
      </c>
      <c r="B727" s="6">
        <v>45893</v>
      </c>
      <c r="C727" t="s">
        <v>295</v>
      </c>
      <c r="D727" t="s">
        <v>78</v>
      </c>
      <c r="E727" t="s">
        <v>49</v>
      </c>
      <c r="F727" t="s">
        <v>56</v>
      </c>
      <c r="G727" t="s">
        <v>91</v>
      </c>
      <c r="H727" t="s">
        <v>57</v>
      </c>
      <c r="I727">
        <v>2</v>
      </c>
      <c r="J727" s="7">
        <v>35</v>
      </c>
      <c r="K727" s="8">
        <v>0.05</v>
      </c>
      <c r="L727" s="9">
        <v>66.5</v>
      </c>
      <c r="M727" s="9">
        <v>28</v>
      </c>
      <c r="N727" s="9">
        <v>38.5</v>
      </c>
    </row>
    <row r="728" spans="1:14">
      <c r="A728" t="s">
        <v>1178</v>
      </c>
      <c r="B728" s="6">
        <v>45897</v>
      </c>
      <c r="C728" t="s">
        <v>1179</v>
      </c>
      <c r="D728" t="s">
        <v>79</v>
      </c>
      <c r="E728" t="s">
        <v>55</v>
      </c>
      <c r="F728" t="s">
        <v>53</v>
      </c>
      <c r="G728" t="s">
        <v>85</v>
      </c>
      <c r="H728" t="s">
        <v>48</v>
      </c>
      <c r="I728">
        <v>1</v>
      </c>
      <c r="J728" s="7">
        <v>59.99</v>
      </c>
      <c r="K728" s="8">
        <v>0.1</v>
      </c>
      <c r="L728" s="9">
        <v>53.991</v>
      </c>
      <c r="M728" s="9">
        <v>28</v>
      </c>
      <c r="N728" s="9">
        <v>25.991</v>
      </c>
    </row>
    <row r="729" spans="1:14">
      <c r="A729" t="s">
        <v>1180</v>
      </c>
      <c r="B729" s="6">
        <v>45822</v>
      </c>
      <c r="C729" t="s">
        <v>360</v>
      </c>
      <c r="D729" t="s">
        <v>78</v>
      </c>
      <c r="E729" t="s">
        <v>49</v>
      </c>
      <c r="F729" t="s">
        <v>56</v>
      </c>
      <c r="G729" t="s">
        <v>88</v>
      </c>
      <c r="H729" t="s">
        <v>51</v>
      </c>
      <c r="I729">
        <v>1</v>
      </c>
      <c r="J729" s="7">
        <v>42</v>
      </c>
      <c r="K729" s="8">
        <v>0</v>
      </c>
      <c r="L729" s="9">
        <v>42</v>
      </c>
      <c r="M729" s="9">
        <v>19</v>
      </c>
      <c r="N729" s="9">
        <v>23</v>
      </c>
    </row>
    <row r="730" spans="1:14">
      <c r="A730" t="s">
        <v>1181</v>
      </c>
      <c r="B730" s="6">
        <v>45734</v>
      </c>
      <c r="C730" t="s">
        <v>940</v>
      </c>
      <c r="D730" t="s">
        <v>79</v>
      </c>
      <c r="E730" t="s">
        <v>49</v>
      </c>
      <c r="F730" t="s">
        <v>53</v>
      </c>
      <c r="G730" t="s">
        <v>87</v>
      </c>
      <c r="H730" t="s">
        <v>48</v>
      </c>
      <c r="I730">
        <v>1</v>
      </c>
      <c r="J730" s="7">
        <v>89.99</v>
      </c>
      <c r="K730" s="8">
        <v>0</v>
      </c>
      <c r="L730" s="9">
        <v>89.99</v>
      </c>
      <c r="M730" s="9">
        <v>46</v>
      </c>
      <c r="N730" s="9">
        <v>43.989999999999995</v>
      </c>
    </row>
    <row r="731" spans="1:14">
      <c r="A731" t="s">
        <v>1182</v>
      </c>
      <c r="B731" s="6">
        <v>45935</v>
      </c>
      <c r="C731" t="s">
        <v>468</v>
      </c>
      <c r="D731" t="s">
        <v>79</v>
      </c>
      <c r="E731" t="s">
        <v>52</v>
      </c>
      <c r="F731" t="s">
        <v>53</v>
      </c>
      <c r="G731" t="s">
        <v>90</v>
      </c>
      <c r="H731" t="s">
        <v>54</v>
      </c>
      <c r="I731">
        <v>1</v>
      </c>
      <c r="J731" s="7">
        <v>29</v>
      </c>
      <c r="K731" s="8">
        <v>0</v>
      </c>
      <c r="L731" s="9">
        <v>29</v>
      </c>
      <c r="M731" s="9">
        <v>11</v>
      </c>
      <c r="N731" s="9">
        <v>18</v>
      </c>
    </row>
    <row r="732" spans="1:14">
      <c r="A732" t="s">
        <v>1183</v>
      </c>
      <c r="B732" s="6">
        <v>45694</v>
      </c>
      <c r="C732" t="s">
        <v>425</v>
      </c>
      <c r="D732" t="s">
        <v>78</v>
      </c>
      <c r="E732" t="s">
        <v>49</v>
      </c>
      <c r="F732" t="s">
        <v>59</v>
      </c>
      <c r="G732" t="s">
        <v>89</v>
      </c>
      <c r="H732" t="s">
        <v>51</v>
      </c>
      <c r="I732">
        <v>2</v>
      </c>
      <c r="J732" s="7">
        <v>38</v>
      </c>
      <c r="K732" s="8">
        <v>0</v>
      </c>
      <c r="L732" s="9">
        <v>76</v>
      </c>
      <c r="M732" s="9">
        <v>34</v>
      </c>
      <c r="N732" s="9">
        <v>42</v>
      </c>
    </row>
    <row r="733" spans="1:14">
      <c r="A733" t="s">
        <v>1184</v>
      </c>
      <c r="B733" s="6">
        <v>46003</v>
      </c>
      <c r="C733" t="s">
        <v>708</v>
      </c>
      <c r="D733" t="s">
        <v>78</v>
      </c>
      <c r="E733" t="s">
        <v>58</v>
      </c>
      <c r="F733" t="s">
        <v>60</v>
      </c>
      <c r="G733" t="s">
        <v>85</v>
      </c>
      <c r="H733" t="s">
        <v>48</v>
      </c>
      <c r="I733">
        <v>1</v>
      </c>
      <c r="J733" s="7">
        <v>59.99</v>
      </c>
      <c r="K733" s="8">
        <v>0</v>
      </c>
      <c r="L733" s="9">
        <v>59.99</v>
      </c>
      <c r="M733" s="9">
        <v>28</v>
      </c>
      <c r="N733" s="9">
        <v>31.990000000000002</v>
      </c>
    </row>
    <row r="734" spans="1:14">
      <c r="A734" t="s">
        <v>1185</v>
      </c>
      <c r="B734" s="6">
        <v>45840</v>
      </c>
      <c r="C734" t="s">
        <v>925</v>
      </c>
      <c r="D734" t="s">
        <v>79</v>
      </c>
      <c r="E734" t="s">
        <v>49</v>
      </c>
      <c r="F734" t="s">
        <v>59</v>
      </c>
      <c r="G734" t="s">
        <v>89</v>
      </c>
      <c r="H734" t="s">
        <v>51</v>
      </c>
      <c r="I734">
        <v>1</v>
      </c>
      <c r="J734" s="7">
        <v>38</v>
      </c>
      <c r="K734" s="8">
        <v>0</v>
      </c>
      <c r="L734" s="9">
        <v>38</v>
      </c>
      <c r="M734" s="9">
        <v>17</v>
      </c>
      <c r="N734" s="9">
        <v>21</v>
      </c>
    </row>
    <row r="735" spans="1:14">
      <c r="A735" t="s">
        <v>1186</v>
      </c>
      <c r="B735" s="6">
        <v>45948</v>
      </c>
      <c r="C735" t="s">
        <v>658</v>
      </c>
      <c r="D735" t="s">
        <v>79</v>
      </c>
      <c r="E735" t="s">
        <v>58</v>
      </c>
      <c r="F735" t="s">
        <v>56</v>
      </c>
      <c r="G735" t="s">
        <v>87</v>
      </c>
      <c r="H735" t="s">
        <v>48</v>
      </c>
      <c r="I735">
        <v>1</v>
      </c>
      <c r="J735" s="7">
        <v>89.99</v>
      </c>
      <c r="K735" s="8">
        <v>0.1</v>
      </c>
      <c r="L735" s="9">
        <v>80.991</v>
      </c>
      <c r="M735" s="9">
        <v>46</v>
      </c>
      <c r="N735" s="9">
        <v>34.991</v>
      </c>
    </row>
    <row r="736" spans="1:14">
      <c r="A736" t="s">
        <v>1187</v>
      </c>
      <c r="B736" s="6">
        <v>46008</v>
      </c>
      <c r="C736" t="s">
        <v>550</v>
      </c>
      <c r="D736" t="s">
        <v>78</v>
      </c>
      <c r="E736" t="s">
        <v>55</v>
      </c>
      <c r="F736" t="s">
        <v>56</v>
      </c>
      <c r="G736" t="s">
        <v>92</v>
      </c>
      <c r="H736" t="s">
        <v>57</v>
      </c>
      <c r="I736">
        <v>1</v>
      </c>
      <c r="J736" s="7">
        <v>22</v>
      </c>
      <c r="K736" s="8">
        <v>0.2</v>
      </c>
      <c r="L736" s="9">
        <v>17.600000000000001</v>
      </c>
      <c r="M736" s="9">
        <v>7.5</v>
      </c>
      <c r="N736" s="9">
        <v>10.100000000000001</v>
      </c>
    </row>
    <row r="737" spans="1:14">
      <c r="A737" t="s">
        <v>1188</v>
      </c>
      <c r="B737" s="6">
        <v>45858</v>
      </c>
      <c r="C737" t="s">
        <v>1189</v>
      </c>
      <c r="D737" t="s">
        <v>79</v>
      </c>
      <c r="E737" t="s">
        <v>58</v>
      </c>
      <c r="F737" t="s">
        <v>59</v>
      </c>
      <c r="G737" t="s">
        <v>87</v>
      </c>
      <c r="H737" t="s">
        <v>48</v>
      </c>
      <c r="I737">
        <v>2</v>
      </c>
      <c r="J737" s="7">
        <v>89.99</v>
      </c>
      <c r="K737" s="8">
        <v>0.1</v>
      </c>
      <c r="L737" s="9">
        <v>161.982</v>
      </c>
      <c r="M737" s="9">
        <v>92</v>
      </c>
      <c r="N737" s="9">
        <v>69.981999999999999</v>
      </c>
    </row>
    <row r="738" spans="1:14">
      <c r="A738" t="s">
        <v>1190</v>
      </c>
      <c r="B738" s="6">
        <v>45673</v>
      </c>
      <c r="C738" t="s">
        <v>473</v>
      </c>
      <c r="D738" t="s">
        <v>78</v>
      </c>
      <c r="E738" t="s">
        <v>55</v>
      </c>
      <c r="F738" t="s">
        <v>56</v>
      </c>
      <c r="G738" t="s">
        <v>86</v>
      </c>
      <c r="H738" t="s">
        <v>48</v>
      </c>
      <c r="I738">
        <v>1</v>
      </c>
      <c r="J738" s="7">
        <v>34.99</v>
      </c>
      <c r="K738" s="8">
        <v>0</v>
      </c>
      <c r="L738" s="9">
        <v>34.99</v>
      </c>
      <c r="M738" s="9">
        <v>16</v>
      </c>
      <c r="N738" s="9">
        <v>18.990000000000002</v>
      </c>
    </row>
    <row r="739" spans="1:14">
      <c r="A739" t="s">
        <v>1191</v>
      </c>
      <c r="B739" s="6">
        <v>45967</v>
      </c>
      <c r="C739" t="s">
        <v>190</v>
      </c>
      <c r="D739" t="s">
        <v>79</v>
      </c>
      <c r="E739" t="s">
        <v>55</v>
      </c>
      <c r="F739" t="s">
        <v>60</v>
      </c>
      <c r="G739" t="s">
        <v>94</v>
      </c>
      <c r="H739" t="s">
        <v>51</v>
      </c>
      <c r="I739">
        <v>1</v>
      </c>
      <c r="J739" s="7">
        <v>18</v>
      </c>
      <c r="K739" s="8">
        <v>0</v>
      </c>
      <c r="L739" s="9">
        <v>18</v>
      </c>
      <c r="M739" s="9">
        <v>5.5</v>
      </c>
      <c r="N739" s="9">
        <v>12.5</v>
      </c>
    </row>
    <row r="740" spans="1:14">
      <c r="A740" t="s">
        <v>1192</v>
      </c>
      <c r="B740" s="6">
        <v>45990</v>
      </c>
      <c r="C740" t="s">
        <v>864</v>
      </c>
      <c r="D740" t="s">
        <v>78</v>
      </c>
      <c r="E740" t="s">
        <v>52</v>
      </c>
      <c r="F740" t="s">
        <v>60</v>
      </c>
      <c r="G740" t="s">
        <v>86</v>
      </c>
      <c r="H740" t="s">
        <v>48</v>
      </c>
      <c r="I740">
        <v>2</v>
      </c>
      <c r="J740" s="7">
        <v>34.99</v>
      </c>
      <c r="K740" s="8">
        <v>0.05</v>
      </c>
      <c r="L740" s="9">
        <v>66.480999999999995</v>
      </c>
      <c r="M740" s="9">
        <v>32</v>
      </c>
      <c r="N740" s="9">
        <v>34.480999999999995</v>
      </c>
    </row>
    <row r="741" spans="1:14">
      <c r="A741" t="s">
        <v>1193</v>
      </c>
      <c r="B741" s="6">
        <v>45782</v>
      </c>
      <c r="C741" t="s">
        <v>489</v>
      </c>
      <c r="D741" t="s">
        <v>78</v>
      </c>
      <c r="E741" t="s">
        <v>58</v>
      </c>
      <c r="F741" t="s">
        <v>59</v>
      </c>
      <c r="G741" t="s">
        <v>93</v>
      </c>
      <c r="H741" t="s">
        <v>54</v>
      </c>
      <c r="I741">
        <v>1</v>
      </c>
      <c r="J741" s="7">
        <v>68</v>
      </c>
      <c r="K741" s="8">
        <v>0.05</v>
      </c>
      <c r="L741" s="9">
        <v>64.599999999999994</v>
      </c>
      <c r="M741" s="9">
        <v>31</v>
      </c>
      <c r="N741" s="9">
        <v>33.599999999999994</v>
      </c>
    </row>
    <row r="742" spans="1:14">
      <c r="A742" t="s">
        <v>1194</v>
      </c>
      <c r="B742" s="6">
        <v>45948</v>
      </c>
      <c r="C742" t="s">
        <v>758</v>
      </c>
      <c r="D742" t="s">
        <v>79</v>
      </c>
      <c r="E742" t="s">
        <v>58</v>
      </c>
      <c r="F742" t="s">
        <v>50</v>
      </c>
      <c r="G742" t="s">
        <v>90</v>
      </c>
      <c r="H742" t="s">
        <v>54</v>
      </c>
      <c r="I742">
        <v>1</v>
      </c>
      <c r="J742" s="7">
        <v>29</v>
      </c>
      <c r="K742" s="8">
        <v>0</v>
      </c>
      <c r="L742" s="9">
        <v>29</v>
      </c>
      <c r="M742" s="9">
        <v>11</v>
      </c>
      <c r="N742" s="9">
        <v>18</v>
      </c>
    </row>
    <row r="743" spans="1:14">
      <c r="A743" t="s">
        <v>1195</v>
      </c>
      <c r="B743" s="6">
        <v>45961</v>
      </c>
      <c r="C743" t="s">
        <v>915</v>
      </c>
      <c r="D743" t="s">
        <v>79</v>
      </c>
      <c r="E743" t="s">
        <v>55</v>
      </c>
      <c r="F743" t="s">
        <v>59</v>
      </c>
      <c r="G743" t="s">
        <v>94</v>
      </c>
      <c r="H743" t="s">
        <v>51</v>
      </c>
      <c r="I743">
        <v>1</v>
      </c>
      <c r="J743" s="7">
        <v>18</v>
      </c>
      <c r="K743" s="8">
        <v>0.05</v>
      </c>
      <c r="L743" s="9">
        <v>17.099999999999998</v>
      </c>
      <c r="M743" s="9">
        <v>5.5</v>
      </c>
      <c r="N743" s="9">
        <v>11.599999999999998</v>
      </c>
    </row>
    <row r="744" spans="1:14">
      <c r="A744" t="s">
        <v>1196</v>
      </c>
      <c r="B744" s="6">
        <v>45693</v>
      </c>
      <c r="C744" t="s">
        <v>570</v>
      </c>
      <c r="D744" t="s">
        <v>79</v>
      </c>
      <c r="E744" t="s">
        <v>55</v>
      </c>
      <c r="F744" t="s">
        <v>59</v>
      </c>
      <c r="G744" t="s">
        <v>94</v>
      </c>
      <c r="H744" t="s">
        <v>51</v>
      </c>
      <c r="I744">
        <v>1</v>
      </c>
      <c r="J744" s="7">
        <v>18</v>
      </c>
      <c r="K744" s="8">
        <v>0.1</v>
      </c>
      <c r="L744" s="9">
        <v>16.2</v>
      </c>
      <c r="M744" s="9">
        <v>5.5</v>
      </c>
      <c r="N744" s="9">
        <v>10.7</v>
      </c>
    </row>
    <row r="745" spans="1:14">
      <c r="A745" t="s">
        <v>1197</v>
      </c>
      <c r="B745" s="6">
        <v>45988</v>
      </c>
      <c r="C745" t="s">
        <v>245</v>
      </c>
      <c r="D745" t="s">
        <v>79</v>
      </c>
      <c r="E745" t="s">
        <v>52</v>
      </c>
      <c r="F745" t="s">
        <v>53</v>
      </c>
      <c r="G745" t="s">
        <v>85</v>
      </c>
      <c r="H745" t="s">
        <v>48</v>
      </c>
      <c r="I745">
        <v>1</v>
      </c>
      <c r="J745" s="7">
        <v>59.99</v>
      </c>
      <c r="K745" s="8">
        <v>0.1</v>
      </c>
      <c r="L745" s="9">
        <v>53.991</v>
      </c>
      <c r="M745" s="9">
        <v>28</v>
      </c>
      <c r="N745" s="9">
        <v>25.991</v>
      </c>
    </row>
    <row r="746" spans="1:14">
      <c r="A746" t="s">
        <v>1198</v>
      </c>
      <c r="B746" s="6">
        <v>45889</v>
      </c>
      <c r="C746" t="s">
        <v>226</v>
      </c>
      <c r="D746" t="s">
        <v>78</v>
      </c>
      <c r="E746" t="s">
        <v>55</v>
      </c>
      <c r="F746" t="s">
        <v>56</v>
      </c>
      <c r="G746" t="s">
        <v>93</v>
      </c>
      <c r="H746" t="s">
        <v>54</v>
      </c>
      <c r="I746">
        <v>1</v>
      </c>
      <c r="J746" s="7">
        <v>68</v>
      </c>
      <c r="K746" s="8">
        <v>0.05</v>
      </c>
      <c r="L746" s="9">
        <v>64.599999999999994</v>
      </c>
      <c r="M746" s="9">
        <v>31</v>
      </c>
      <c r="N746" s="9">
        <v>33.599999999999994</v>
      </c>
    </row>
    <row r="747" spans="1:14">
      <c r="A747" t="s">
        <v>1199</v>
      </c>
      <c r="B747" s="6">
        <v>45949</v>
      </c>
      <c r="C747" t="s">
        <v>539</v>
      </c>
      <c r="D747" t="s">
        <v>79</v>
      </c>
      <c r="E747" t="s">
        <v>49</v>
      </c>
      <c r="F747" t="s">
        <v>60</v>
      </c>
      <c r="G747" t="s">
        <v>89</v>
      </c>
      <c r="H747" t="s">
        <v>51</v>
      </c>
      <c r="I747">
        <v>3</v>
      </c>
      <c r="J747" s="7">
        <v>38</v>
      </c>
      <c r="K747" s="8">
        <v>0.15</v>
      </c>
      <c r="L747" s="9">
        <v>96.899999999999991</v>
      </c>
      <c r="M747" s="9">
        <v>51</v>
      </c>
      <c r="N747" s="9">
        <v>45.899999999999991</v>
      </c>
    </row>
    <row r="748" spans="1:14">
      <c r="A748" t="s">
        <v>1200</v>
      </c>
      <c r="B748" s="6">
        <v>45662</v>
      </c>
      <c r="C748" t="s">
        <v>410</v>
      </c>
      <c r="D748" t="s">
        <v>78</v>
      </c>
      <c r="E748" t="s">
        <v>49</v>
      </c>
      <c r="F748" t="s">
        <v>56</v>
      </c>
      <c r="G748" t="s">
        <v>94</v>
      </c>
      <c r="H748" t="s">
        <v>51</v>
      </c>
      <c r="I748">
        <v>4</v>
      </c>
      <c r="J748" s="7">
        <v>18</v>
      </c>
      <c r="K748" s="8">
        <v>0</v>
      </c>
      <c r="L748" s="9">
        <v>72</v>
      </c>
      <c r="M748" s="9">
        <v>22</v>
      </c>
      <c r="N748" s="9">
        <v>50</v>
      </c>
    </row>
    <row r="749" spans="1:14">
      <c r="A749" t="s">
        <v>1201</v>
      </c>
      <c r="B749" s="6">
        <v>45939</v>
      </c>
      <c r="C749" t="s">
        <v>537</v>
      </c>
      <c r="D749" t="s">
        <v>79</v>
      </c>
      <c r="E749" t="s">
        <v>55</v>
      </c>
      <c r="F749" t="s">
        <v>50</v>
      </c>
      <c r="G749" t="s">
        <v>85</v>
      </c>
      <c r="H749" t="s">
        <v>48</v>
      </c>
      <c r="I749">
        <v>1</v>
      </c>
      <c r="J749" s="7">
        <v>59.99</v>
      </c>
      <c r="K749" s="8">
        <v>0.05</v>
      </c>
      <c r="L749" s="9">
        <v>56.990499999999997</v>
      </c>
      <c r="M749" s="9">
        <v>28</v>
      </c>
      <c r="N749" s="9">
        <v>28.990499999999997</v>
      </c>
    </row>
    <row r="750" spans="1:14">
      <c r="A750" t="s">
        <v>1202</v>
      </c>
      <c r="B750" s="6">
        <v>45778</v>
      </c>
      <c r="C750" t="s">
        <v>378</v>
      </c>
      <c r="D750" t="s">
        <v>78</v>
      </c>
      <c r="E750" t="s">
        <v>58</v>
      </c>
      <c r="F750" t="s">
        <v>59</v>
      </c>
      <c r="G750" t="s">
        <v>91</v>
      </c>
      <c r="H750" t="s">
        <v>57</v>
      </c>
      <c r="I750">
        <v>2</v>
      </c>
      <c r="J750" s="7">
        <v>35</v>
      </c>
      <c r="K750" s="8">
        <v>0</v>
      </c>
      <c r="L750" s="9">
        <v>70</v>
      </c>
      <c r="M750" s="9">
        <v>28</v>
      </c>
      <c r="N750" s="9">
        <v>42</v>
      </c>
    </row>
    <row r="751" spans="1:14">
      <c r="A751" t="s">
        <v>1203</v>
      </c>
      <c r="B751" s="6">
        <v>45880</v>
      </c>
      <c r="C751" t="s">
        <v>1204</v>
      </c>
      <c r="D751" t="s">
        <v>78</v>
      </c>
      <c r="E751" t="s">
        <v>58</v>
      </c>
      <c r="F751" t="s">
        <v>56</v>
      </c>
      <c r="G751" t="s">
        <v>93</v>
      </c>
      <c r="H751" t="s">
        <v>54</v>
      </c>
      <c r="I751">
        <v>1</v>
      </c>
      <c r="J751" s="7">
        <v>68</v>
      </c>
      <c r="K751" s="8">
        <v>0</v>
      </c>
      <c r="L751" s="9">
        <v>68</v>
      </c>
      <c r="M751" s="9">
        <v>31</v>
      </c>
      <c r="N751" s="9">
        <v>37</v>
      </c>
    </row>
    <row r="752" spans="1:14">
      <c r="A752" t="s">
        <v>1205</v>
      </c>
      <c r="B752" s="6">
        <v>45871</v>
      </c>
      <c r="C752" t="s">
        <v>1179</v>
      </c>
      <c r="D752" t="s">
        <v>78</v>
      </c>
      <c r="E752" t="s">
        <v>49</v>
      </c>
      <c r="F752" t="s">
        <v>50</v>
      </c>
      <c r="G752" t="s">
        <v>87</v>
      </c>
      <c r="H752" t="s">
        <v>48</v>
      </c>
      <c r="I752">
        <v>1</v>
      </c>
      <c r="J752" s="7">
        <v>89.99</v>
      </c>
      <c r="K752" s="8">
        <v>0.15</v>
      </c>
      <c r="L752" s="9">
        <v>76.491499999999988</v>
      </c>
      <c r="M752" s="9">
        <v>46</v>
      </c>
      <c r="N752" s="9">
        <v>30.491499999999988</v>
      </c>
    </row>
    <row r="753" spans="1:14">
      <c r="A753" t="s">
        <v>1206</v>
      </c>
      <c r="B753" s="6">
        <v>45731</v>
      </c>
      <c r="C753" t="s">
        <v>351</v>
      </c>
      <c r="D753" t="s">
        <v>78</v>
      </c>
      <c r="E753" t="s">
        <v>58</v>
      </c>
      <c r="F753" t="s">
        <v>59</v>
      </c>
      <c r="G753" t="s">
        <v>92</v>
      </c>
      <c r="H753" t="s">
        <v>57</v>
      </c>
      <c r="I753">
        <v>2</v>
      </c>
      <c r="J753" s="7">
        <v>22</v>
      </c>
      <c r="K753" s="8">
        <v>0.2</v>
      </c>
      <c r="L753" s="9">
        <v>35.200000000000003</v>
      </c>
      <c r="M753" s="9">
        <v>15</v>
      </c>
      <c r="N753" s="9">
        <v>20.200000000000003</v>
      </c>
    </row>
    <row r="754" spans="1:14">
      <c r="A754" t="s">
        <v>1207</v>
      </c>
      <c r="B754" s="6">
        <v>46014</v>
      </c>
      <c r="C754" t="s">
        <v>1208</v>
      </c>
      <c r="D754" t="s">
        <v>78</v>
      </c>
      <c r="E754" t="s">
        <v>58</v>
      </c>
      <c r="F754" t="s">
        <v>59</v>
      </c>
      <c r="G754" t="s">
        <v>94</v>
      </c>
      <c r="H754" t="s">
        <v>51</v>
      </c>
      <c r="I754">
        <v>3</v>
      </c>
      <c r="J754" s="7">
        <v>18</v>
      </c>
      <c r="K754" s="8">
        <v>0.05</v>
      </c>
      <c r="L754" s="9">
        <v>51.3</v>
      </c>
      <c r="M754" s="9">
        <v>16.5</v>
      </c>
      <c r="N754" s="9">
        <v>34.799999999999997</v>
      </c>
    </row>
    <row r="755" spans="1:14">
      <c r="A755" t="s">
        <v>1209</v>
      </c>
      <c r="B755" s="6">
        <v>45839</v>
      </c>
      <c r="C755" t="s">
        <v>594</v>
      </c>
      <c r="D755" t="s">
        <v>78</v>
      </c>
      <c r="E755" t="s">
        <v>52</v>
      </c>
      <c r="F755" t="s">
        <v>60</v>
      </c>
      <c r="G755" t="s">
        <v>88</v>
      </c>
      <c r="H755" t="s">
        <v>51</v>
      </c>
      <c r="I755">
        <v>1</v>
      </c>
      <c r="J755" s="7">
        <v>42</v>
      </c>
      <c r="K755" s="8">
        <v>0.05</v>
      </c>
      <c r="L755" s="9">
        <v>39.9</v>
      </c>
      <c r="M755" s="9">
        <v>19</v>
      </c>
      <c r="N755" s="9">
        <v>20.9</v>
      </c>
    </row>
    <row r="756" spans="1:14">
      <c r="A756" t="s">
        <v>1210</v>
      </c>
      <c r="B756" s="6">
        <v>45795</v>
      </c>
      <c r="C756" t="s">
        <v>758</v>
      </c>
      <c r="D756" t="s">
        <v>78</v>
      </c>
      <c r="E756" t="s">
        <v>58</v>
      </c>
      <c r="F756" t="s">
        <v>56</v>
      </c>
      <c r="G756" t="s">
        <v>91</v>
      </c>
      <c r="H756" t="s">
        <v>57</v>
      </c>
      <c r="I756">
        <v>3</v>
      </c>
      <c r="J756" s="7">
        <v>35</v>
      </c>
      <c r="K756" s="8">
        <v>0.05</v>
      </c>
      <c r="L756" s="9">
        <v>99.75</v>
      </c>
      <c r="M756" s="9">
        <v>42</v>
      </c>
      <c r="N756" s="9">
        <v>57.75</v>
      </c>
    </row>
    <row r="757" spans="1:14">
      <c r="A757" t="s">
        <v>1211</v>
      </c>
      <c r="B757" s="6">
        <v>45715</v>
      </c>
      <c r="C757" t="s">
        <v>594</v>
      </c>
      <c r="D757" t="s">
        <v>78</v>
      </c>
      <c r="E757" t="s">
        <v>55</v>
      </c>
      <c r="F757" t="s">
        <v>59</v>
      </c>
      <c r="G757" t="s">
        <v>94</v>
      </c>
      <c r="H757" t="s">
        <v>51</v>
      </c>
      <c r="I757">
        <v>1</v>
      </c>
      <c r="J757" s="7">
        <v>18</v>
      </c>
      <c r="K757" s="8">
        <v>0.1</v>
      </c>
      <c r="L757" s="9">
        <v>16.2</v>
      </c>
      <c r="M757" s="9">
        <v>5.5</v>
      </c>
      <c r="N757" s="9">
        <v>10.7</v>
      </c>
    </row>
    <row r="758" spans="1:14">
      <c r="A758" t="s">
        <v>1212</v>
      </c>
      <c r="B758" s="6">
        <v>45922</v>
      </c>
      <c r="C758" t="s">
        <v>1213</v>
      </c>
      <c r="D758" t="s">
        <v>78</v>
      </c>
      <c r="E758" t="s">
        <v>49</v>
      </c>
      <c r="F758" t="s">
        <v>60</v>
      </c>
      <c r="G758" t="s">
        <v>86</v>
      </c>
      <c r="H758" t="s">
        <v>48</v>
      </c>
      <c r="I758">
        <v>1</v>
      </c>
      <c r="J758" s="7">
        <v>34.99</v>
      </c>
      <c r="K758" s="8">
        <v>0.05</v>
      </c>
      <c r="L758" s="9">
        <v>33.240499999999997</v>
      </c>
      <c r="M758" s="9">
        <v>16</v>
      </c>
      <c r="N758" s="9">
        <v>17.240499999999997</v>
      </c>
    </row>
    <row r="759" spans="1:14">
      <c r="A759" t="s">
        <v>1214</v>
      </c>
      <c r="B759" s="6">
        <v>45954</v>
      </c>
      <c r="C759" t="s">
        <v>1179</v>
      </c>
      <c r="D759" t="s">
        <v>78</v>
      </c>
      <c r="E759" t="s">
        <v>58</v>
      </c>
      <c r="F759" t="s">
        <v>59</v>
      </c>
      <c r="G759" t="s">
        <v>89</v>
      </c>
      <c r="H759" t="s">
        <v>51</v>
      </c>
      <c r="I759">
        <v>2</v>
      </c>
      <c r="J759" s="7">
        <v>38</v>
      </c>
      <c r="K759" s="8">
        <v>0.15</v>
      </c>
      <c r="L759" s="9">
        <v>64.599999999999994</v>
      </c>
      <c r="M759" s="9">
        <v>34</v>
      </c>
      <c r="N759" s="9">
        <v>30.599999999999994</v>
      </c>
    </row>
    <row r="760" spans="1:14">
      <c r="A760" t="s">
        <v>1215</v>
      </c>
      <c r="B760" s="6">
        <v>45920</v>
      </c>
      <c r="C760" t="s">
        <v>410</v>
      </c>
      <c r="D760" t="s">
        <v>78</v>
      </c>
      <c r="E760" t="s">
        <v>55</v>
      </c>
      <c r="F760" t="s">
        <v>53</v>
      </c>
      <c r="G760" t="s">
        <v>92</v>
      </c>
      <c r="H760" t="s">
        <v>57</v>
      </c>
      <c r="I760">
        <v>1</v>
      </c>
      <c r="J760" s="7">
        <v>22</v>
      </c>
      <c r="K760" s="8">
        <v>0</v>
      </c>
      <c r="L760" s="9">
        <v>22</v>
      </c>
      <c r="M760" s="9">
        <v>7.5</v>
      </c>
      <c r="N760" s="9">
        <v>14.5</v>
      </c>
    </row>
    <row r="761" spans="1:14">
      <c r="A761" t="s">
        <v>1216</v>
      </c>
      <c r="B761" s="6">
        <v>45676</v>
      </c>
      <c r="C761" t="s">
        <v>241</v>
      </c>
      <c r="D761" t="s">
        <v>78</v>
      </c>
      <c r="E761" t="s">
        <v>58</v>
      </c>
      <c r="F761" t="s">
        <v>60</v>
      </c>
      <c r="G761" t="s">
        <v>94</v>
      </c>
      <c r="H761" t="s">
        <v>51</v>
      </c>
      <c r="I761">
        <v>2</v>
      </c>
      <c r="J761" s="7">
        <v>18</v>
      </c>
      <c r="K761" s="8">
        <v>0.1</v>
      </c>
      <c r="L761" s="9">
        <v>32.4</v>
      </c>
      <c r="M761" s="9">
        <v>11</v>
      </c>
      <c r="N761" s="9">
        <v>21.4</v>
      </c>
    </row>
    <row r="762" spans="1:14">
      <c r="A762" t="s">
        <v>1217</v>
      </c>
      <c r="B762" s="6">
        <v>45744</v>
      </c>
      <c r="C762" t="s">
        <v>1063</v>
      </c>
      <c r="D762" t="s">
        <v>79</v>
      </c>
      <c r="E762" t="s">
        <v>49</v>
      </c>
      <c r="F762" t="s">
        <v>56</v>
      </c>
      <c r="G762" t="s">
        <v>94</v>
      </c>
      <c r="H762" t="s">
        <v>51</v>
      </c>
      <c r="I762">
        <v>1</v>
      </c>
      <c r="J762" s="7">
        <v>18</v>
      </c>
      <c r="K762" s="8">
        <v>0.2</v>
      </c>
      <c r="L762" s="9">
        <v>14.4</v>
      </c>
      <c r="M762" s="9">
        <v>5.5</v>
      </c>
      <c r="N762" s="9">
        <v>8.9</v>
      </c>
    </row>
    <row r="763" spans="1:14">
      <c r="A763" t="s">
        <v>1218</v>
      </c>
      <c r="B763" s="6">
        <v>45906</v>
      </c>
      <c r="C763" t="s">
        <v>281</v>
      </c>
      <c r="D763" t="s">
        <v>79</v>
      </c>
      <c r="E763" t="s">
        <v>52</v>
      </c>
      <c r="F763" t="s">
        <v>60</v>
      </c>
      <c r="G763" t="s">
        <v>86</v>
      </c>
      <c r="H763" t="s">
        <v>48</v>
      </c>
      <c r="I763">
        <v>1</v>
      </c>
      <c r="J763" s="7">
        <v>34.99</v>
      </c>
      <c r="K763" s="8">
        <v>0</v>
      </c>
      <c r="L763" s="9">
        <v>34.99</v>
      </c>
      <c r="M763" s="9">
        <v>16</v>
      </c>
      <c r="N763" s="9">
        <v>18.990000000000002</v>
      </c>
    </row>
    <row r="764" spans="1:14">
      <c r="A764" t="s">
        <v>1219</v>
      </c>
      <c r="B764" s="6">
        <v>45801</v>
      </c>
      <c r="C764" t="s">
        <v>589</v>
      </c>
      <c r="D764" t="s">
        <v>78</v>
      </c>
      <c r="E764" t="s">
        <v>52</v>
      </c>
      <c r="F764" t="s">
        <v>59</v>
      </c>
      <c r="G764" t="s">
        <v>89</v>
      </c>
      <c r="H764" t="s">
        <v>51</v>
      </c>
      <c r="I764">
        <v>3</v>
      </c>
      <c r="J764" s="7">
        <v>38</v>
      </c>
      <c r="K764" s="8">
        <v>0</v>
      </c>
      <c r="L764" s="9">
        <v>114</v>
      </c>
      <c r="M764" s="9">
        <v>51</v>
      </c>
      <c r="N764" s="9">
        <v>63</v>
      </c>
    </row>
    <row r="765" spans="1:14">
      <c r="A765" t="s">
        <v>1220</v>
      </c>
      <c r="B765" s="6">
        <v>45847</v>
      </c>
      <c r="C765" t="s">
        <v>178</v>
      </c>
      <c r="D765" t="s">
        <v>78</v>
      </c>
      <c r="E765" t="s">
        <v>49</v>
      </c>
      <c r="F765" t="s">
        <v>56</v>
      </c>
      <c r="G765" t="s">
        <v>87</v>
      </c>
      <c r="H765" t="s">
        <v>48</v>
      </c>
      <c r="I765">
        <v>1</v>
      </c>
      <c r="J765" s="7">
        <v>89.99</v>
      </c>
      <c r="K765" s="8">
        <v>0.1</v>
      </c>
      <c r="L765" s="9">
        <v>80.991</v>
      </c>
      <c r="M765" s="9">
        <v>46</v>
      </c>
      <c r="N765" s="9">
        <v>34.991</v>
      </c>
    </row>
    <row r="766" spans="1:14">
      <c r="A766" t="s">
        <v>1221</v>
      </c>
      <c r="B766" s="6">
        <v>45701</v>
      </c>
      <c r="C766" t="s">
        <v>226</v>
      </c>
      <c r="D766" t="s">
        <v>79</v>
      </c>
      <c r="E766" t="s">
        <v>58</v>
      </c>
      <c r="F766" t="s">
        <v>53</v>
      </c>
      <c r="G766" t="s">
        <v>87</v>
      </c>
      <c r="H766" t="s">
        <v>48</v>
      </c>
      <c r="I766">
        <v>1</v>
      </c>
      <c r="J766" s="7">
        <v>89.99</v>
      </c>
      <c r="K766" s="8">
        <v>0.1</v>
      </c>
      <c r="L766" s="9">
        <v>80.991</v>
      </c>
      <c r="M766" s="9">
        <v>46</v>
      </c>
      <c r="N766" s="9">
        <v>34.991</v>
      </c>
    </row>
    <row r="767" spans="1:14">
      <c r="A767" t="s">
        <v>1222</v>
      </c>
      <c r="B767" s="6">
        <v>45996</v>
      </c>
      <c r="C767" t="s">
        <v>439</v>
      </c>
      <c r="D767" t="s">
        <v>78</v>
      </c>
      <c r="E767" t="s">
        <v>49</v>
      </c>
      <c r="F767" t="s">
        <v>56</v>
      </c>
      <c r="G767" t="s">
        <v>92</v>
      </c>
      <c r="H767" t="s">
        <v>57</v>
      </c>
      <c r="I767">
        <v>2</v>
      </c>
      <c r="J767" s="7">
        <v>22</v>
      </c>
      <c r="K767" s="8">
        <v>0</v>
      </c>
      <c r="L767" s="9">
        <v>44</v>
      </c>
      <c r="M767" s="9">
        <v>15</v>
      </c>
      <c r="N767" s="9">
        <v>29</v>
      </c>
    </row>
    <row r="768" spans="1:14">
      <c r="A768" t="s">
        <v>1223</v>
      </c>
      <c r="B768" s="6">
        <v>45717</v>
      </c>
      <c r="C768" t="s">
        <v>384</v>
      </c>
      <c r="D768" t="s">
        <v>78</v>
      </c>
      <c r="E768" t="s">
        <v>52</v>
      </c>
      <c r="F768" t="s">
        <v>59</v>
      </c>
      <c r="G768" t="s">
        <v>85</v>
      </c>
      <c r="H768" t="s">
        <v>48</v>
      </c>
      <c r="I768">
        <v>1</v>
      </c>
      <c r="J768" s="7">
        <v>59.99</v>
      </c>
      <c r="K768" s="8">
        <v>0</v>
      </c>
      <c r="L768" s="9">
        <v>59.99</v>
      </c>
      <c r="M768" s="9">
        <v>28</v>
      </c>
      <c r="N768" s="9">
        <v>31.990000000000002</v>
      </c>
    </row>
    <row r="769" spans="1:14">
      <c r="A769" t="s">
        <v>1224</v>
      </c>
      <c r="B769" s="6">
        <v>46007</v>
      </c>
      <c r="C769" t="s">
        <v>144</v>
      </c>
      <c r="D769" t="s">
        <v>79</v>
      </c>
      <c r="E769" t="s">
        <v>55</v>
      </c>
      <c r="F769" t="s">
        <v>59</v>
      </c>
      <c r="G769" t="s">
        <v>91</v>
      </c>
      <c r="H769" t="s">
        <v>57</v>
      </c>
      <c r="I769">
        <v>1</v>
      </c>
      <c r="J769" s="7">
        <v>35</v>
      </c>
      <c r="K769" s="8">
        <v>0</v>
      </c>
      <c r="L769" s="9">
        <v>35</v>
      </c>
      <c r="M769" s="9">
        <v>14</v>
      </c>
      <c r="N769" s="9">
        <v>21</v>
      </c>
    </row>
    <row r="770" spans="1:14">
      <c r="A770" t="s">
        <v>1225</v>
      </c>
      <c r="B770" s="6">
        <v>45853</v>
      </c>
      <c r="C770" t="s">
        <v>987</v>
      </c>
      <c r="D770" t="s">
        <v>78</v>
      </c>
      <c r="E770" t="s">
        <v>55</v>
      </c>
      <c r="F770" t="s">
        <v>59</v>
      </c>
      <c r="G770" t="s">
        <v>90</v>
      </c>
      <c r="H770" t="s">
        <v>54</v>
      </c>
      <c r="I770">
        <v>4</v>
      </c>
      <c r="J770" s="7">
        <v>29</v>
      </c>
      <c r="K770" s="8">
        <v>0.1</v>
      </c>
      <c r="L770" s="9">
        <v>104.4</v>
      </c>
      <c r="M770" s="9">
        <v>44</v>
      </c>
      <c r="N770" s="9">
        <v>60.400000000000006</v>
      </c>
    </row>
    <row r="771" spans="1:14">
      <c r="A771" t="s">
        <v>1226</v>
      </c>
      <c r="B771" s="6">
        <v>45970</v>
      </c>
      <c r="C771" t="s">
        <v>419</v>
      </c>
      <c r="D771" t="s">
        <v>78</v>
      </c>
      <c r="E771" t="s">
        <v>58</v>
      </c>
      <c r="F771" t="s">
        <v>59</v>
      </c>
      <c r="G771" t="s">
        <v>89</v>
      </c>
      <c r="H771" t="s">
        <v>51</v>
      </c>
      <c r="I771">
        <v>1</v>
      </c>
      <c r="J771" s="7">
        <v>38</v>
      </c>
      <c r="K771" s="8">
        <v>0</v>
      </c>
      <c r="L771" s="9">
        <v>38</v>
      </c>
      <c r="M771" s="9">
        <v>17</v>
      </c>
      <c r="N771" s="9">
        <v>21</v>
      </c>
    </row>
    <row r="772" spans="1:14">
      <c r="A772" t="s">
        <v>1227</v>
      </c>
      <c r="B772" s="6">
        <v>46003</v>
      </c>
      <c r="C772" t="s">
        <v>1228</v>
      </c>
      <c r="D772" t="s">
        <v>78</v>
      </c>
      <c r="E772" t="s">
        <v>52</v>
      </c>
      <c r="F772" t="s">
        <v>56</v>
      </c>
      <c r="G772" t="s">
        <v>88</v>
      </c>
      <c r="H772" t="s">
        <v>51</v>
      </c>
      <c r="I772">
        <v>2</v>
      </c>
      <c r="J772" s="7">
        <v>42</v>
      </c>
      <c r="K772" s="8">
        <v>0.05</v>
      </c>
      <c r="L772" s="9">
        <v>79.8</v>
      </c>
      <c r="M772" s="9">
        <v>38</v>
      </c>
      <c r="N772" s="9">
        <v>41.8</v>
      </c>
    </row>
    <row r="773" spans="1:14">
      <c r="A773" t="s">
        <v>1229</v>
      </c>
      <c r="B773" s="6">
        <v>45938</v>
      </c>
      <c r="C773" t="s">
        <v>327</v>
      </c>
      <c r="D773" t="s">
        <v>78</v>
      </c>
      <c r="E773" t="s">
        <v>49</v>
      </c>
      <c r="F773" t="s">
        <v>59</v>
      </c>
      <c r="G773" t="s">
        <v>85</v>
      </c>
      <c r="H773" t="s">
        <v>48</v>
      </c>
      <c r="I773">
        <v>2</v>
      </c>
      <c r="J773" s="7">
        <v>59.99</v>
      </c>
      <c r="K773" s="8">
        <v>0.1</v>
      </c>
      <c r="L773" s="9">
        <v>107.982</v>
      </c>
      <c r="M773" s="9">
        <v>56</v>
      </c>
      <c r="N773" s="9">
        <v>51.981999999999999</v>
      </c>
    </row>
    <row r="774" spans="1:14">
      <c r="A774" t="s">
        <v>1230</v>
      </c>
      <c r="B774" s="6">
        <v>45837</v>
      </c>
      <c r="C774" t="s">
        <v>1076</v>
      </c>
      <c r="D774" t="s">
        <v>78</v>
      </c>
      <c r="E774" t="s">
        <v>49</v>
      </c>
      <c r="F774" t="s">
        <v>50</v>
      </c>
      <c r="G774" t="s">
        <v>88</v>
      </c>
      <c r="H774" t="s">
        <v>51</v>
      </c>
      <c r="I774">
        <v>2</v>
      </c>
      <c r="J774" s="7">
        <v>42</v>
      </c>
      <c r="K774" s="8">
        <v>0</v>
      </c>
      <c r="L774" s="9">
        <v>84</v>
      </c>
      <c r="M774" s="9">
        <v>38</v>
      </c>
      <c r="N774" s="9">
        <v>46</v>
      </c>
    </row>
    <row r="775" spans="1:14">
      <c r="A775" t="s">
        <v>1231</v>
      </c>
      <c r="B775" s="6">
        <v>45962</v>
      </c>
      <c r="C775" t="s">
        <v>587</v>
      </c>
      <c r="D775" t="s">
        <v>79</v>
      </c>
      <c r="E775" t="s">
        <v>49</v>
      </c>
      <c r="F775" t="s">
        <v>60</v>
      </c>
      <c r="G775" t="s">
        <v>88</v>
      </c>
      <c r="H775" t="s">
        <v>51</v>
      </c>
      <c r="I775">
        <v>4</v>
      </c>
      <c r="J775" s="7">
        <v>42</v>
      </c>
      <c r="K775" s="8">
        <v>0.05</v>
      </c>
      <c r="L775" s="9">
        <v>159.6</v>
      </c>
      <c r="M775" s="9">
        <v>76</v>
      </c>
      <c r="N775" s="9">
        <v>83.6</v>
      </c>
    </row>
    <row r="776" spans="1:14">
      <c r="A776" t="s">
        <v>1232</v>
      </c>
      <c r="B776" s="6">
        <v>45724</v>
      </c>
      <c r="C776" t="s">
        <v>211</v>
      </c>
      <c r="D776" t="s">
        <v>78</v>
      </c>
      <c r="E776" t="s">
        <v>49</v>
      </c>
      <c r="F776" t="s">
        <v>53</v>
      </c>
      <c r="G776" t="s">
        <v>91</v>
      </c>
      <c r="H776" t="s">
        <v>57</v>
      </c>
      <c r="I776">
        <v>2</v>
      </c>
      <c r="J776" s="7">
        <v>35</v>
      </c>
      <c r="K776" s="8">
        <v>0.15</v>
      </c>
      <c r="L776" s="9">
        <v>59.5</v>
      </c>
      <c r="M776" s="9">
        <v>28</v>
      </c>
      <c r="N776" s="9">
        <v>31.5</v>
      </c>
    </row>
    <row r="777" spans="1:14">
      <c r="A777" t="s">
        <v>1233</v>
      </c>
      <c r="B777" s="6">
        <v>45787</v>
      </c>
      <c r="C777" t="s">
        <v>351</v>
      </c>
      <c r="D777" t="s">
        <v>79</v>
      </c>
      <c r="E777" t="s">
        <v>58</v>
      </c>
      <c r="F777" t="s">
        <v>56</v>
      </c>
      <c r="G777" t="s">
        <v>89</v>
      </c>
      <c r="H777" t="s">
        <v>51</v>
      </c>
      <c r="I777">
        <v>1</v>
      </c>
      <c r="J777" s="7">
        <v>38</v>
      </c>
      <c r="K777" s="8">
        <v>0.15</v>
      </c>
      <c r="L777" s="9">
        <v>32.299999999999997</v>
      </c>
      <c r="M777" s="9">
        <v>17</v>
      </c>
      <c r="N777" s="9">
        <v>15.299999999999997</v>
      </c>
    </row>
    <row r="778" spans="1:14">
      <c r="A778" t="s">
        <v>1234</v>
      </c>
      <c r="B778" s="6">
        <v>45789</v>
      </c>
      <c r="C778" t="s">
        <v>1235</v>
      </c>
      <c r="D778" t="s">
        <v>78</v>
      </c>
      <c r="E778" t="s">
        <v>55</v>
      </c>
      <c r="F778" t="s">
        <v>50</v>
      </c>
      <c r="G778" t="s">
        <v>87</v>
      </c>
      <c r="H778" t="s">
        <v>48</v>
      </c>
      <c r="I778">
        <v>2</v>
      </c>
      <c r="J778" s="7">
        <v>89.99</v>
      </c>
      <c r="K778" s="8">
        <v>0</v>
      </c>
      <c r="L778" s="9">
        <v>179.98</v>
      </c>
      <c r="M778" s="9">
        <v>92</v>
      </c>
      <c r="N778" s="9">
        <v>87.97999999999999</v>
      </c>
    </row>
    <row r="779" spans="1:14">
      <c r="A779" t="s">
        <v>1236</v>
      </c>
      <c r="B779" s="6">
        <v>45790</v>
      </c>
      <c r="C779" t="s">
        <v>739</v>
      </c>
      <c r="D779" t="s">
        <v>79</v>
      </c>
      <c r="E779" t="s">
        <v>58</v>
      </c>
      <c r="F779" t="s">
        <v>53</v>
      </c>
      <c r="G779" t="s">
        <v>89</v>
      </c>
      <c r="H779" t="s">
        <v>51</v>
      </c>
      <c r="I779">
        <v>1</v>
      </c>
      <c r="J779" s="7">
        <v>38</v>
      </c>
      <c r="K779" s="8">
        <v>0</v>
      </c>
      <c r="L779" s="9">
        <v>38</v>
      </c>
      <c r="M779" s="9">
        <v>17</v>
      </c>
      <c r="N779" s="9">
        <v>21</v>
      </c>
    </row>
    <row r="780" spans="1:14">
      <c r="A780" t="s">
        <v>1237</v>
      </c>
      <c r="B780" s="6">
        <v>45988</v>
      </c>
      <c r="C780" t="s">
        <v>413</v>
      </c>
      <c r="D780" t="s">
        <v>78</v>
      </c>
      <c r="E780" t="s">
        <v>49</v>
      </c>
      <c r="F780" t="s">
        <v>59</v>
      </c>
      <c r="G780" t="s">
        <v>92</v>
      </c>
      <c r="H780" t="s">
        <v>57</v>
      </c>
      <c r="I780">
        <v>1</v>
      </c>
      <c r="J780" s="7">
        <v>22</v>
      </c>
      <c r="K780" s="8">
        <v>0.05</v>
      </c>
      <c r="L780" s="9">
        <v>20.9</v>
      </c>
      <c r="M780" s="9">
        <v>7.5</v>
      </c>
      <c r="N780" s="9">
        <v>13.399999999999999</v>
      </c>
    </row>
    <row r="781" spans="1:14">
      <c r="A781" t="s">
        <v>1238</v>
      </c>
      <c r="B781" s="6">
        <v>45790</v>
      </c>
      <c r="C781" t="s">
        <v>612</v>
      </c>
      <c r="D781" t="s">
        <v>79</v>
      </c>
      <c r="E781" t="s">
        <v>49</v>
      </c>
      <c r="F781" t="s">
        <v>59</v>
      </c>
      <c r="G781" t="s">
        <v>86</v>
      </c>
      <c r="H781" t="s">
        <v>48</v>
      </c>
      <c r="I781">
        <v>1</v>
      </c>
      <c r="J781" s="7">
        <v>34.99</v>
      </c>
      <c r="K781" s="8">
        <v>0</v>
      </c>
      <c r="L781" s="9">
        <v>34.99</v>
      </c>
      <c r="M781" s="9">
        <v>16</v>
      </c>
      <c r="N781" s="9">
        <v>18.990000000000002</v>
      </c>
    </row>
    <row r="782" spans="1:14">
      <c r="A782" t="s">
        <v>1239</v>
      </c>
      <c r="B782" s="6">
        <v>45734</v>
      </c>
      <c r="C782" t="s">
        <v>1240</v>
      </c>
      <c r="D782" t="s">
        <v>78</v>
      </c>
      <c r="E782" t="s">
        <v>55</v>
      </c>
      <c r="F782" t="s">
        <v>59</v>
      </c>
      <c r="G782" t="s">
        <v>85</v>
      </c>
      <c r="H782" t="s">
        <v>48</v>
      </c>
      <c r="I782">
        <v>3</v>
      </c>
      <c r="J782" s="7">
        <v>59.99</v>
      </c>
      <c r="K782" s="8">
        <v>0.1</v>
      </c>
      <c r="L782" s="9">
        <v>161.97300000000001</v>
      </c>
      <c r="M782" s="9">
        <v>84</v>
      </c>
      <c r="N782" s="9">
        <v>77.973000000000013</v>
      </c>
    </row>
    <row r="783" spans="1:14">
      <c r="A783" t="s">
        <v>1241</v>
      </c>
      <c r="B783" s="6">
        <v>45952</v>
      </c>
      <c r="C783" t="s">
        <v>664</v>
      </c>
      <c r="D783" t="s">
        <v>78</v>
      </c>
      <c r="E783" t="s">
        <v>58</v>
      </c>
      <c r="F783" t="s">
        <v>50</v>
      </c>
      <c r="G783" t="s">
        <v>85</v>
      </c>
      <c r="H783" t="s">
        <v>48</v>
      </c>
      <c r="I783">
        <v>1</v>
      </c>
      <c r="J783" s="7">
        <v>59.99</v>
      </c>
      <c r="K783" s="8">
        <v>0.15</v>
      </c>
      <c r="L783" s="9">
        <v>50.991500000000002</v>
      </c>
      <c r="M783" s="9">
        <v>28</v>
      </c>
      <c r="N783" s="9">
        <v>22.991500000000002</v>
      </c>
    </row>
    <row r="784" spans="1:14">
      <c r="A784" t="s">
        <v>1242</v>
      </c>
      <c r="B784" s="6">
        <v>45934</v>
      </c>
      <c r="C784" t="s">
        <v>496</v>
      </c>
      <c r="D784" t="s">
        <v>79</v>
      </c>
      <c r="E784" t="s">
        <v>49</v>
      </c>
      <c r="F784" t="s">
        <v>60</v>
      </c>
      <c r="G784" t="s">
        <v>88</v>
      </c>
      <c r="H784" t="s">
        <v>51</v>
      </c>
      <c r="I784">
        <v>1</v>
      </c>
      <c r="J784" s="7">
        <v>42</v>
      </c>
      <c r="K784" s="8">
        <v>0.2</v>
      </c>
      <c r="L784" s="9">
        <v>33.6</v>
      </c>
      <c r="M784" s="9">
        <v>19</v>
      </c>
      <c r="N784" s="9">
        <v>14.600000000000001</v>
      </c>
    </row>
    <row r="785" spans="1:14">
      <c r="A785" t="s">
        <v>1243</v>
      </c>
      <c r="B785" s="6">
        <v>45932</v>
      </c>
      <c r="C785" t="s">
        <v>632</v>
      </c>
      <c r="D785" t="s">
        <v>78</v>
      </c>
      <c r="E785" t="s">
        <v>49</v>
      </c>
      <c r="F785" t="s">
        <v>56</v>
      </c>
      <c r="G785" t="s">
        <v>90</v>
      </c>
      <c r="H785" t="s">
        <v>54</v>
      </c>
      <c r="I785">
        <v>1</v>
      </c>
      <c r="J785" s="7">
        <v>29</v>
      </c>
      <c r="K785" s="8">
        <v>0</v>
      </c>
      <c r="L785" s="9">
        <v>29</v>
      </c>
      <c r="M785" s="9">
        <v>11</v>
      </c>
      <c r="N785" s="9">
        <v>18</v>
      </c>
    </row>
    <row r="786" spans="1:14">
      <c r="A786" t="s">
        <v>1244</v>
      </c>
      <c r="B786" s="6">
        <v>45931</v>
      </c>
      <c r="C786" t="s">
        <v>739</v>
      </c>
      <c r="D786" t="s">
        <v>79</v>
      </c>
      <c r="E786" t="s">
        <v>52</v>
      </c>
      <c r="F786" t="s">
        <v>60</v>
      </c>
      <c r="G786" t="s">
        <v>90</v>
      </c>
      <c r="H786" t="s">
        <v>54</v>
      </c>
      <c r="I786">
        <v>1</v>
      </c>
      <c r="J786" s="7">
        <v>29</v>
      </c>
      <c r="K786" s="8">
        <v>0</v>
      </c>
      <c r="L786" s="9">
        <v>29</v>
      </c>
      <c r="M786" s="9">
        <v>11</v>
      </c>
      <c r="N786" s="9">
        <v>18</v>
      </c>
    </row>
    <row r="787" spans="1:14">
      <c r="A787" t="s">
        <v>1245</v>
      </c>
      <c r="B787" s="6">
        <v>45678</v>
      </c>
      <c r="C787" t="s">
        <v>215</v>
      </c>
      <c r="D787" t="s">
        <v>78</v>
      </c>
      <c r="E787" t="s">
        <v>55</v>
      </c>
      <c r="F787" t="s">
        <v>59</v>
      </c>
      <c r="G787" t="s">
        <v>91</v>
      </c>
      <c r="H787" t="s">
        <v>57</v>
      </c>
      <c r="I787">
        <v>2</v>
      </c>
      <c r="J787" s="7">
        <v>35</v>
      </c>
      <c r="K787" s="8">
        <v>0</v>
      </c>
      <c r="L787" s="9">
        <v>70</v>
      </c>
      <c r="M787" s="9">
        <v>28</v>
      </c>
      <c r="N787" s="9">
        <v>42</v>
      </c>
    </row>
    <row r="788" spans="1:14">
      <c r="A788" t="s">
        <v>1246</v>
      </c>
      <c r="B788" s="6">
        <v>45701</v>
      </c>
      <c r="C788" t="s">
        <v>239</v>
      </c>
      <c r="D788" t="s">
        <v>78</v>
      </c>
      <c r="E788" t="s">
        <v>52</v>
      </c>
      <c r="F788" t="s">
        <v>59</v>
      </c>
      <c r="G788" t="s">
        <v>92</v>
      </c>
      <c r="H788" t="s">
        <v>57</v>
      </c>
      <c r="I788">
        <v>2</v>
      </c>
      <c r="J788" s="7">
        <v>22</v>
      </c>
      <c r="K788" s="8">
        <v>0</v>
      </c>
      <c r="L788" s="9">
        <v>44</v>
      </c>
      <c r="M788" s="9">
        <v>15</v>
      </c>
      <c r="N788" s="9">
        <v>29</v>
      </c>
    </row>
    <row r="789" spans="1:14">
      <c r="A789" t="s">
        <v>1247</v>
      </c>
      <c r="B789" s="6">
        <v>45857</v>
      </c>
      <c r="C789" t="s">
        <v>1248</v>
      </c>
      <c r="D789" t="s">
        <v>78</v>
      </c>
      <c r="E789" t="s">
        <v>49</v>
      </c>
      <c r="F789" t="s">
        <v>50</v>
      </c>
      <c r="G789" t="s">
        <v>86</v>
      </c>
      <c r="H789" t="s">
        <v>48</v>
      </c>
      <c r="I789">
        <v>2</v>
      </c>
      <c r="J789" s="7">
        <v>34.99</v>
      </c>
      <c r="K789" s="8">
        <v>0.05</v>
      </c>
      <c r="L789" s="9">
        <v>66.480999999999995</v>
      </c>
      <c r="M789" s="9">
        <v>32</v>
      </c>
      <c r="N789" s="9">
        <v>34.480999999999995</v>
      </c>
    </row>
    <row r="790" spans="1:14">
      <c r="A790" t="s">
        <v>1249</v>
      </c>
      <c r="B790" s="6">
        <v>45831</v>
      </c>
      <c r="C790" t="s">
        <v>376</v>
      </c>
      <c r="D790" t="s">
        <v>78</v>
      </c>
      <c r="E790" t="s">
        <v>58</v>
      </c>
      <c r="F790" t="s">
        <v>60</v>
      </c>
      <c r="G790" t="s">
        <v>85</v>
      </c>
      <c r="H790" t="s">
        <v>48</v>
      </c>
      <c r="I790">
        <v>1</v>
      </c>
      <c r="J790" s="7">
        <v>59.99</v>
      </c>
      <c r="K790" s="8">
        <v>0.1</v>
      </c>
      <c r="L790" s="9">
        <v>53.991</v>
      </c>
      <c r="M790" s="9">
        <v>28</v>
      </c>
      <c r="N790" s="9">
        <v>25.991</v>
      </c>
    </row>
    <row r="791" spans="1:14">
      <c r="A791" t="s">
        <v>1250</v>
      </c>
      <c r="B791" s="6">
        <v>45734</v>
      </c>
      <c r="C791" t="s">
        <v>301</v>
      </c>
      <c r="D791" t="s">
        <v>79</v>
      </c>
      <c r="E791" t="s">
        <v>49</v>
      </c>
      <c r="F791" t="s">
        <v>59</v>
      </c>
      <c r="G791" t="s">
        <v>94</v>
      </c>
      <c r="H791" t="s">
        <v>51</v>
      </c>
      <c r="I791">
        <v>1</v>
      </c>
      <c r="J791" s="7">
        <v>18</v>
      </c>
      <c r="K791" s="8">
        <v>0</v>
      </c>
      <c r="L791" s="9">
        <v>18</v>
      </c>
      <c r="M791" s="9">
        <v>5.5</v>
      </c>
      <c r="N791" s="9">
        <v>12.5</v>
      </c>
    </row>
    <row r="792" spans="1:14">
      <c r="A792" t="s">
        <v>1251</v>
      </c>
      <c r="B792" s="6">
        <v>45974</v>
      </c>
      <c r="C792" t="s">
        <v>366</v>
      </c>
      <c r="D792" t="s">
        <v>78</v>
      </c>
      <c r="E792" t="s">
        <v>49</v>
      </c>
      <c r="F792" t="s">
        <v>56</v>
      </c>
      <c r="G792" t="s">
        <v>85</v>
      </c>
      <c r="H792" t="s">
        <v>48</v>
      </c>
      <c r="I792">
        <v>1</v>
      </c>
      <c r="J792" s="7">
        <v>59.99</v>
      </c>
      <c r="K792" s="8">
        <v>0.05</v>
      </c>
      <c r="L792" s="9">
        <v>56.990499999999997</v>
      </c>
      <c r="M792" s="9">
        <v>28</v>
      </c>
      <c r="N792" s="9">
        <v>28.990499999999997</v>
      </c>
    </row>
    <row r="793" spans="1:14">
      <c r="A793" t="s">
        <v>1252</v>
      </c>
      <c r="B793" s="6">
        <v>45707</v>
      </c>
      <c r="C793" t="s">
        <v>215</v>
      </c>
      <c r="D793" t="s">
        <v>78</v>
      </c>
      <c r="E793" t="s">
        <v>49</v>
      </c>
      <c r="F793" t="s">
        <v>59</v>
      </c>
      <c r="G793" t="s">
        <v>92</v>
      </c>
      <c r="H793" t="s">
        <v>57</v>
      </c>
      <c r="I793">
        <v>2</v>
      </c>
      <c r="J793" s="7">
        <v>22</v>
      </c>
      <c r="K793" s="8">
        <v>0.1</v>
      </c>
      <c r="L793" s="9">
        <v>39.6</v>
      </c>
      <c r="M793" s="9">
        <v>15</v>
      </c>
      <c r="N793" s="9">
        <v>24.6</v>
      </c>
    </row>
    <row r="794" spans="1:14">
      <c r="A794" t="s">
        <v>1253</v>
      </c>
      <c r="B794" s="6">
        <v>45962</v>
      </c>
      <c r="C794" t="s">
        <v>140</v>
      </c>
      <c r="D794" t="s">
        <v>78</v>
      </c>
      <c r="E794" t="s">
        <v>58</v>
      </c>
      <c r="F794" t="s">
        <v>56</v>
      </c>
      <c r="G794" t="s">
        <v>94</v>
      </c>
      <c r="H794" t="s">
        <v>51</v>
      </c>
      <c r="I794">
        <v>1</v>
      </c>
      <c r="J794" s="7">
        <v>18</v>
      </c>
      <c r="K794" s="8">
        <v>0.1</v>
      </c>
      <c r="L794" s="9">
        <v>16.2</v>
      </c>
      <c r="M794" s="9">
        <v>5.5</v>
      </c>
      <c r="N794" s="9">
        <v>10.7</v>
      </c>
    </row>
    <row r="795" spans="1:14">
      <c r="A795" t="s">
        <v>1254</v>
      </c>
      <c r="B795" s="6">
        <v>45719</v>
      </c>
      <c r="C795" t="s">
        <v>215</v>
      </c>
      <c r="D795" t="s">
        <v>79</v>
      </c>
      <c r="E795" t="s">
        <v>49</v>
      </c>
      <c r="F795" t="s">
        <v>60</v>
      </c>
      <c r="G795" t="s">
        <v>94</v>
      </c>
      <c r="H795" t="s">
        <v>51</v>
      </c>
      <c r="I795">
        <v>1</v>
      </c>
      <c r="J795" s="7">
        <v>18</v>
      </c>
      <c r="K795" s="8">
        <v>0</v>
      </c>
      <c r="L795" s="9">
        <v>18</v>
      </c>
      <c r="M795" s="9">
        <v>5.5</v>
      </c>
      <c r="N795" s="9">
        <v>12.5</v>
      </c>
    </row>
    <row r="796" spans="1:14">
      <c r="A796" t="s">
        <v>1255</v>
      </c>
      <c r="B796" s="6">
        <v>45746</v>
      </c>
      <c r="C796" t="s">
        <v>719</v>
      </c>
      <c r="D796" t="s">
        <v>79</v>
      </c>
      <c r="E796" t="s">
        <v>55</v>
      </c>
      <c r="F796" t="s">
        <v>60</v>
      </c>
      <c r="G796" t="s">
        <v>90</v>
      </c>
      <c r="H796" t="s">
        <v>54</v>
      </c>
      <c r="I796">
        <v>1</v>
      </c>
      <c r="J796" s="7">
        <v>29</v>
      </c>
      <c r="K796" s="8">
        <v>0</v>
      </c>
      <c r="L796" s="9">
        <v>29</v>
      </c>
      <c r="M796" s="9">
        <v>11</v>
      </c>
      <c r="N796" s="9">
        <v>18</v>
      </c>
    </row>
    <row r="797" spans="1:14">
      <c r="A797" t="s">
        <v>1256</v>
      </c>
      <c r="B797" s="6">
        <v>45742</v>
      </c>
      <c r="C797" t="s">
        <v>366</v>
      </c>
      <c r="D797" t="s">
        <v>78</v>
      </c>
      <c r="E797" t="s">
        <v>58</v>
      </c>
      <c r="F797" t="s">
        <v>53</v>
      </c>
      <c r="G797" t="s">
        <v>92</v>
      </c>
      <c r="H797" t="s">
        <v>57</v>
      </c>
      <c r="I797">
        <v>1</v>
      </c>
      <c r="J797" s="7">
        <v>22</v>
      </c>
      <c r="K797" s="8">
        <v>0.05</v>
      </c>
      <c r="L797" s="9">
        <v>20.9</v>
      </c>
      <c r="M797" s="9">
        <v>7.5</v>
      </c>
      <c r="N797" s="9">
        <v>13.399999999999999</v>
      </c>
    </row>
    <row r="798" spans="1:14">
      <c r="A798" t="s">
        <v>1257</v>
      </c>
      <c r="B798" s="6">
        <v>45666</v>
      </c>
      <c r="C798" t="s">
        <v>273</v>
      </c>
      <c r="D798" t="s">
        <v>79</v>
      </c>
      <c r="E798" t="s">
        <v>55</v>
      </c>
      <c r="F798" t="s">
        <v>59</v>
      </c>
      <c r="G798" t="s">
        <v>92</v>
      </c>
      <c r="H798" t="s">
        <v>57</v>
      </c>
      <c r="I798">
        <v>1</v>
      </c>
      <c r="J798" s="7">
        <v>22</v>
      </c>
      <c r="K798" s="8">
        <v>0</v>
      </c>
      <c r="L798" s="9">
        <v>22</v>
      </c>
      <c r="M798" s="9">
        <v>7.5</v>
      </c>
      <c r="N798" s="9">
        <v>14.5</v>
      </c>
    </row>
    <row r="799" spans="1:14">
      <c r="A799" t="s">
        <v>1258</v>
      </c>
      <c r="B799" s="6">
        <v>46013</v>
      </c>
      <c r="C799" t="s">
        <v>206</v>
      </c>
      <c r="D799" t="s">
        <v>79</v>
      </c>
      <c r="E799" t="s">
        <v>58</v>
      </c>
      <c r="F799" t="s">
        <v>59</v>
      </c>
      <c r="G799" t="s">
        <v>92</v>
      </c>
      <c r="H799" t="s">
        <v>57</v>
      </c>
      <c r="I799">
        <v>2</v>
      </c>
      <c r="J799" s="7">
        <v>22</v>
      </c>
      <c r="K799" s="8">
        <v>0</v>
      </c>
      <c r="L799" s="9">
        <v>44</v>
      </c>
      <c r="M799" s="9">
        <v>15</v>
      </c>
      <c r="N799" s="9">
        <v>29</v>
      </c>
    </row>
    <row r="800" spans="1:14">
      <c r="A800" t="s">
        <v>1259</v>
      </c>
      <c r="B800" s="6">
        <v>45780</v>
      </c>
      <c r="C800" t="s">
        <v>903</v>
      </c>
      <c r="D800" t="s">
        <v>78</v>
      </c>
      <c r="E800" t="s">
        <v>49</v>
      </c>
      <c r="F800" t="s">
        <v>56</v>
      </c>
      <c r="G800" t="s">
        <v>87</v>
      </c>
      <c r="H800" t="s">
        <v>48</v>
      </c>
      <c r="I800">
        <v>2</v>
      </c>
      <c r="J800" s="7">
        <v>89.99</v>
      </c>
      <c r="K800" s="8">
        <v>0</v>
      </c>
      <c r="L800" s="9">
        <v>179.98</v>
      </c>
      <c r="M800" s="9">
        <v>92</v>
      </c>
      <c r="N800" s="9">
        <v>87.97999999999999</v>
      </c>
    </row>
    <row r="801" spans="1:14">
      <c r="A801" t="s">
        <v>1260</v>
      </c>
      <c r="B801" s="6">
        <v>45836</v>
      </c>
      <c r="C801" t="s">
        <v>769</v>
      </c>
      <c r="D801" t="s">
        <v>78</v>
      </c>
      <c r="E801" t="s">
        <v>49</v>
      </c>
      <c r="F801" t="s">
        <v>60</v>
      </c>
      <c r="G801" t="s">
        <v>91</v>
      </c>
      <c r="H801" t="s">
        <v>57</v>
      </c>
      <c r="I801">
        <v>1</v>
      </c>
      <c r="J801" s="7">
        <v>35</v>
      </c>
      <c r="K801" s="8">
        <v>0</v>
      </c>
      <c r="L801" s="9">
        <v>35</v>
      </c>
      <c r="M801" s="9">
        <v>14</v>
      </c>
      <c r="N801" s="9">
        <v>21</v>
      </c>
    </row>
    <row r="802" spans="1:14">
      <c r="A802" t="s">
        <v>1261</v>
      </c>
      <c r="B802" s="6">
        <v>45843</v>
      </c>
      <c r="C802" t="s">
        <v>321</v>
      </c>
      <c r="D802" t="s">
        <v>79</v>
      </c>
      <c r="E802" t="s">
        <v>55</v>
      </c>
      <c r="F802" t="s">
        <v>50</v>
      </c>
      <c r="G802" t="s">
        <v>93</v>
      </c>
      <c r="H802" t="s">
        <v>54</v>
      </c>
      <c r="I802">
        <v>1</v>
      </c>
      <c r="J802" s="7">
        <v>68</v>
      </c>
      <c r="K802" s="8">
        <v>0</v>
      </c>
      <c r="L802" s="9">
        <v>68</v>
      </c>
      <c r="M802" s="9">
        <v>31</v>
      </c>
      <c r="N802" s="9">
        <v>37</v>
      </c>
    </row>
    <row r="803" spans="1:14">
      <c r="A803" t="s">
        <v>1262</v>
      </c>
      <c r="B803" s="6">
        <v>45757</v>
      </c>
      <c r="C803" t="s">
        <v>796</v>
      </c>
      <c r="D803" t="s">
        <v>79</v>
      </c>
      <c r="E803" t="s">
        <v>58</v>
      </c>
      <c r="F803" t="s">
        <v>53</v>
      </c>
      <c r="G803" t="s">
        <v>86</v>
      </c>
      <c r="H803" t="s">
        <v>48</v>
      </c>
      <c r="I803">
        <v>2</v>
      </c>
      <c r="J803" s="7">
        <v>34.99</v>
      </c>
      <c r="K803" s="8">
        <v>0.1</v>
      </c>
      <c r="L803" s="9">
        <v>62.982000000000006</v>
      </c>
      <c r="M803" s="9">
        <v>32</v>
      </c>
      <c r="N803" s="9">
        <v>30.982000000000006</v>
      </c>
    </row>
    <row r="804" spans="1:14">
      <c r="A804" t="s">
        <v>1263</v>
      </c>
      <c r="B804" s="6">
        <v>45739</v>
      </c>
      <c r="C804" t="s">
        <v>408</v>
      </c>
      <c r="D804" t="s">
        <v>78</v>
      </c>
      <c r="E804" t="s">
        <v>55</v>
      </c>
      <c r="F804" t="s">
        <v>60</v>
      </c>
      <c r="G804" t="s">
        <v>85</v>
      </c>
      <c r="H804" t="s">
        <v>48</v>
      </c>
      <c r="I804">
        <v>1</v>
      </c>
      <c r="J804" s="7">
        <v>59.99</v>
      </c>
      <c r="K804" s="8">
        <v>0</v>
      </c>
      <c r="L804" s="9">
        <v>59.99</v>
      </c>
      <c r="M804" s="9">
        <v>28</v>
      </c>
      <c r="N804" s="9">
        <v>31.990000000000002</v>
      </c>
    </row>
    <row r="805" spans="1:14">
      <c r="A805" t="s">
        <v>1264</v>
      </c>
      <c r="B805" s="6">
        <v>45890</v>
      </c>
      <c r="C805" t="s">
        <v>528</v>
      </c>
      <c r="D805" t="s">
        <v>78</v>
      </c>
      <c r="E805" t="s">
        <v>49</v>
      </c>
      <c r="F805" t="s">
        <v>59</v>
      </c>
      <c r="G805" t="s">
        <v>85</v>
      </c>
      <c r="H805" t="s">
        <v>48</v>
      </c>
      <c r="I805">
        <v>1</v>
      </c>
      <c r="J805" s="7">
        <v>59.99</v>
      </c>
      <c r="K805" s="8">
        <v>0</v>
      </c>
      <c r="L805" s="9">
        <v>59.99</v>
      </c>
      <c r="M805" s="9">
        <v>28</v>
      </c>
      <c r="N805" s="9">
        <v>31.990000000000002</v>
      </c>
    </row>
    <row r="806" spans="1:14">
      <c r="A806" t="s">
        <v>1265</v>
      </c>
      <c r="B806" s="6">
        <v>45921</v>
      </c>
      <c r="C806" t="s">
        <v>1266</v>
      </c>
      <c r="D806" t="s">
        <v>78</v>
      </c>
      <c r="E806" t="s">
        <v>55</v>
      </c>
      <c r="F806" t="s">
        <v>59</v>
      </c>
      <c r="G806" t="s">
        <v>86</v>
      </c>
      <c r="H806" t="s">
        <v>48</v>
      </c>
      <c r="I806">
        <v>1</v>
      </c>
      <c r="J806" s="7">
        <v>34.99</v>
      </c>
      <c r="K806" s="8">
        <v>0</v>
      </c>
      <c r="L806" s="9">
        <v>34.99</v>
      </c>
      <c r="M806" s="9">
        <v>16</v>
      </c>
      <c r="N806" s="9">
        <v>18.990000000000002</v>
      </c>
    </row>
    <row r="807" spans="1:14">
      <c r="A807" t="s">
        <v>1267</v>
      </c>
      <c r="B807" s="6">
        <v>45759</v>
      </c>
      <c r="C807" t="s">
        <v>796</v>
      </c>
      <c r="D807" t="s">
        <v>78</v>
      </c>
      <c r="E807" t="s">
        <v>58</v>
      </c>
      <c r="F807" t="s">
        <v>53</v>
      </c>
      <c r="G807" t="s">
        <v>90</v>
      </c>
      <c r="H807" t="s">
        <v>54</v>
      </c>
      <c r="I807">
        <v>1</v>
      </c>
      <c r="J807" s="7">
        <v>29</v>
      </c>
      <c r="K807" s="8">
        <v>0</v>
      </c>
      <c r="L807" s="9">
        <v>29</v>
      </c>
      <c r="M807" s="9">
        <v>11</v>
      </c>
      <c r="N807" s="9">
        <v>18</v>
      </c>
    </row>
    <row r="808" spans="1:14">
      <c r="A808" t="s">
        <v>1268</v>
      </c>
      <c r="B808" s="6">
        <v>45850</v>
      </c>
      <c r="C808" t="s">
        <v>664</v>
      </c>
      <c r="D808" t="s">
        <v>78</v>
      </c>
      <c r="E808" t="s">
        <v>52</v>
      </c>
      <c r="F808" t="s">
        <v>53</v>
      </c>
      <c r="G808" t="s">
        <v>88</v>
      </c>
      <c r="H808" t="s">
        <v>51</v>
      </c>
      <c r="I808">
        <v>1</v>
      </c>
      <c r="J808" s="7">
        <v>42</v>
      </c>
      <c r="K808" s="8">
        <v>0.05</v>
      </c>
      <c r="L808" s="9">
        <v>39.9</v>
      </c>
      <c r="M808" s="9">
        <v>19</v>
      </c>
      <c r="N808" s="9">
        <v>20.9</v>
      </c>
    </row>
    <row r="809" spans="1:14">
      <c r="A809" t="s">
        <v>1269</v>
      </c>
      <c r="B809" s="6">
        <v>45970</v>
      </c>
      <c r="C809" t="s">
        <v>1007</v>
      </c>
      <c r="D809" t="s">
        <v>78</v>
      </c>
      <c r="E809" t="s">
        <v>55</v>
      </c>
      <c r="F809" t="s">
        <v>56</v>
      </c>
      <c r="G809" t="s">
        <v>92</v>
      </c>
      <c r="H809" t="s">
        <v>57</v>
      </c>
      <c r="I809">
        <v>1</v>
      </c>
      <c r="J809" s="7">
        <v>22</v>
      </c>
      <c r="K809" s="8">
        <v>0</v>
      </c>
      <c r="L809" s="9">
        <v>22</v>
      </c>
      <c r="M809" s="9">
        <v>7.5</v>
      </c>
      <c r="N809" s="9">
        <v>14.5</v>
      </c>
    </row>
    <row r="810" spans="1:14">
      <c r="A810" t="s">
        <v>1270</v>
      </c>
      <c r="B810" s="6">
        <v>45761</v>
      </c>
      <c r="C810" t="s">
        <v>293</v>
      </c>
      <c r="D810" t="s">
        <v>78</v>
      </c>
      <c r="E810" t="s">
        <v>49</v>
      </c>
      <c r="F810" t="s">
        <v>59</v>
      </c>
      <c r="G810" t="s">
        <v>90</v>
      </c>
      <c r="H810" t="s">
        <v>54</v>
      </c>
      <c r="I810">
        <v>1</v>
      </c>
      <c r="J810" s="7">
        <v>29</v>
      </c>
      <c r="K810" s="8">
        <v>0.1</v>
      </c>
      <c r="L810" s="9">
        <v>26.1</v>
      </c>
      <c r="M810" s="9">
        <v>11</v>
      </c>
      <c r="N810" s="9">
        <v>15.100000000000001</v>
      </c>
    </row>
    <row r="811" spans="1:14">
      <c r="A811" t="s">
        <v>1271</v>
      </c>
      <c r="B811" s="6">
        <v>45892</v>
      </c>
      <c r="C811" t="s">
        <v>840</v>
      </c>
      <c r="D811" t="s">
        <v>79</v>
      </c>
      <c r="E811" t="s">
        <v>52</v>
      </c>
      <c r="F811" t="s">
        <v>60</v>
      </c>
      <c r="G811" t="s">
        <v>91</v>
      </c>
      <c r="H811" t="s">
        <v>57</v>
      </c>
      <c r="I811">
        <v>1</v>
      </c>
      <c r="J811" s="7">
        <v>35</v>
      </c>
      <c r="K811" s="8">
        <v>0</v>
      </c>
      <c r="L811" s="9">
        <v>35</v>
      </c>
      <c r="M811" s="9">
        <v>14</v>
      </c>
      <c r="N811" s="9">
        <v>21</v>
      </c>
    </row>
    <row r="812" spans="1:14">
      <c r="A812" t="s">
        <v>1272</v>
      </c>
      <c r="B812" s="6">
        <v>45745</v>
      </c>
      <c r="C812" t="s">
        <v>826</v>
      </c>
      <c r="D812" t="s">
        <v>78</v>
      </c>
      <c r="E812" t="s">
        <v>58</v>
      </c>
      <c r="F812" t="s">
        <v>53</v>
      </c>
      <c r="G812" t="s">
        <v>94</v>
      </c>
      <c r="H812" t="s">
        <v>51</v>
      </c>
      <c r="I812">
        <v>4</v>
      </c>
      <c r="J812" s="7">
        <v>18</v>
      </c>
      <c r="K812" s="8">
        <v>0.15</v>
      </c>
      <c r="L812" s="9">
        <v>61.199999999999996</v>
      </c>
      <c r="M812" s="9">
        <v>22</v>
      </c>
      <c r="N812" s="9">
        <v>39.199999999999996</v>
      </c>
    </row>
    <row r="813" spans="1:14">
      <c r="A813" t="s">
        <v>1273</v>
      </c>
      <c r="B813" s="6">
        <v>45960</v>
      </c>
      <c r="C813" t="s">
        <v>330</v>
      </c>
      <c r="D813" t="s">
        <v>79</v>
      </c>
      <c r="E813" t="s">
        <v>52</v>
      </c>
      <c r="F813" t="s">
        <v>56</v>
      </c>
      <c r="G813" t="s">
        <v>92</v>
      </c>
      <c r="H813" t="s">
        <v>57</v>
      </c>
      <c r="I813">
        <v>2</v>
      </c>
      <c r="J813" s="7">
        <v>22</v>
      </c>
      <c r="K813" s="8">
        <v>0</v>
      </c>
      <c r="L813" s="9">
        <v>44</v>
      </c>
      <c r="M813" s="9">
        <v>15</v>
      </c>
      <c r="N813" s="9">
        <v>29</v>
      </c>
    </row>
    <row r="814" spans="1:14">
      <c r="A814" t="s">
        <v>1274</v>
      </c>
      <c r="B814" s="6">
        <v>45880</v>
      </c>
      <c r="C814" t="s">
        <v>430</v>
      </c>
      <c r="D814" t="s">
        <v>79</v>
      </c>
      <c r="E814" t="s">
        <v>49</v>
      </c>
      <c r="F814" t="s">
        <v>59</v>
      </c>
      <c r="G814" t="s">
        <v>94</v>
      </c>
      <c r="H814" t="s">
        <v>51</v>
      </c>
      <c r="I814">
        <v>1</v>
      </c>
      <c r="J814" s="7">
        <v>18</v>
      </c>
      <c r="K814" s="8">
        <v>0.15</v>
      </c>
      <c r="L814" s="9">
        <v>15.299999999999999</v>
      </c>
      <c r="M814" s="9">
        <v>5.5</v>
      </c>
      <c r="N814" s="9">
        <v>9.7999999999999989</v>
      </c>
    </row>
    <row r="815" spans="1:14">
      <c r="A815" t="s">
        <v>1275</v>
      </c>
      <c r="B815" s="6">
        <v>45680</v>
      </c>
      <c r="C815" t="s">
        <v>1208</v>
      </c>
      <c r="D815" t="s">
        <v>78</v>
      </c>
      <c r="E815" t="s">
        <v>58</v>
      </c>
      <c r="F815" t="s">
        <v>59</v>
      </c>
      <c r="G815" t="s">
        <v>85</v>
      </c>
      <c r="H815" t="s">
        <v>48</v>
      </c>
      <c r="I815">
        <v>4</v>
      </c>
      <c r="J815" s="7">
        <v>59.99</v>
      </c>
      <c r="K815" s="8">
        <v>0.1</v>
      </c>
      <c r="L815" s="9">
        <v>215.964</v>
      </c>
      <c r="M815" s="9">
        <v>112</v>
      </c>
      <c r="N815" s="9">
        <v>103.964</v>
      </c>
    </row>
    <row r="816" spans="1:14">
      <c r="A816" t="s">
        <v>1276</v>
      </c>
      <c r="B816" s="6">
        <v>46014</v>
      </c>
      <c r="C816" t="s">
        <v>761</v>
      </c>
      <c r="D816" t="s">
        <v>78</v>
      </c>
      <c r="E816" t="s">
        <v>58</v>
      </c>
      <c r="F816" t="s">
        <v>53</v>
      </c>
      <c r="G816" t="s">
        <v>86</v>
      </c>
      <c r="H816" t="s">
        <v>48</v>
      </c>
      <c r="I816">
        <v>1</v>
      </c>
      <c r="J816" s="7">
        <v>34.99</v>
      </c>
      <c r="K816" s="8">
        <v>0</v>
      </c>
      <c r="L816" s="9">
        <v>34.99</v>
      </c>
      <c r="M816" s="9">
        <v>16</v>
      </c>
      <c r="N816" s="9">
        <v>18.990000000000002</v>
      </c>
    </row>
    <row r="817" spans="1:14">
      <c r="A817" t="s">
        <v>1277</v>
      </c>
      <c r="B817" s="6">
        <v>45725</v>
      </c>
      <c r="C817" t="s">
        <v>581</v>
      </c>
      <c r="D817" t="s">
        <v>78</v>
      </c>
      <c r="E817" t="s">
        <v>55</v>
      </c>
      <c r="F817" t="s">
        <v>53</v>
      </c>
      <c r="G817" t="s">
        <v>90</v>
      </c>
      <c r="H817" t="s">
        <v>54</v>
      </c>
      <c r="I817">
        <v>1</v>
      </c>
      <c r="J817" s="7">
        <v>29</v>
      </c>
      <c r="K817" s="8">
        <v>0.05</v>
      </c>
      <c r="L817" s="9">
        <v>27.549999999999997</v>
      </c>
      <c r="M817" s="9">
        <v>11</v>
      </c>
      <c r="N817" s="9">
        <v>16.549999999999997</v>
      </c>
    </row>
    <row r="818" spans="1:14">
      <c r="A818" t="s">
        <v>1278</v>
      </c>
      <c r="B818" s="6">
        <v>46018</v>
      </c>
      <c r="C818" t="s">
        <v>592</v>
      </c>
      <c r="D818" t="s">
        <v>78</v>
      </c>
      <c r="E818" t="s">
        <v>58</v>
      </c>
      <c r="F818" t="s">
        <v>53</v>
      </c>
      <c r="G818" t="s">
        <v>92</v>
      </c>
      <c r="H818" t="s">
        <v>57</v>
      </c>
      <c r="I818">
        <v>3</v>
      </c>
      <c r="J818" s="7">
        <v>22</v>
      </c>
      <c r="K818" s="8">
        <v>0.1</v>
      </c>
      <c r="L818" s="9">
        <v>59.4</v>
      </c>
      <c r="M818" s="9">
        <v>22.5</v>
      </c>
      <c r="N818" s="9">
        <v>36.9</v>
      </c>
    </row>
    <row r="819" spans="1:14">
      <c r="A819" t="s">
        <v>1279</v>
      </c>
      <c r="B819" s="6">
        <v>46018</v>
      </c>
      <c r="C819" t="s">
        <v>245</v>
      </c>
      <c r="D819" t="s">
        <v>79</v>
      </c>
      <c r="E819" t="s">
        <v>49</v>
      </c>
      <c r="F819" t="s">
        <v>59</v>
      </c>
      <c r="G819" t="s">
        <v>91</v>
      </c>
      <c r="H819" t="s">
        <v>57</v>
      </c>
      <c r="I819">
        <v>1</v>
      </c>
      <c r="J819" s="7">
        <v>35</v>
      </c>
      <c r="K819" s="8">
        <v>0.15</v>
      </c>
      <c r="L819" s="9">
        <v>29.75</v>
      </c>
      <c r="M819" s="9">
        <v>14</v>
      </c>
      <c r="N819" s="9">
        <v>15.75</v>
      </c>
    </row>
    <row r="820" spans="1:14">
      <c r="A820" t="s">
        <v>1280</v>
      </c>
      <c r="B820" s="6">
        <v>46011</v>
      </c>
      <c r="C820" t="s">
        <v>479</v>
      </c>
      <c r="D820" t="s">
        <v>79</v>
      </c>
      <c r="E820" t="s">
        <v>52</v>
      </c>
      <c r="F820" t="s">
        <v>50</v>
      </c>
      <c r="G820" t="s">
        <v>90</v>
      </c>
      <c r="H820" t="s">
        <v>54</v>
      </c>
      <c r="I820">
        <v>1</v>
      </c>
      <c r="J820" s="7">
        <v>29</v>
      </c>
      <c r="K820" s="8">
        <v>0</v>
      </c>
      <c r="L820" s="9">
        <v>29</v>
      </c>
      <c r="M820" s="9">
        <v>11</v>
      </c>
      <c r="N820" s="9">
        <v>18</v>
      </c>
    </row>
    <row r="821" spans="1:14">
      <c r="A821" t="s">
        <v>1281</v>
      </c>
      <c r="B821" s="6">
        <v>45975</v>
      </c>
      <c r="C821" t="s">
        <v>519</v>
      </c>
      <c r="D821" t="s">
        <v>79</v>
      </c>
      <c r="E821" t="s">
        <v>49</v>
      </c>
      <c r="F821" t="s">
        <v>50</v>
      </c>
      <c r="G821" t="s">
        <v>90</v>
      </c>
      <c r="H821" t="s">
        <v>54</v>
      </c>
      <c r="I821">
        <v>2</v>
      </c>
      <c r="J821" s="7">
        <v>29</v>
      </c>
      <c r="K821" s="8">
        <v>0</v>
      </c>
      <c r="L821" s="9">
        <v>58</v>
      </c>
      <c r="M821" s="9">
        <v>22</v>
      </c>
      <c r="N821" s="9">
        <v>36</v>
      </c>
    </row>
    <row r="822" spans="1:14">
      <c r="A822" t="s">
        <v>1282</v>
      </c>
      <c r="B822" s="6">
        <v>45854</v>
      </c>
      <c r="C822" t="s">
        <v>632</v>
      </c>
      <c r="D822" t="s">
        <v>78</v>
      </c>
      <c r="E822" t="s">
        <v>49</v>
      </c>
      <c r="F822" t="s">
        <v>60</v>
      </c>
      <c r="G822" t="s">
        <v>90</v>
      </c>
      <c r="H822" t="s">
        <v>54</v>
      </c>
      <c r="I822">
        <v>1</v>
      </c>
      <c r="J822" s="7">
        <v>29</v>
      </c>
      <c r="K822" s="8">
        <v>0</v>
      </c>
      <c r="L822" s="9">
        <v>29</v>
      </c>
      <c r="M822" s="9">
        <v>11</v>
      </c>
      <c r="N822" s="9">
        <v>18</v>
      </c>
    </row>
    <row r="823" spans="1:14">
      <c r="A823" t="s">
        <v>1283</v>
      </c>
      <c r="B823" s="6">
        <v>46021</v>
      </c>
      <c r="C823" t="s">
        <v>1284</v>
      </c>
      <c r="D823" t="s">
        <v>78</v>
      </c>
      <c r="E823" t="s">
        <v>58</v>
      </c>
      <c r="F823" t="s">
        <v>60</v>
      </c>
      <c r="G823" t="s">
        <v>88</v>
      </c>
      <c r="H823" t="s">
        <v>51</v>
      </c>
      <c r="I823">
        <v>1</v>
      </c>
      <c r="J823" s="7">
        <v>42</v>
      </c>
      <c r="K823" s="8">
        <v>0</v>
      </c>
      <c r="L823" s="9">
        <v>42</v>
      </c>
      <c r="M823" s="9">
        <v>19</v>
      </c>
      <c r="N823" s="9">
        <v>23</v>
      </c>
    </row>
    <row r="824" spans="1:14">
      <c r="A824" t="s">
        <v>1285</v>
      </c>
      <c r="B824" s="6">
        <v>46017</v>
      </c>
      <c r="C824" t="s">
        <v>925</v>
      </c>
      <c r="D824" t="s">
        <v>78</v>
      </c>
      <c r="E824" t="s">
        <v>58</v>
      </c>
      <c r="F824" t="s">
        <v>56</v>
      </c>
      <c r="G824" t="s">
        <v>88</v>
      </c>
      <c r="H824" t="s">
        <v>51</v>
      </c>
      <c r="I824">
        <v>2</v>
      </c>
      <c r="J824" s="7">
        <v>42</v>
      </c>
      <c r="K824" s="8">
        <v>0.1</v>
      </c>
      <c r="L824" s="9">
        <v>75.600000000000009</v>
      </c>
      <c r="M824" s="9">
        <v>38</v>
      </c>
      <c r="N824" s="9">
        <v>37.600000000000009</v>
      </c>
    </row>
    <row r="825" spans="1:14">
      <c r="A825" t="s">
        <v>1286</v>
      </c>
      <c r="B825" s="6">
        <v>45685</v>
      </c>
      <c r="C825" t="s">
        <v>524</v>
      </c>
      <c r="D825" t="s">
        <v>78</v>
      </c>
      <c r="E825" t="s">
        <v>58</v>
      </c>
      <c r="F825" t="s">
        <v>60</v>
      </c>
      <c r="G825" t="s">
        <v>86</v>
      </c>
      <c r="H825" t="s">
        <v>48</v>
      </c>
      <c r="I825">
        <v>1</v>
      </c>
      <c r="J825" s="7">
        <v>34.99</v>
      </c>
      <c r="K825" s="8">
        <v>0</v>
      </c>
      <c r="L825" s="9">
        <v>34.99</v>
      </c>
      <c r="M825" s="9">
        <v>16</v>
      </c>
      <c r="N825" s="9">
        <v>18.990000000000002</v>
      </c>
    </row>
    <row r="826" spans="1:14">
      <c r="A826" t="s">
        <v>1287</v>
      </c>
      <c r="B826" s="6">
        <v>46005</v>
      </c>
      <c r="C826" t="s">
        <v>614</v>
      </c>
      <c r="D826" t="s">
        <v>78</v>
      </c>
      <c r="E826" t="s">
        <v>49</v>
      </c>
      <c r="F826" t="s">
        <v>53</v>
      </c>
      <c r="G826" t="s">
        <v>93</v>
      </c>
      <c r="H826" t="s">
        <v>54</v>
      </c>
      <c r="I826">
        <v>3</v>
      </c>
      <c r="J826" s="7">
        <v>68</v>
      </c>
      <c r="K826" s="8">
        <v>0</v>
      </c>
      <c r="L826" s="9">
        <v>204</v>
      </c>
      <c r="M826" s="9">
        <v>93</v>
      </c>
      <c r="N826" s="9">
        <v>111</v>
      </c>
    </row>
    <row r="827" spans="1:14">
      <c r="A827" t="s">
        <v>1288</v>
      </c>
      <c r="B827" s="6">
        <v>45892</v>
      </c>
      <c r="C827" t="s">
        <v>362</v>
      </c>
      <c r="D827" t="s">
        <v>78</v>
      </c>
      <c r="E827" t="s">
        <v>49</v>
      </c>
      <c r="F827" t="s">
        <v>53</v>
      </c>
      <c r="G827" t="s">
        <v>86</v>
      </c>
      <c r="H827" t="s">
        <v>48</v>
      </c>
      <c r="I827">
        <v>1</v>
      </c>
      <c r="J827" s="7">
        <v>34.99</v>
      </c>
      <c r="K827" s="8">
        <v>0.15</v>
      </c>
      <c r="L827" s="9">
        <v>29.741500000000002</v>
      </c>
      <c r="M827" s="9">
        <v>16</v>
      </c>
      <c r="N827" s="9">
        <v>13.741500000000002</v>
      </c>
    </row>
    <row r="828" spans="1:14">
      <c r="A828" t="s">
        <v>1289</v>
      </c>
      <c r="B828" s="6">
        <v>45799</v>
      </c>
      <c r="C828" t="s">
        <v>206</v>
      </c>
      <c r="D828" t="s">
        <v>79</v>
      </c>
      <c r="E828" t="s">
        <v>49</v>
      </c>
      <c r="F828" t="s">
        <v>56</v>
      </c>
      <c r="G828" t="s">
        <v>86</v>
      </c>
      <c r="H828" t="s">
        <v>48</v>
      </c>
      <c r="I828">
        <v>2</v>
      </c>
      <c r="J828" s="7">
        <v>34.99</v>
      </c>
      <c r="K828" s="8">
        <v>0.05</v>
      </c>
      <c r="L828" s="9">
        <v>66.480999999999995</v>
      </c>
      <c r="M828" s="9">
        <v>32</v>
      </c>
      <c r="N828" s="9">
        <v>34.480999999999995</v>
      </c>
    </row>
    <row r="829" spans="1:14">
      <c r="A829" t="s">
        <v>1290</v>
      </c>
      <c r="B829" s="6">
        <v>45871</v>
      </c>
      <c r="C829" t="s">
        <v>140</v>
      </c>
      <c r="D829" t="s">
        <v>78</v>
      </c>
      <c r="E829" t="s">
        <v>49</v>
      </c>
      <c r="F829" t="s">
        <v>56</v>
      </c>
      <c r="G829" t="s">
        <v>93</v>
      </c>
      <c r="H829" t="s">
        <v>54</v>
      </c>
      <c r="I829">
        <v>3</v>
      </c>
      <c r="J829" s="7">
        <v>68</v>
      </c>
      <c r="K829" s="8">
        <v>0</v>
      </c>
      <c r="L829" s="9">
        <v>204</v>
      </c>
      <c r="M829" s="9">
        <v>93</v>
      </c>
      <c r="N829" s="9">
        <v>111</v>
      </c>
    </row>
    <row r="830" spans="1:14">
      <c r="A830" t="s">
        <v>1291</v>
      </c>
      <c r="B830" s="6">
        <v>45754</v>
      </c>
      <c r="C830" t="s">
        <v>206</v>
      </c>
      <c r="D830" t="s">
        <v>79</v>
      </c>
      <c r="E830" t="s">
        <v>55</v>
      </c>
      <c r="F830" t="s">
        <v>59</v>
      </c>
      <c r="G830" t="s">
        <v>86</v>
      </c>
      <c r="H830" t="s">
        <v>48</v>
      </c>
      <c r="I830">
        <v>1</v>
      </c>
      <c r="J830" s="7">
        <v>34.99</v>
      </c>
      <c r="K830" s="8">
        <v>0.1</v>
      </c>
      <c r="L830" s="9">
        <v>31.491000000000003</v>
      </c>
      <c r="M830" s="9">
        <v>16</v>
      </c>
      <c r="N830" s="9">
        <v>15.491000000000003</v>
      </c>
    </row>
    <row r="831" spans="1:14">
      <c r="A831" t="s">
        <v>1292</v>
      </c>
      <c r="B831" s="6">
        <v>45954</v>
      </c>
      <c r="C831" t="s">
        <v>427</v>
      </c>
      <c r="D831" t="s">
        <v>78</v>
      </c>
      <c r="E831" t="s">
        <v>58</v>
      </c>
      <c r="F831" t="s">
        <v>59</v>
      </c>
      <c r="G831" t="s">
        <v>90</v>
      </c>
      <c r="H831" t="s">
        <v>54</v>
      </c>
      <c r="I831">
        <v>2</v>
      </c>
      <c r="J831" s="7">
        <v>29</v>
      </c>
      <c r="K831" s="8">
        <v>0.1</v>
      </c>
      <c r="L831" s="9">
        <v>52.2</v>
      </c>
      <c r="M831" s="9">
        <v>22</v>
      </c>
      <c r="N831" s="9">
        <v>30.200000000000003</v>
      </c>
    </row>
    <row r="832" spans="1:14">
      <c r="A832" t="s">
        <v>1293</v>
      </c>
      <c r="B832" s="6">
        <v>45813</v>
      </c>
      <c r="C832" t="s">
        <v>206</v>
      </c>
      <c r="D832" t="s">
        <v>78</v>
      </c>
      <c r="E832" t="s">
        <v>52</v>
      </c>
      <c r="F832" t="s">
        <v>59</v>
      </c>
      <c r="G832" t="s">
        <v>94</v>
      </c>
      <c r="H832" t="s">
        <v>51</v>
      </c>
      <c r="I832">
        <v>1</v>
      </c>
      <c r="J832" s="7">
        <v>18</v>
      </c>
      <c r="K832" s="8">
        <v>0.1</v>
      </c>
      <c r="L832" s="9">
        <v>16.2</v>
      </c>
      <c r="M832" s="9">
        <v>5.5</v>
      </c>
      <c r="N832" s="9">
        <v>10.7</v>
      </c>
    </row>
    <row r="833" spans="1:14">
      <c r="A833" t="s">
        <v>1294</v>
      </c>
      <c r="B833" s="6">
        <v>45848</v>
      </c>
      <c r="C833" t="s">
        <v>349</v>
      </c>
      <c r="D833" t="s">
        <v>78</v>
      </c>
      <c r="E833" t="s">
        <v>52</v>
      </c>
      <c r="F833" t="s">
        <v>60</v>
      </c>
      <c r="G833" t="s">
        <v>89</v>
      </c>
      <c r="H833" t="s">
        <v>51</v>
      </c>
      <c r="I833">
        <v>2</v>
      </c>
      <c r="J833" s="7">
        <v>38</v>
      </c>
      <c r="K833" s="8">
        <v>0</v>
      </c>
      <c r="L833" s="9">
        <v>76</v>
      </c>
      <c r="M833" s="9">
        <v>34</v>
      </c>
      <c r="N833" s="9">
        <v>42</v>
      </c>
    </row>
    <row r="834" spans="1:14">
      <c r="A834" t="s">
        <v>1295</v>
      </c>
      <c r="B834" s="6">
        <v>45740</v>
      </c>
      <c r="C834" t="s">
        <v>362</v>
      </c>
      <c r="D834" t="s">
        <v>79</v>
      </c>
      <c r="E834" t="s">
        <v>52</v>
      </c>
      <c r="F834" t="s">
        <v>53</v>
      </c>
      <c r="G834" t="s">
        <v>93</v>
      </c>
      <c r="H834" t="s">
        <v>54</v>
      </c>
      <c r="I834">
        <v>1</v>
      </c>
      <c r="J834" s="7">
        <v>68</v>
      </c>
      <c r="K834" s="8">
        <v>0.2</v>
      </c>
      <c r="L834" s="9">
        <v>54.400000000000006</v>
      </c>
      <c r="M834" s="9">
        <v>31</v>
      </c>
      <c r="N834" s="9">
        <v>23.400000000000006</v>
      </c>
    </row>
    <row r="835" spans="1:14">
      <c r="A835" t="s">
        <v>1296</v>
      </c>
      <c r="B835" s="6">
        <v>45717</v>
      </c>
      <c r="C835" t="s">
        <v>289</v>
      </c>
      <c r="D835" t="s">
        <v>78</v>
      </c>
      <c r="E835" t="s">
        <v>52</v>
      </c>
      <c r="F835" t="s">
        <v>53</v>
      </c>
      <c r="G835" t="s">
        <v>85</v>
      </c>
      <c r="H835" t="s">
        <v>48</v>
      </c>
      <c r="I835">
        <v>4</v>
      </c>
      <c r="J835" s="7">
        <v>59.99</v>
      </c>
      <c r="K835" s="8">
        <v>0.05</v>
      </c>
      <c r="L835" s="9">
        <v>227.96199999999999</v>
      </c>
      <c r="M835" s="9">
        <v>112</v>
      </c>
      <c r="N835" s="9">
        <v>115.96199999999999</v>
      </c>
    </row>
    <row r="836" spans="1:14">
      <c r="A836" t="s">
        <v>1297</v>
      </c>
      <c r="B836" s="6">
        <v>45945</v>
      </c>
      <c r="C836" t="s">
        <v>1298</v>
      </c>
      <c r="D836" t="s">
        <v>78</v>
      </c>
      <c r="E836" t="s">
        <v>52</v>
      </c>
      <c r="F836" t="s">
        <v>60</v>
      </c>
      <c r="G836" t="s">
        <v>85</v>
      </c>
      <c r="H836" t="s">
        <v>48</v>
      </c>
      <c r="I836">
        <v>2</v>
      </c>
      <c r="J836" s="7">
        <v>59.99</v>
      </c>
      <c r="K836" s="8">
        <v>0.2</v>
      </c>
      <c r="L836" s="9">
        <v>95.984000000000009</v>
      </c>
      <c r="M836" s="9">
        <v>56</v>
      </c>
      <c r="N836" s="9">
        <v>39.984000000000009</v>
      </c>
    </row>
    <row r="837" spans="1:14">
      <c r="A837" t="s">
        <v>1299</v>
      </c>
      <c r="B837" s="6">
        <v>45812</v>
      </c>
      <c r="C837" t="s">
        <v>443</v>
      </c>
      <c r="D837" t="s">
        <v>78</v>
      </c>
      <c r="E837" t="s">
        <v>58</v>
      </c>
      <c r="F837" t="s">
        <v>56</v>
      </c>
      <c r="G837" t="s">
        <v>86</v>
      </c>
      <c r="H837" t="s">
        <v>48</v>
      </c>
      <c r="I837">
        <v>3</v>
      </c>
      <c r="J837" s="7">
        <v>34.99</v>
      </c>
      <c r="K837" s="8">
        <v>0</v>
      </c>
      <c r="L837" s="9">
        <v>104.97</v>
      </c>
      <c r="M837" s="9">
        <v>48</v>
      </c>
      <c r="N837" s="9">
        <v>56.97</v>
      </c>
    </row>
    <row r="838" spans="1:14">
      <c r="A838" t="s">
        <v>1300</v>
      </c>
      <c r="B838" s="6">
        <v>45737</v>
      </c>
      <c r="C838" t="s">
        <v>632</v>
      </c>
      <c r="D838" t="s">
        <v>78</v>
      </c>
      <c r="E838" t="s">
        <v>55</v>
      </c>
      <c r="F838" t="s">
        <v>59</v>
      </c>
      <c r="G838" t="s">
        <v>85</v>
      </c>
      <c r="H838" t="s">
        <v>48</v>
      </c>
      <c r="I838">
        <v>4</v>
      </c>
      <c r="J838" s="7">
        <v>59.99</v>
      </c>
      <c r="K838" s="8">
        <v>0.05</v>
      </c>
      <c r="L838" s="9">
        <v>227.96199999999999</v>
      </c>
      <c r="M838" s="9">
        <v>112</v>
      </c>
      <c r="N838" s="9">
        <v>115.96199999999999</v>
      </c>
    </row>
    <row r="839" spans="1:14">
      <c r="A839" t="s">
        <v>1301</v>
      </c>
      <c r="B839" s="6">
        <v>45806</v>
      </c>
      <c r="C839" t="s">
        <v>641</v>
      </c>
      <c r="D839" t="s">
        <v>79</v>
      </c>
      <c r="E839" t="s">
        <v>55</v>
      </c>
      <c r="F839" t="s">
        <v>50</v>
      </c>
      <c r="G839" t="s">
        <v>94</v>
      </c>
      <c r="H839" t="s">
        <v>51</v>
      </c>
      <c r="I839">
        <v>2</v>
      </c>
      <c r="J839" s="7">
        <v>18</v>
      </c>
      <c r="K839" s="8">
        <v>0.1</v>
      </c>
      <c r="L839" s="9">
        <v>32.4</v>
      </c>
      <c r="M839" s="9">
        <v>11</v>
      </c>
      <c r="N839" s="9">
        <v>21.4</v>
      </c>
    </row>
    <row r="840" spans="1:14">
      <c r="A840" t="s">
        <v>1302</v>
      </c>
      <c r="B840" s="6">
        <v>45903</v>
      </c>
      <c r="C840" t="s">
        <v>1303</v>
      </c>
      <c r="D840" t="s">
        <v>78</v>
      </c>
      <c r="E840" t="s">
        <v>52</v>
      </c>
      <c r="F840" t="s">
        <v>59</v>
      </c>
      <c r="G840" t="s">
        <v>85</v>
      </c>
      <c r="H840" t="s">
        <v>48</v>
      </c>
      <c r="I840">
        <v>1</v>
      </c>
      <c r="J840" s="7">
        <v>59.99</v>
      </c>
      <c r="K840" s="8">
        <v>0.05</v>
      </c>
      <c r="L840" s="9">
        <v>56.990499999999997</v>
      </c>
      <c r="M840" s="9">
        <v>28</v>
      </c>
      <c r="N840" s="9">
        <v>28.990499999999997</v>
      </c>
    </row>
    <row r="841" spans="1:14">
      <c r="A841" t="s">
        <v>1304</v>
      </c>
      <c r="B841" s="6">
        <v>45840</v>
      </c>
      <c r="C841" t="s">
        <v>1305</v>
      </c>
      <c r="D841" t="s">
        <v>78</v>
      </c>
      <c r="E841" t="s">
        <v>52</v>
      </c>
      <c r="F841" t="s">
        <v>56</v>
      </c>
      <c r="G841" t="s">
        <v>86</v>
      </c>
      <c r="H841" t="s">
        <v>48</v>
      </c>
      <c r="I841">
        <v>1</v>
      </c>
      <c r="J841" s="7">
        <v>34.99</v>
      </c>
      <c r="K841" s="8">
        <v>0.05</v>
      </c>
      <c r="L841" s="9">
        <v>33.240499999999997</v>
      </c>
      <c r="M841" s="9">
        <v>16</v>
      </c>
      <c r="N841" s="9">
        <v>17.240499999999997</v>
      </c>
    </row>
    <row r="842" spans="1:14">
      <c r="A842" t="s">
        <v>1306</v>
      </c>
      <c r="B842" s="6">
        <v>45758</v>
      </c>
      <c r="C842" t="s">
        <v>295</v>
      </c>
      <c r="D842" t="s">
        <v>79</v>
      </c>
      <c r="E842" t="s">
        <v>58</v>
      </c>
      <c r="F842" t="s">
        <v>53</v>
      </c>
      <c r="G842" t="s">
        <v>85</v>
      </c>
      <c r="H842" t="s">
        <v>48</v>
      </c>
      <c r="I842">
        <v>1</v>
      </c>
      <c r="J842" s="7">
        <v>59.99</v>
      </c>
      <c r="K842" s="8">
        <v>0.15</v>
      </c>
      <c r="L842" s="9">
        <v>50.991500000000002</v>
      </c>
      <c r="M842" s="9">
        <v>28</v>
      </c>
      <c r="N842" s="9">
        <v>22.991500000000002</v>
      </c>
    </row>
    <row r="843" spans="1:14">
      <c r="A843" t="s">
        <v>1307</v>
      </c>
      <c r="B843" s="6">
        <v>45909</v>
      </c>
      <c r="C843" t="s">
        <v>754</v>
      </c>
      <c r="D843" t="s">
        <v>78</v>
      </c>
      <c r="E843" t="s">
        <v>55</v>
      </c>
      <c r="F843" t="s">
        <v>59</v>
      </c>
      <c r="G843" t="s">
        <v>90</v>
      </c>
      <c r="H843" t="s">
        <v>54</v>
      </c>
      <c r="I843">
        <v>2</v>
      </c>
      <c r="J843" s="7">
        <v>29</v>
      </c>
      <c r="K843" s="8">
        <v>0.05</v>
      </c>
      <c r="L843" s="9">
        <v>55.099999999999994</v>
      </c>
      <c r="M843" s="9">
        <v>22</v>
      </c>
      <c r="N843" s="9">
        <v>33.099999999999994</v>
      </c>
    </row>
    <row r="844" spans="1:14">
      <c r="A844" t="s">
        <v>1308</v>
      </c>
      <c r="B844" s="6">
        <v>45733</v>
      </c>
      <c r="C844" t="s">
        <v>1309</v>
      </c>
      <c r="D844" t="s">
        <v>78</v>
      </c>
      <c r="E844" t="s">
        <v>55</v>
      </c>
      <c r="F844" t="s">
        <v>59</v>
      </c>
      <c r="G844" t="s">
        <v>91</v>
      </c>
      <c r="H844" t="s">
        <v>57</v>
      </c>
      <c r="I844">
        <v>1</v>
      </c>
      <c r="J844" s="7">
        <v>35</v>
      </c>
      <c r="K844" s="8">
        <v>0</v>
      </c>
      <c r="L844" s="9">
        <v>35</v>
      </c>
      <c r="M844" s="9">
        <v>14</v>
      </c>
      <c r="N844" s="9">
        <v>21</v>
      </c>
    </row>
    <row r="845" spans="1:14">
      <c r="A845" t="s">
        <v>1310</v>
      </c>
      <c r="B845" s="6">
        <v>45945</v>
      </c>
      <c r="C845" t="s">
        <v>489</v>
      </c>
      <c r="D845" t="s">
        <v>79</v>
      </c>
      <c r="E845" t="s">
        <v>58</v>
      </c>
      <c r="F845" t="s">
        <v>56</v>
      </c>
      <c r="G845" t="s">
        <v>86</v>
      </c>
      <c r="H845" t="s">
        <v>48</v>
      </c>
      <c r="I845">
        <v>1</v>
      </c>
      <c r="J845" s="7">
        <v>34.99</v>
      </c>
      <c r="K845" s="8">
        <v>0.15</v>
      </c>
      <c r="L845" s="9">
        <v>29.741500000000002</v>
      </c>
      <c r="M845" s="9">
        <v>16</v>
      </c>
      <c r="N845" s="9">
        <v>13.741500000000002</v>
      </c>
    </row>
    <row r="846" spans="1:14">
      <c r="A846" t="s">
        <v>1311</v>
      </c>
      <c r="B846" s="6">
        <v>45741</v>
      </c>
      <c r="C846" t="s">
        <v>818</v>
      </c>
      <c r="D846" t="s">
        <v>79</v>
      </c>
      <c r="E846" t="s">
        <v>49</v>
      </c>
      <c r="F846" t="s">
        <v>53</v>
      </c>
      <c r="G846" t="s">
        <v>91</v>
      </c>
      <c r="H846" t="s">
        <v>57</v>
      </c>
      <c r="I846">
        <v>2</v>
      </c>
      <c r="J846" s="7">
        <v>35</v>
      </c>
      <c r="K846" s="8">
        <v>0</v>
      </c>
      <c r="L846" s="9">
        <v>70</v>
      </c>
      <c r="M846" s="9">
        <v>28</v>
      </c>
      <c r="N846" s="9">
        <v>42</v>
      </c>
    </row>
    <row r="847" spans="1:14">
      <c r="A847" t="s">
        <v>1312</v>
      </c>
      <c r="B847" s="6">
        <v>45764</v>
      </c>
      <c r="C847" t="s">
        <v>184</v>
      </c>
      <c r="D847" t="s">
        <v>79</v>
      </c>
      <c r="E847" t="s">
        <v>58</v>
      </c>
      <c r="F847" t="s">
        <v>50</v>
      </c>
      <c r="G847" t="s">
        <v>89</v>
      </c>
      <c r="H847" t="s">
        <v>51</v>
      </c>
      <c r="I847">
        <v>1</v>
      </c>
      <c r="J847" s="7">
        <v>38</v>
      </c>
      <c r="K847" s="8">
        <v>0.15</v>
      </c>
      <c r="L847" s="9">
        <v>32.299999999999997</v>
      </c>
      <c r="M847" s="9">
        <v>17</v>
      </c>
      <c r="N847" s="9">
        <v>15.299999999999997</v>
      </c>
    </row>
    <row r="848" spans="1:14">
      <c r="A848" t="s">
        <v>1313</v>
      </c>
      <c r="B848" s="6">
        <v>45661</v>
      </c>
      <c r="C848" t="s">
        <v>1314</v>
      </c>
      <c r="D848" t="s">
        <v>78</v>
      </c>
      <c r="E848" t="s">
        <v>52</v>
      </c>
      <c r="F848" t="s">
        <v>53</v>
      </c>
      <c r="G848" t="s">
        <v>91</v>
      </c>
      <c r="H848" t="s">
        <v>57</v>
      </c>
      <c r="I848">
        <v>2</v>
      </c>
      <c r="J848" s="7">
        <v>35</v>
      </c>
      <c r="K848" s="8">
        <v>0</v>
      </c>
      <c r="L848" s="9">
        <v>70</v>
      </c>
      <c r="M848" s="9">
        <v>28</v>
      </c>
      <c r="N848" s="9">
        <v>42</v>
      </c>
    </row>
    <row r="849" spans="1:14">
      <c r="A849" t="s">
        <v>1315</v>
      </c>
      <c r="B849" s="6">
        <v>45753</v>
      </c>
      <c r="C849" t="s">
        <v>1316</v>
      </c>
      <c r="D849" t="s">
        <v>79</v>
      </c>
      <c r="E849" t="s">
        <v>55</v>
      </c>
      <c r="F849" t="s">
        <v>59</v>
      </c>
      <c r="G849" t="s">
        <v>91</v>
      </c>
      <c r="H849" t="s">
        <v>57</v>
      </c>
      <c r="I849">
        <v>1</v>
      </c>
      <c r="J849" s="7">
        <v>35</v>
      </c>
      <c r="K849" s="8">
        <v>0.05</v>
      </c>
      <c r="L849" s="9">
        <v>33.25</v>
      </c>
      <c r="M849" s="9">
        <v>14</v>
      </c>
      <c r="N849" s="9">
        <v>19.25</v>
      </c>
    </row>
    <row r="850" spans="1:14">
      <c r="A850" t="s">
        <v>1317</v>
      </c>
      <c r="B850" s="6">
        <v>45944</v>
      </c>
      <c r="C850" t="s">
        <v>818</v>
      </c>
      <c r="D850" t="s">
        <v>78</v>
      </c>
      <c r="E850" t="s">
        <v>58</v>
      </c>
      <c r="F850" t="s">
        <v>50</v>
      </c>
      <c r="G850" t="s">
        <v>92</v>
      </c>
      <c r="H850" t="s">
        <v>57</v>
      </c>
      <c r="I850">
        <v>1</v>
      </c>
      <c r="J850" s="7">
        <v>22</v>
      </c>
      <c r="K850" s="8">
        <v>0.1</v>
      </c>
      <c r="L850" s="9">
        <v>19.8</v>
      </c>
      <c r="M850" s="9">
        <v>7.5</v>
      </c>
      <c r="N850" s="9">
        <v>12.3</v>
      </c>
    </row>
    <row r="851" spans="1:14">
      <c r="A851" t="s">
        <v>1318</v>
      </c>
      <c r="B851" s="6">
        <v>45992</v>
      </c>
      <c r="C851" t="s">
        <v>524</v>
      </c>
      <c r="D851" t="s">
        <v>79</v>
      </c>
      <c r="E851" t="s">
        <v>49</v>
      </c>
      <c r="F851" t="s">
        <v>50</v>
      </c>
      <c r="G851" t="s">
        <v>89</v>
      </c>
      <c r="H851" t="s">
        <v>51</v>
      </c>
      <c r="I851">
        <v>1</v>
      </c>
      <c r="J851" s="7">
        <v>38</v>
      </c>
      <c r="K851" s="8">
        <v>0.05</v>
      </c>
      <c r="L851" s="9">
        <v>36.1</v>
      </c>
      <c r="M851" s="9">
        <v>17</v>
      </c>
      <c r="N851" s="9">
        <v>19.100000000000001</v>
      </c>
    </row>
    <row r="852" spans="1:14">
      <c r="A852" t="s">
        <v>1319</v>
      </c>
      <c r="B852" s="6">
        <v>45799</v>
      </c>
      <c r="C852" t="s">
        <v>568</v>
      </c>
      <c r="D852" t="s">
        <v>79</v>
      </c>
      <c r="E852" t="s">
        <v>58</v>
      </c>
      <c r="F852" t="s">
        <v>60</v>
      </c>
      <c r="G852" t="s">
        <v>92</v>
      </c>
      <c r="H852" t="s">
        <v>57</v>
      </c>
      <c r="I852">
        <v>4</v>
      </c>
      <c r="J852" s="7">
        <v>22</v>
      </c>
      <c r="K852" s="8">
        <v>0</v>
      </c>
      <c r="L852" s="9">
        <v>88</v>
      </c>
      <c r="M852" s="9">
        <v>30</v>
      </c>
      <c r="N852" s="9">
        <v>58</v>
      </c>
    </row>
    <row r="853" spans="1:14">
      <c r="A853" t="s">
        <v>1320</v>
      </c>
      <c r="B853" s="6">
        <v>45881</v>
      </c>
      <c r="C853" t="s">
        <v>587</v>
      </c>
      <c r="D853" t="s">
        <v>79</v>
      </c>
      <c r="E853" t="s">
        <v>55</v>
      </c>
      <c r="F853" t="s">
        <v>60</v>
      </c>
      <c r="G853" t="s">
        <v>89</v>
      </c>
      <c r="H853" t="s">
        <v>51</v>
      </c>
      <c r="I853">
        <v>2</v>
      </c>
      <c r="J853" s="7">
        <v>38</v>
      </c>
      <c r="K853" s="8">
        <v>0</v>
      </c>
      <c r="L853" s="9">
        <v>76</v>
      </c>
      <c r="M853" s="9">
        <v>34</v>
      </c>
      <c r="N853" s="9">
        <v>42</v>
      </c>
    </row>
    <row r="854" spans="1:14">
      <c r="A854" t="s">
        <v>1321</v>
      </c>
      <c r="B854" s="6">
        <v>45952</v>
      </c>
      <c r="C854" t="s">
        <v>1322</v>
      </c>
      <c r="D854" t="s">
        <v>78</v>
      </c>
      <c r="E854" t="s">
        <v>58</v>
      </c>
      <c r="F854" t="s">
        <v>53</v>
      </c>
      <c r="G854" t="s">
        <v>85</v>
      </c>
      <c r="H854" t="s">
        <v>48</v>
      </c>
      <c r="I854">
        <v>2</v>
      </c>
      <c r="J854" s="7">
        <v>59.99</v>
      </c>
      <c r="K854" s="8">
        <v>0</v>
      </c>
      <c r="L854" s="9">
        <v>119.98</v>
      </c>
      <c r="M854" s="9">
        <v>56</v>
      </c>
      <c r="N854" s="9">
        <v>63.980000000000004</v>
      </c>
    </row>
    <row r="855" spans="1:14">
      <c r="A855" t="s">
        <v>1323</v>
      </c>
      <c r="B855" s="6">
        <v>45840</v>
      </c>
      <c r="C855" t="s">
        <v>708</v>
      </c>
      <c r="D855" t="s">
        <v>79</v>
      </c>
      <c r="E855" t="s">
        <v>49</v>
      </c>
      <c r="F855" t="s">
        <v>56</v>
      </c>
      <c r="G855" t="s">
        <v>87</v>
      </c>
      <c r="H855" t="s">
        <v>48</v>
      </c>
      <c r="I855">
        <v>1</v>
      </c>
      <c r="J855" s="7">
        <v>89.99</v>
      </c>
      <c r="K855" s="8">
        <v>0</v>
      </c>
      <c r="L855" s="9">
        <v>89.99</v>
      </c>
      <c r="M855" s="9">
        <v>46</v>
      </c>
      <c r="N855" s="9">
        <v>43.989999999999995</v>
      </c>
    </row>
    <row r="856" spans="1:14">
      <c r="A856" t="s">
        <v>1324</v>
      </c>
      <c r="B856" s="6">
        <v>45807</v>
      </c>
      <c r="C856" t="s">
        <v>1325</v>
      </c>
      <c r="D856" t="s">
        <v>78</v>
      </c>
      <c r="E856" t="s">
        <v>52</v>
      </c>
      <c r="F856" t="s">
        <v>50</v>
      </c>
      <c r="G856" t="s">
        <v>93</v>
      </c>
      <c r="H856" t="s">
        <v>54</v>
      </c>
      <c r="I856">
        <v>2</v>
      </c>
      <c r="J856" s="7">
        <v>68</v>
      </c>
      <c r="K856" s="8">
        <v>0</v>
      </c>
      <c r="L856" s="9">
        <v>136</v>
      </c>
      <c r="M856" s="9">
        <v>62</v>
      </c>
      <c r="N856" s="9">
        <v>74</v>
      </c>
    </row>
    <row r="857" spans="1:14">
      <c r="A857" t="s">
        <v>1326</v>
      </c>
      <c r="B857" s="6">
        <v>45964</v>
      </c>
      <c r="C857" t="s">
        <v>1316</v>
      </c>
      <c r="D857" t="s">
        <v>79</v>
      </c>
      <c r="E857" t="s">
        <v>55</v>
      </c>
      <c r="F857" t="s">
        <v>56</v>
      </c>
      <c r="G857" t="s">
        <v>87</v>
      </c>
      <c r="H857" t="s">
        <v>48</v>
      </c>
      <c r="I857">
        <v>1</v>
      </c>
      <c r="J857" s="7">
        <v>89.99</v>
      </c>
      <c r="K857" s="8">
        <v>0.15</v>
      </c>
      <c r="L857" s="9">
        <v>76.491499999999988</v>
      </c>
      <c r="M857" s="9">
        <v>46</v>
      </c>
      <c r="N857" s="9">
        <v>30.491499999999988</v>
      </c>
    </row>
    <row r="858" spans="1:14">
      <c r="A858" t="s">
        <v>1327</v>
      </c>
      <c r="B858" s="6">
        <v>45707</v>
      </c>
      <c r="C858" t="s">
        <v>1328</v>
      </c>
      <c r="D858" t="s">
        <v>78</v>
      </c>
      <c r="E858" t="s">
        <v>55</v>
      </c>
      <c r="F858" t="s">
        <v>56</v>
      </c>
      <c r="G858" t="s">
        <v>93</v>
      </c>
      <c r="H858" t="s">
        <v>54</v>
      </c>
      <c r="I858">
        <v>1</v>
      </c>
      <c r="J858" s="7">
        <v>68</v>
      </c>
      <c r="K858" s="8">
        <v>0.1</v>
      </c>
      <c r="L858" s="9">
        <v>61.2</v>
      </c>
      <c r="M858" s="9">
        <v>31</v>
      </c>
      <c r="N858" s="9">
        <v>30.200000000000003</v>
      </c>
    </row>
    <row r="859" spans="1:14">
      <c r="A859" t="s">
        <v>1329</v>
      </c>
      <c r="B859" s="6">
        <v>45906</v>
      </c>
      <c r="C859" t="s">
        <v>251</v>
      </c>
      <c r="D859" t="s">
        <v>78</v>
      </c>
      <c r="E859" t="s">
        <v>52</v>
      </c>
      <c r="F859" t="s">
        <v>53</v>
      </c>
      <c r="G859" t="s">
        <v>91</v>
      </c>
      <c r="H859" t="s">
        <v>57</v>
      </c>
      <c r="I859">
        <v>1</v>
      </c>
      <c r="J859" s="7">
        <v>35</v>
      </c>
      <c r="K859" s="8">
        <v>0.15</v>
      </c>
      <c r="L859" s="9">
        <v>29.75</v>
      </c>
      <c r="M859" s="9">
        <v>14</v>
      </c>
      <c r="N859" s="9">
        <v>15.75</v>
      </c>
    </row>
    <row r="860" spans="1:14">
      <c r="A860" t="s">
        <v>1330</v>
      </c>
      <c r="B860" s="6">
        <v>45944</v>
      </c>
      <c r="C860" t="s">
        <v>1078</v>
      </c>
      <c r="D860" t="s">
        <v>79</v>
      </c>
      <c r="E860" t="s">
        <v>49</v>
      </c>
      <c r="F860" t="s">
        <v>59</v>
      </c>
      <c r="G860" t="s">
        <v>94</v>
      </c>
      <c r="H860" t="s">
        <v>51</v>
      </c>
      <c r="I860">
        <v>2</v>
      </c>
      <c r="J860" s="7">
        <v>18</v>
      </c>
      <c r="K860" s="8">
        <v>0.2</v>
      </c>
      <c r="L860" s="9">
        <v>28.8</v>
      </c>
      <c r="M860" s="9">
        <v>11</v>
      </c>
      <c r="N860" s="9">
        <v>17.8</v>
      </c>
    </row>
    <row r="861" spans="1:14">
      <c r="A861" t="s">
        <v>1331</v>
      </c>
      <c r="B861" s="6">
        <v>45893</v>
      </c>
      <c r="C861" t="s">
        <v>337</v>
      </c>
      <c r="D861" t="s">
        <v>78</v>
      </c>
      <c r="E861" t="s">
        <v>55</v>
      </c>
      <c r="F861" t="s">
        <v>56</v>
      </c>
      <c r="G861" t="s">
        <v>86</v>
      </c>
      <c r="H861" t="s">
        <v>48</v>
      </c>
      <c r="I861">
        <v>1</v>
      </c>
      <c r="J861" s="7">
        <v>34.99</v>
      </c>
      <c r="K861" s="8">
        <v>0</v>
      </c>
      <c r="L861" s="9">
        <v>34.99</v>
      </c>
      <c r="M861" s="9">
        <v>16</v>
      </c>
      <c r="N861" s="9">
        <v>18.990000000000002</v>
      </c>
    </row>
    <row r="862" spans="1:14">
      <c r="A862" t="s">
        <v>1332</v>
      </c>
      <c r="B862" s="6">
        <v>45729</v>
      </c>
      <c r="C862" t="s">
        <v>473</v>
      </c>
      <c r="D862" t="s">
        <v>79</v>
      </c>
      <c r="E862" t="s">
        <v>52</v>
      </c>
      <c r="F862" t="s">
        <v>56</v>
      </c>
      <c r="G862" t="s">
        <v>92</v>
      </c>
      <c r="H862" t="s">
        <v>57</v>
      </c>
      <c r="I862">
        <v>3</v>
      </c>
      <c r="J862" s="7">
        <v>22</v>
      </c>
      <c r="K862" s="8">
        <v>0.05</v>
      </c>
      <c r="L862" s="9">
        <v>62.699999999999996</v>
      </c>
      <c r="M862" s="9">
        <v>22.5</v>
      </c>
      <c r="N862" s="9">
        <v>40.199999999999996</v>
      </c>
    </row>
    <row r="863" spans="1:14">
      <c r="A863" t="s">
        <v>1333</v>
      </c>
      <c r="B863" s="6">
        <v>45672</v>
      </c>
      <c r="C863" t="s">
        <v>403</v>
      </c>
      <c r="D863" t="s">
        <v>78</v>
      </c>
      <c r="E863" t="s">
        <v>55</v>
      </c>
      <c r="F863" t="s">
        <v>53</v>
      </c>
      <c r="G863" t="s">
        <v>86</v>
      </c>
      <c r="H863" t="s">
        <v>48</v>
      </c>
      <c r="I863">
        <v>1</v>
      </c>
      <c r="J863" s="7">
        <v>34.99</v>
      </c>
      <c r="K863" s="8">
        <v>0.15</v>
      </c>
      <c r="L863" s="9">
        <v>29.741500000000002</v>
      </c>
      <c r="M863" s="9">
        <v>16</v>
      </c>
      <c r="N863" s="9">
        <v>13.741500000000002</v>
      </c>
    </row>
    <row r="864" spans="1:14">
      <c r="A864" t="s">
        <v>1334</v>
      </c>
      <c r="B864" s="6">
        <v>45765</v>
      </c>
      <c r="C864" t="s">
        <v>537</v>
      </c>
      <c r="D864" t="s">
        <v>79</v>
      </c>
      <c r="E864" t="s">
        <v>49</v>
      </c>
      <c r="F864" t="s">
        <v>50</v>
      </c>
      <c r="G864" t="s">
        <v>87</v>
      </c>
      <c r="H864" t="s">
        <v>48</v>
      </c>
      <c r="I864">
        <v>4</v>
      </c>
      <c r="J864" s="7">
        <v>89.99</v>
      </c>
      <c r="K864" s="8">
        <v>0</v>
      </c>
      <c r="L864" s="9">
        <v>359.96</v>
      </c>
      <c r="M864" s="9">
        <v>184</v>
      </c>
      <c r="N864" s="9">
        <v>175.95999999999998</v>
      </c>
    </row>
    <row r="865" spans="1:14">
      <c r="A865" t="s">
        <v>1335</v>
      </c>
      <c r="B865" s="6">
        <v>45905</v>
      </c>
      <c r="C865" t="s">
        <v>940</v>
      </c>
      <c r="D865" t="s">
        <v>79</v>
      </c>
      <c r="E865" t="s">
        <v>49</v>
      </c>
      <c r="F865" t="s">
        <v>59</v>
      </c>
      <c r="G865" t="s">
        <v>91</v>
      </c>
      <c r="H865" t="s">
        <v>57</v>
      </c>
      <c r="I865">
        <v>1</v>
      </c>
      <c r="J865" s="7">
        <v>35</v>
      </c>
      <c r="K865" s="8">
        <v>0</v>
      </c>
      <c r="L865" s="9">
        <v>35</v>
      </c>
      <c r="M865" s="9">
        <v>14</v>
      </c>
      <c r="N865" s="9">
        <v>21</v>
      </c>
    </row>
    <row r="866" spans="1:14">
      <c r="A866" t="s">
        <v>1336</v>
      </c>
      <c r="B866" s="6">
        <v>45718</v>
      </c>
      <c r="C866" t="s">
        <v>481</v>
      </c>
      <c r="D866" t="s">
        <v>78</v>
      </c>
      <c r="E866" t="s">
        <v>49</v>
      </c>
      <c r="F866" t="s">
        <v>60</v>
      </c>
      <c r="G866" t="s">
        <v>89</v>
      </c>
      <c r="H866" t="s">
        <v>51</v>
      </c>
      <c r="I866">
        <v>1</v>
      </c>
      <c r="J866" s="7">
        <v>38</v>
      </c>
      <c r="K866" s="8">
        <v>0</v>
      </c>
      <c r="L866" s="9">
        <v>38</v>
      </c>
      <c r="M866" s="9">
        <v>17</v>
      </c>
      <c r="N866" s="9">
        <v>21</v>
      </c>
    </row>
    <row r="867" spans="1:14">
      <c r="A867" t="s">
        <v>1337</v>
      </c>
      <c r="B867" s="6">
        <v>45763</v>
      </c>
      <c r="C867" t="s">
        <v>371</v>
      </c>
      <c r="D867" t="s">
        <v>78</v>
      </c>
      <c r="E867" t="s">
        <v>52</v>
      </c>
      <c r="F867" t="s">
        <v>56</v>
      </c>
      <c r="G867" t="s">
        <v>94</v>
      </c>
      <c r="H867" t="s">
        <v>51</v>
      </c>
      <c r="I867">
        <v>3</v>
      </c>
      <c r="J867" s="7">
        <v>18</v>
      </c>
      <c r="K867" s="8">
        <v>0</v>
      </c>
      <c r="L867" s="9">
        <v>54</v>
      </c>
      <c r="M867" s="9">
        <v>16.5</v>
      </c>
      <c r="N867" s="9">
        <v>37.5</v>
      </c>
    </row>
    <row r="868" spans="1:14">
      <c r="A868" t="s">
        <v>1338</v>
      </c>
      <c r="B868" s="6">
        <v>45954</v>
      </c>
      <c r="C868" t="s">
        <v>479</v>
      </c>
      <c r="D868" t="s">
        <v>79</v>
      </c>
      <c r="E868" t="s">
        <v>52</v>
      </c>
      <c r="F868" t="s">
        <v>60</v>
      </c>
      <c r="G868" t="s">
        <v>90</v>
      </c>
      <c r="H868" t="s">
        <v>54</v>
      </c>
      <c r="I868">
        <v>1</v>
      </c>
      <c r="J868" s="7">
        <v>29</v>
      </c>
      <c r="K868" s="8">
        <v>0.15</v>
      </c>
      <c r="L868" s="9">
        <v>24.65</v>
      </c>
      <c r="M868" s="9">
        <v>11</v>
      </c>
      <c r="N868" s="9">
        <v>13.649999999999999</v>
      </c>
    </row>
    <row r="869" spans="1:14">
      <c r="A869" t="s">
        <v>1339</v>
      </c>
      <c r="B869" s="6">
        <v>45949</v>
      </c>
      <c r="C869" t="s">
        <v>516</v>
      </c>
      <c r="D869" t="s">
        <v>78</v>
      </c>
      <c r="E869" t="s">
        <v>52</v>
      </c>
      <c r="F869" t="s">
        <v>56</v>
      </c>
      <c r="G869" t="s">
        <v>86</v>
      </c>
      <c r="H869" t="s">
        <v>48</v>
      </c>
      <c r="I869">
        <v>1</v>
      </c>
      <c r="J869" s="7">
        <v>34.99</v>
      </c>
      <c r="K869" s="8">
        <v>0.05</v>
      </c>
      <c r="L869" s="9">
        <v>33.240499999999997</v>
      </c>
      <c r="M869" s="9">
        <v>16</v>
      </c>
      <c r="N869" s="9">
        <v>17.240499999999997</v>
      </c>
    </row>
    <row r="870" spans="1:14">
      <c r="A870" t="s">
        <v>1340</v>
      </c>
      <c r="B870" s="6">
        <v>45745</v>
      </c>
      <c r="C870" t="s">
        <v>475</v>
      </c>
      <c r="D870" t="s">
        <v>79</v>
      </c>
      <c r="E870" t="s">
        <v>58</v>
      </c>
      <c r="F870" t="s">
        <v>56</v>
      </c>
      <c r="G870" t="s">
        <v>93</v>
      </c>
      <c r="H870" t="s">
        <v>54</v>
      </c>
      <c r="I870">
        <v>1</v>
      </c>
      <c r="J870" s="7">
        <v>68</v>
      </c>
      <c r="K870" s="8">
        <v>0.1</v>
      </c>
      <c r="L870" s="9">
        <v>61.2</v>
      </c>
      <c r="M870" s="9">
        <v>31</v>
      </c>
      <c r="N870" s="9">
        <v>30.200000000000003</v>
      </c>
    </row>
    <row r="871" spans="1:14">
      <c r="A871" t="s">
        <v>1341</v>
      </c>
      <c r="B871" s="6">
        <v>46015</v>
      </c>
      <c r="C871" t="s">
        <v>909</v>
      </c>
      <c r="D871" t="s">
        <v>78</v>
      </c>
      <c r="E871" t="s">
        <v>58</v>
      </c>
      <c r="F871" t="s">
        <v>59</v>
      </c>
      <c r="G871" t="s">
        <v>94</v>
      </c>
      <c r="H871" t="s">
        <v>51</v>
      </c>
      <c r="I871">
        <v>1</v>
      </c>
      <c r="J871" s="7">
        <v>18</v>
      </c>
      <c r="K871" s="8">
        <v>0.1</v>
      </c>
      <c r="L871" s="9">
        <v>16.2</v>
      </c>
      <c r="M871" s="9">
        <v>5.5</v>
      </c>
      <c r="N871" s="9">
        <v>10.7</v>
      </c>
    </row>
    <row r="872" spans="1:14">
      <c r="A872" t="s">
        <v>1342</v>
      </c>
      <c r="B872" s="6">
        <v>45767</v>
      </c>
      <c r="C872" t="s">
        <v>241</v>
      </c>
      <c r="D872" t="s">
        <v>79</v>
      </c>
      <c r="E872" t="s">
        <v>58</v>
      </c>
      <c r="F872" t="s">
        <v>50</v>
      </c>
      <c r="G872" t="s">
        <v>93</v>
      </c>
      <c r="H872" t="s">
        <v>54</v>
      </c>
      <c r="I872">
        <v>1</v>
      </c>
      <c r="J872" s="7">
        <v>68</v>
      </c>
      <c r="K872" s="8">
        <v>0</v>
      </c>
      <c r="L872" s="9">
        <v>68</v>
      </c>
      <c r="M872" s="9">
        <v>31</v>
      </c>
      <c r="N872" s="9">
        <v>37</v>
      </c>
    </row>
    <row r="873" spans="1:14">
      <c r="A873" t="s">
        <v>1343</v>
      </c>
      <c r="B873" s="6">
        <v>45924</v>
      </c>
      <c r="C873" t="s">
        <v>737</v>
      </c>
      <c r="D873" t="s">
        <v>78</v>
      </c>
      <c r="E873" t="s">
        <v>49</v>
      </c>
      <c r="F873" t="s">
        <v>50</v>
      </c>
      <c r="G873" t="s">
        <v>87</v>
      </c>
      <c r="H873" t="s">
        <v>48</v>
      </c>
      <c r="I873">
        <v>1</v>
      </c>
      <c r="J873" s="7">
        <v>89.99</v>
      </c>
      <c r="K873" s="8">
        <v>0</v>
      </c>
      <c r="L873" s="9">
        <v>89.99</v>
      </c>
      <c r="M873" s="9">
        <v>46</v>
      </c>
      <c r="N873" s="9">
        <v>43.989999999999995</v>
      </c>
    </row>
    <row r="874" spans="1:14">
      <c r="A874" t="s">
        <v>1344</v>
      </c>
      <c r="B874" s="6">
        <v>45825</v>
      </c>
      <c r="C874" t="s">
        <v>251</v>
      </c>
      <c r="D874" t="s">
        <v>79</v>
      </c>
      <c r="E874" t="s">
        <v>58</v>
      </c>
      <c r="F874" t="s">
        <v>53</v>
      </c>
      <c r="G874" t="s">
        <v>92</v>
      </c>
      <c r="H874" t="s">
        <v>57</v>
      </c>
      <c r="I874">
        <v>1</v>
      </c>
      <c r="J874" s="7">
        <v>22</v>
      </c>
      <c r="K874" s="8">
        <v>0</v>
      </c>
      <c r="L874" s="9">
        <v>22</v>
      </c>
      <c r="M874" s="9">
        <v>7.5</v>
      </c>
      <c r="N874" s="9">
        <v>14.5</v>
      </c>
    </row>
    <row r="875" spans="1:14">
      <c r="A875" t="s">
        <v>1345</v>
      </c>
      <c r="B875" s="6">
        <v>45941</v>
      </c>
      <c r="C875" t="s">
        <v>231</v>
      </c>
      <c r="D875" t="s">
        <v>78</v>
      </c>
      <c r="E875" t="s">
        <v>58</v>
      </c>
      <c r="F875" t="s">
        <v>56</v>
      </c>
      <c r="G875" t="s">
        <v>91</v>
      </c>
      <c r="H875" t="s">
        <v>57</v>
      </c>
      <c r="I875">
        <v>1</v>
      </c>
      <c r="J875" s="7">
        <v>35</v>
      </c>
      <c r="K875" s="8">
        <v>0.15</v>
      </c>
      <c r="L875" s="9">
        <v>29.75</v>
      </c>
      <c r="M875" s="9">
        <v>14</v>
      </c>
      <c r="N875" s="9">
        <v>15.75</v>
      </c>
    </row>
    <row r="876" spans="1:14">
      <c r="A876" t="s">
        <v>1346</v>
      </c>
      <c r="B876" s="6">
        <v>45749</v>
      </c>
      <c r="C876" t="s">
        <v>464</v>
      </c>
      <c r="D876" t="s">
        <v>78</v>
      </c>
      <c r="E876" t="s">
        <v>49</v>
      </c>
      <c r="F876" t="s">
        <v>50</v>
      </c>
      <c r="G876" t="s">
        <v>85</v>
      </c>
      <c r="H876" t="s">
        <v>48</v>
      </c>
      <c r="I876">
        <v>4</v>
      </c>
      <c r="J876" s="7">
        <v>59.99</v>
      </c>
      <c r="K876" s="8">
        <v>0.05</v>
      </c>
      <c r="L876" s="9">
        <v>227.96199999999999</v>
      </c>
      <c r="M876" s="9">
        <v>112</v>
      </c>
      <c r="N876" s="9">
        <v>115.96199999999999</v>
      </c>
    </row>
    <row r="877" spans="1:14">
      <c r="A877" t="s">
        <v>1347</v>
      </c>
      <c r="B877" s="6">
        <v>45731</v>
      </c>
      <c r="C877" t="s">
        <v>1348</v>
      </c>
      <c r="D877" t="s">
        <v>78</v>
      </c>
      <c r="E877" t="s">
        <v>49</v>
      </c>
      <c r="F877" t="s">
        <v>56</v>
      </c>
      <c r="G877" t="s">
        <v>91</v>
      </c>
      <c r="H877" t="s">
        <v>57</v>
      </c>
      <c r="I877">
        <v>1</v>
      </c>
      <c r="J877" s="7">
        <v>35</v>
      </c>
      <c r="K877" s="8">
        <v>0.05</v>
      </c>
      <c r="L877" s="9">
        <v>33.25</v>
      </c>
      <c r="M877" s="9">
        <v>14</v>
      </c>
      <c r="N877" s="9">
        <v>19.25</v>
      </c>
    </row>
    <row r="878" spans="1:14">
      <c r="A878" t="s">
        <v>1349</v>
      </c>
      <c r="B878" s="6">
        <v>45759</v>
      </c>
      <c r="C878" t="s">
        <v>166</v>
      </c>
      <c r="D878" t="s">
        <v>78</v>
      </c>
      <c r="E878" t="s">
        <v>58</v>
      </c>
      <c r="F878" t="s">
        <v>59</v>
      </c>
      <c r="G878" t="s">
        <v>90</v>
      </c>
      <c r="H878" t="s">
        <v>54</v>
      </c>
      <c r="I878">
        <v>1</v>
      </c>
      <c r="J878" s="7">
        <v>29</v>
      </c>
      <c r="K878" s="8">
        <v>0.15</v>
      </c>
      <c r="L878" s="9">
        <v>24.65</v>
      </c>
      <c r="M878" s="9">
        <v>11</v>
      </c>
      <c r="N878" s="9">
        <v>13.649999999999999</v>
      </c>
    </row>
    <row r="879" spans="1:14">
      <c r="A879" t="s">
        <v>1350</v>
      </c>
      <c r="B879" s="6">
        <v>45800</v>
      </c>
      <c r="C879" t="s">
        <v>415</v>
      </c>
      <c r="D879" t="s">
        <v>79</v>
      </c>
      <c r="E879" t="s">
        <v>55</v>
      </c>
      <c r="F879" t="s">
        <v>59</v>
      </c>
      <c r="G879" t="s">
        <v>94</v>
      </c>
      <c r="H879" t="s">
        <v>51</v>
      </c>
      <c r="I879">
        <v>1</v>
      </c>
      <c r="J879" s="7">
        <v>18</v>
      </c>
      <c r="K879" s="8">
        <v>0.1</v>
      </c>
      <c r="L879" s="9">
        <v>16.2</v>
      </c>
      <c r="M879" s="9">
        <v>5.5</v>
      </c>
      <c r="N879" s="9">
        <v>10.7</v>
      </c>
    </row>
    <row r="880" spans="1:14">
      <c r="A880" t="s">
        <v>1351</v>
      </c>
      <c r="B880" s="6">
        <v>45999</v>
      </c>
      <c r="C880" t="s">
        <v>369</v>
      </c>
      <c r="D880" t="s">
        <v>78</v>
      </c>
      <c r="E880" t="s">
        <v>58</v>
      </c>
      <c r="F880" t="s">
        <v>50</v>
      </c>
      <c r="G880" t="s">
        <v>94</v>
      </c>
      <c r="H880" t="s">
        <v>51</v>
      </c>
      <c r="I880">
        <v>4</v>
      </c>
      <c r="J880" s="7">
        <v>18</v>
      </c>
      <c r="K880" s="8">
        <v>0.2</v>
      </c>
      <c r="L880" s="9">
        <v>57.6</v>
      </c>
      <c r="M880" s="9">
        <v>22</v>
      </c>
      <c r="N880" s="9">
        <v>35.6</v>
      </c>
    </row>
    <row r="881" spans="1:14">
      <c r="A881" t="s">
        <v>1352</v>
      </c>
      <c r="B881" s="6">
        <v>45720</v>
      </c>
      <c r="C881" t="s">
        <v>346</v>
      </c>
      <c r="D881" t="s">
        <v>79</v>
      </c>
      <c r="E881" t="s">
        <v>49</v>
      </c>
      <c r="F881" t="s">
        <v>50</v>
      </c>
      <c r="G881" t="s">
        <v>89</v>
      </c>
      <c r="H881" t="s">
        <v>51</v>
      </c>
      <c r="I881">
        <v>1</v>
      </c>
      <c r="J881" s="7">
        <v>38</v>
      </c>
      <c r="K881" s="8">
        <v>0</v>
      </c>
      <c r="L881" s="9">
        <v>38</v>
      </c>
      <c r="M881" s="9">
        <v>17</v>
      </c>
      <c r="N881" s="9">
        <v>21</v>
      </c>
    </row>
    <row r="882" spans="1:14">
      <c r="A882" t="s">
        <v>1353</v>
      </c>
      <c r="B882" s="6">
        <v>45692</v>
      </c>
      <c r="C882" t="s">
        <v>271</v>
      </c>
      <c r="D882" t="s">
        <v>78</v>
      </c>
      <c r="E882" t="s">
        <v>55</v>
      </c>
      <c r="F882" t="s">
        <v>53</v>
      </c>
      <c r="G882" t="s">
        <v>92</v>
      </c>
      <c r="H882" t="s">
        <v>57</v>
      </c>
      <c r="I882">
        <v>2</v>
      </c>
      <c r="J882" s="7">
        <v>22</v>
      </c>
      <c r="K882" s="8">
        <v>0.2</v>
      </c>
      <c r="L882" s="9">
        <v>35.200000000000003</v>
      </c>
      <c r="M882" s="9">
        <v>15</v>
      </c>
      <c r="N882" s="9">
        <v>20.200000000000003</v>
      </c>
    </row>
    <row r="883" spans="1:14">
      <c r="A883" t="s">
        <v>1354</v>
      </c>
      <c r="B883" s="6">
        <v>45813</v>
      </c>
      <c r="C883" t="s">
        <v>206</v>
      </c>
      <c r="D883" t="s">
        <v>79</v>
      </c>
      <c r="E883" t="s">
        <v>58</v>
      </c>
      <c r="F883" t="s">
        <v>59</v>
      </c>
      <c r="G883" t="s">
        <v>94</v>
      </c>
      <c r="H883" t="s">
        <v>51</v>
      </c>
      <c r="I883">
        <v>2</v>
      </c>
      <c r="J883" s="7">
        <v>18</v>
      </c>
      <c r="K883" s="8">
        <v>0.1</v>
      </c>
      <c r="L883" s="9">
        <v>32.4</v>
      </c>
      <c r="M883" s="9">
        <v>11</v>
      </c>
      <c r="N883" s="9">
        <v>21.4</v>
      </c>
    </row>
    <row r="884" spans="1:14">
      <c r="A884" t="s">
        <v>1355</v>
      </c>
      <c r="B884" s="6">
        <v>45761</v>
      </c>
      <c r="C884" t="s">
        <v>727</v>
      </c>
      <c r="D884" t="s">
        <v>78</v>
      </c>
      <c r="E884" t="s">
        <v>49</v>
      </c>
      <c r="F884" t="s">
        <v>50</v>
      </c>
      <c r="G884" t="s">
        <v>89</v>
      </c>
      <c r="H884" t="s">
        <v>51</v>
      </c>
      <c r="I884">
        <v>2</v>
      </c>
      <c r="J884" s="7">
        <v>38</v>
      </c>
      <c r="K884" s="8">
        <v>0.05</v>
      </c>
      <c r="L884" s="9">
        <v>72.2</v>
      </c>
      <c r="M884" s="9">
        <v>34</v>
      </c>
      <c r="N884" s="9">
        <v>38.200000000000003</v>
      </c>
    </row>
    <row r="885" spans="1:14">
      <c r="A885" t="s">
        <v>1356</v>
      </c>
      <c r="B885" s="6">
        <v>45878</v>
      </c>
      <c r="C885" t="s">
        <v>1357</v>
      </c>
      <c r="D885" t="s">
        <v>78</v>
      </c>
      <c r="E885" t="s">
        <v>49</v>
      </c>
      <c r="F885" t="s">
        <v>50</v>
      </c>
      <c r="G885" t="s">
        <v>86</v>
      </c>
      <c r="H885" t="s">
        <v>48</v>
      </c>
      <c r="I885">
        <v>1</v>
      </c>
      <c r="J885" s="7">
        <v>34.99</v>
      </c>
      <c r="K885" s="8">
        <v>0</v>
      </c>
      <c r="L885" s="9">
        <v>34.99</v>
      </c>
      <c r="M885" s="9">
        <v>16</v>
      </c>
      <c r="N885" s="9">
        <v>18.990000000000002</v>
      </c>
    </row>
    <row r="886" spans="1:14">
      <c r="A886" t="s">
        <v>1358</v>
      </c>
      <c r="B886" s="6">
        <v>45748</v>
      </c>
      <c r="C886" t="s">
        <v>196</v>
      </c>
      <c r="D886" t="s">
        <v>79</v>
      </c>
      <c r="E886" t="s">
        <v>58</v>
      </c>
      <c r="F886" t="s">
        <v>59</v>
      </c>
      <c r="G886" t="s">
        <v>93</v>
      </c>
      <c r="H886" t="s">
        <v>54</v>
      </c>
      <c r="I886">
        <v>2</v>
      </c>
      <c r="J886" s="7">
        <v>68</v>
      </c>
      <c r="K886" s="8">
        <v>0.1</v>
      </c>
      <c r="L886" s="9">
        <v>122.4</v>
      </c>
      <c r="M886" s="9">
        <v>62</v>
      </c>
      <c r="N886" s="9">
        <v>60.400000000000006</v>
      </c>
    </row>
    <row r="887" spans="1:14">
      <c r="A887" t="s">
        <v>1359</v>
      </c>
      <c r="B887" s="6">
        <v>45726</v>
      </c>
      <c r="C887" t="s">
        <v>1089</v>
      </c>
      <c r="D887" t="s">
        <v>78</v>
      </c>
      <c r="E887" t="s">
        <v>58</v>
      </c>
      <c r="F887" t="s">
        <v>60</v>
      </c>
      <c r="G887" t="s">
        <v>89</v>
      </c>
      <c r="H887" t="s">
        <v>51</v>
      </c>
      <c r="I887">
        <v>2</v>
      </c>
      <c r="J887" s="7">
        <v>38</v>
      </c>
      <c r="K887" s="8">
        <v>0.05</v>
      </c>
      <c r="L887" s="9">
        <v>72.2</v>
      </c>
      <c r="M887" s="9">
        <v>34</v>
      </c>
      <c r="N887" s="9">
        <v>38.200000000000003</v>
      </c>
    </row>
    <row r="888" spans="1:14">
      <c r="A888" t="s">
        <v>1360</v>
      </c>
      <c r="B888" s="6">
        <v>46008</v>
      </c>
      <c r="C888" t="s">
        <v>475</v>
      </c>
      <c r="D888" t="s">
        <v>79</v>
      </c>
      <c r="E888" t="s">
        <v>49</v>
      </c>
      <c r="F888" t="s">
        <v>59</v>
      </c>
      <c r="G888" t="s">
        <v>93</v>
      </c>
      <c r="H888" t="s">
        <v>54</v>
      </c>
      <c r="I888">
        <v>1</v>
      </c>
      <c r="J888" s="7">
        <v>68</v>
      </c>
      <c r="K888" s="8">
        <v>0</v>
      </c>
      <c r="L888" s="9">
        <v>68</v>
      </c>
      <c r="M888" s="9">
        <v>31</v>
      </c>
      <c r="N888" s="9">
        <v>37</v>
      </c>
    </row>
    <row r="889" spans="1:14">
      <c r="A889" t="s">
        <v>1361</v>
      </c>
      <c r="B889" s="6">
        <v>45792</v>
      </c>
      <c r="C889" t="s">
        <v>468</v>
      </c>
      <c r="D889" t="s">
        <v>79</v>
      </c>
      <c r="E889" t="s">
        <v>55</v>
      </c>
      <c r="F889" t="s">
        <v>50</v>
      </c>
      <c r="G889" t="s">
        <v>92</v>
      </c>
      <c r="H889" t="s">
        <v>57</v>
      </c>
      <c r="I889">
        <v>1</v>
      </c>
      <c r="J889" s="7">
        <v>22</v>
      </c>
      <c r="K889" s="8">
        <v>0</v>
      </c>
      <c r="L889" s="9">
        <v>22</v>
      </c>
      <c r="M889" s="9">
        <v>7.5</v>
      </c>
      <c r="N889" s="9">
        <v>14.5</v>
      </c>
    </row>
    <row r="890" spans="1:14">
      <c r="A890" t="s">
        <v>1362</v>
      </c>
      <c r="B890" s="6">
        <v>45672</v>
      </c>
      <c r="C890" t="s">
        <v>1363</v>
      </c>
      <c r="D890" t="s">
        <v>78</v>
      </c>
      <c r="E890" t="s">
        <v>49</v>
      </c>
      <c r="F890" t="s">
        <v>56</v>
      </c>
      <c r="G890" t="s">
        <v>94</v>
      </c>
      <c r="H890" t="s">
        <v>51</v>
      </c>
      <c r="I890">
        <v>1</v>
      </c>
      <c r="J890" s="7">
        <v>18</v>
      </c>
      <c r="K890" s="8">
        <v>0.1</v>
      </c>
      <c r="L890" s="9">
        <v>16.2</v>
      </c>
      <c r="M890" s="9">
        <v>5.5</v>
      </c>
      <c r="N890" s="9">
        <v>10.7</v>
      </c>
    </row>
    <row r="891" spans="1:14">
      <c r="A891" t="s">
        <v>1364</v>
      </c>
      <c r="B891" s="6">
        <v>45852</v>
      </c>
      <c r="C891" t="s">
        <v>537</v>
      </c>
      <c r="D891" t="s">
        <v>78</v>
      </c>
      <c r="E891" t="s">
        <v>52</v>
      </c>
      <c r="F891" t="s">
        <v>53</v>
      </c>
      <c r="G891" t="s">
        <v>86</v>
      </c>
      <c r="H891" t="s">
        <v>48</v>
      </c>
      <c r="I891">
        <v>1</v>
      </c>
      <c r="J891" s="7">
        <v>34.99</v>
      </c>
      <c r="K891" s="8">
        <v>0.2</v>
      </c>
      <c r="L891" s="9">
        <v>27.992000000000004</v>
      </c>
      <c r="M891" s="9">
        <v>16</v>
      </c>
      <c r="N891" s="9">
        <v>11.992000000000004</v>
      </c>
    </row>
    <row r="892" spans="1:14">
      <c r="A892" t="s">
        <v>1365</v>
      </c>
      <c r="B892" s="6">
        <v>45778</v>
      </c>
      <c r="C892" t="s">
        <v>479</v>
      </c>
      <c r="D892" t="s">
        <v>78</v>
      </c>
      <c r="E892" t="s">
        <v>49</v>
      </c>
      <c r="F892" t="s">
        <v>56</v>
      </c>
      <c r="G892" t="s">
        <v>89</v>
      </c>
      <c r="H892" t="s">
        <v>51</v>
      </c>
      <c r="I892">
        <v>1</v>
      </c>
      <c r="J892" s="7">
        <v>38</v>
      </c>
      <c r="K892" s="8">
        <v>0.15</v>
      </c>
      <c r="L892" s="9">
        <v>32.299999999999997</v>
      </c>
      <c r="M892" s="9">
        <v>17</v>
      </c>
      <c r="N892" s="9">
        <v>15.299999999999997</v>
      </c>
    </row>
    <row r="893" spans="1:14">
      <c r="A893" t="s">
        <v>1366</v>
      </c>
      <c r="B893" s="6">
        <v>45744</v>
      </c>
      <c r="C893" t="s">
        <v>376</v>
      </c>
      <c r="D893" t="s">
        <v>79</v>
      </c>
      <c r="E893" t="s">
        <v>58</v>
      </c>
      <c r="F893" t="s">
        <v>56</v>
      </c>
      <c r="G893" t="s">
        <v>85</v>
      </c>
      <c r="H893" t="s">
        <v>48</v>
      </c>
      <c r="I893">
        <v>1</v>
      </c>
      <c r="J893" s="7">
        <v>59.99</v>
      </c>
      <c r="K893" s="8">
        <v>0</v>
      </c>
      <c r="L893" s="9">
        <v>59.99</v>
      </c>
      <c r="M893" s="9">
        <v>28</v>
      </c>
      <c r="N893" s="9">
        <v>31.990000000000002</v>
      </c>
    </row>
    <row r="894" spans="1:14">
      <c r="A894" t="s">
        <v>1367</v>
      </c>
      <c r="B894" s="6">
        <v>45668</v>
      </c>
      <c r="C894" t="s">
        <v>669</v>
      </c>
      <c r="D894" t="s">
        <v>78</v>
      </c>
      <c r="E894" t="s">
        <v>55</v>
      </c>
      <c r="F894" t="s">
        <v>60</v>
      </c>
      <c r="G894" t="s">
        <v>92</v>
      </c>
      <c r="H894" t="s">
        <v>57</v>
      </c>
      <c r="I894">
        <v>1</v>
      </c>
      <c r="J894" s="7">
        <v>22</v>
      </c>
      <c r="K894" s="8">
        <v>0.2</v>
      </c>
      <c r="L894" s="9">
        <v>17.600000000000001</v>
      </c>
      <c r="M894" s="9">
        <v>7.5</v>
      </c>
      <c r="N894" s="9">
        <v>10.100000000000001</v>
      </c>
    </row>
    <row r="895" spans="1:14">
      <c r="A895" t="s">
        <v>1368</v>
      </c>
      <c r="B895" s="6">
        <v>45708</v>
      </c>
      <c r="C895" t="s">
        <v>948</v>
      </c>
      <c r="D895" t="s">
        <v>78</v>
      </c>
      <c r="E895" t="s">
        <v>55</v>
      </c>
      <c r="F895" t="s">
        <v>53</v>
      </c>
      <c r="G895" t="s">
        <v>92</v>
      </c>
      <c r="H895" t="s">
        <v>57</v>
      </c>
      <c r="I895">
        <v>1</v>
      </c>
      <c r="J895" s="7">
        <v>22</v>
      </c>
      <c r="K895" s="8">
        <v>0.1</v>
      </c>
      <c r="L895" s="9">
        <v>19.8</v>
      </c>
      <c r="M895" s="9">
        <v>7.5</v>
      </c>
      <c r="N895" s="9">
        <v>12.3</v>
      </c>
    </row>
    <row r="896" spans="1:14">
      <c r="A896" t="s">
        <v>1369</v>
      </c>
      <c r="B896" s="6">
        <v>45972</v>
      </c>
      <c r="C896" t="s">
        <v>220</v>
      </c>
      <c r="D896" t="s">
        <v>78</v>
      </c>
      <c r="E896" t="s">
        <v>52</v>
      </c>
      <c r="F896" t="s">
        <v>56</v>
      </c>
      <c r="G896" t="s">
        <v>89</v>
      </c>
      <c r="H896" t="s">
        <v>51</v>
      </c>
      <c r="I896">
        <v>1</v>
      </c>
      <c r="J896" s="7">
        <v>38</v>
      </c>
      <c r="K896" s="8">
        <v>0</v>
      </c>
      <c r="L896" s="9">
        <v>38</v>
      </c>
      <c r="M896" s="9">
        <v>17</v>
      </c>
      <c r="N896" s="9">
        <v>21</v>
      </c>
    </row>
    <row r="897" spans="1:14">
      <c r="A897" t="s">
        <v>1370</v>
      </c>
      <c r="B897" s="6">
        <v>45793</v>
      </c>
      <c r="C897" t="s">
        <v>1063</v>
      </c>
      <c r="D897" t="s">
        <v>79</v>
      </c>
      <c r="E897" t="s">
        <v>49</v>
      </c>
      <c r="F897" t="s">
        <v>60</v>
      </c>
      <c r="G897" t="s">
        <v>85</v>
      </c>
      <c r="H897" t="s">
        <v>48</v>
      </c>
      <c r="I897">
        <v>1</v>
      </c>
      <c r="J897" s="7">
        <v>59.99</v>
      </c>
      <c r="K897" s="8">
        <v>0.05</v>
      </c>
      <c r="L897" s="9">
        <v>56.990499999999997</v>
      </c>
      <c r="M897" s="9">
        <v>28</v>
      </c>
      <c r="N897" s="9">
        <v>28.990499999999997</v>
      </c>
    </row>
    <row r="898" spans="1:14">
      <c r="A898" t="s">
        <v>1371</v>
      </c>
      <c r="B898" s="6">
        <v>45706</v>
      </c>
      <c r="C898" t="s">
        <v>796</v>
      </c>
      <c r="D898" t="s">
        <v>79</v>
      </c>
      <c r="E898" t="s">
        <v>58</v>
      </c>
      <c r="F898" t="s">
        <v>53</v>
      </c>
      <c r="G898" t="s">
        <v>94</v>
      </c>
      <c r="H898" t="s">
        <v>51</v>
      </c>
      <c r="I898">
        <v>1</v>
      </c>
      <c r="J898" s="7">
        <v>18</v>
      </c>
      <c r="K898" s="8">
        <v>0</v>
      </c>
      <c r="L898" s="9">
        <v>18</v>
      </c>
      <c r="M898" s="9">
        <v>5.5</v>
      </c>
      <c r="N898" s="9">
        <v>12.5</v>
      </c>
    </row>
    <row r="899" spans="1:14">
      <c r="A899" t="s">
        <v>1372</v>
      </c>
      <c r="B899" s="6">
        <v>45835</v>
      </c>
      <c r="C899" t="s">
        <v>1086</v>
      </c>
      <c r="D899" t="s">
        <v>79</v>
      </c>
      <c r="E899" t="s">
        <v>55</v>
      </c>
      <c r="F899" t="s">
        <v>53</v>
      </c>
      <c r="G899" t="s">
        <v>86</v>
      </c>
      <c r="H899" t="s">
        <v>48</v>
      </c>
      <c r="I899">
        <v>2</v>
      </c>
      <c r="J899" s="7">
        <v>34.99</v>
      </c>
      <c r="K899" s="8">
        <v>0</v>
      </c>
      <c r="L899" s="9">
        <v>69.98</v>
      </c>
      <c r="M899" s="9">
        <v>32</v>
      </c>
      <c r="N899" s="9">
        <v>37.980000000000004</v>
      </c>
    </row>
    <row r="900" spans="1:14">
      <c r="A900" t="s">
        <v>1373</v>
      </c>
      <c r="B900" s="6">
        <v>45870</v>
      </c>
      <c r="C900" t="s">
        <v>458</v>
      </c>
      <c r="D900" t="s">
        <v>79</v>
      </c>
      <c r="E900" t="s">
        <v>52</v>
      </c>
      <c r="F900" t="s">
        <v>50</v>
      </c>
      <c r="G900" t="s">
        <v>91</v>
      </c>
      <c r="H900" t="s">
        <v>57</v>
      </c>
      <c r="I900">
        <v>1</v>
      </c>
      <c r="J900" s="7">
        <v>35</v>
      </c>
      <c r="K900" s="8">
        <v>0.05</v>
      </c>
      <c r="L900" s="9">
        <v>33.25</v>
      </c>
      <c r="M900" s="9">
        <v>14</v>
      </c>
      <c r="N900" s="9">
        <v>19.25</v>
      </c>
    </row>
    <row r="901" spans="1:14">
      <c r="A901" t="s">
        <v>1374</v>
      </c>
      <c r="B901" s="6">
        <v>45979</v>
      </c>
      <c r="C901" t="s">
        <v>895</v>
      </c>
      <c r="D901" t="s">
        <v>78</v>
      </c>
      <c r="E901" t="s">
        <v>58</v>
      </c>
      <c r="F901" t="s">
        <v>56</v>
      </c>
      <c r="G901" t="s">
        <v>93</v>
      </c>
      <c r="H901" t="s">
        <v>54</v>
      </c>
      <c r="I901">
        <v>3</v>
      </c>
      <c r="J901" s="7">
        <v>68</v>
      </c>
      <c r="K901" s="8">
        <v>0.05</v>
      </c>
      <c r="L901" s="9">
        <v>193.79999999999998</v>
      </c>
      <c r="M901" s="9">
        <v>93</v>
      </c>
      <c r="N901" s="9">
        <v>100.79999999999998</v>
      </c>
    </row>
    <row r="902" spans="1:14">
      <c r="A902" t="s">
        <v>1375</v>
      </c>
      <c r="B902" s="6">
        <v>45984</v>
      </c>
      <c r="C902" t="s">
        <v>325</v>
      </c>
      <c r="D902" t="s">
        <v>79</v>
      </c>
      <c r="E902" t="s">
        <v>49</v>
      </c>
      <c r="F902" t="s">
        <v>60</v>
      </c>
      <c r="G902" t="s">
        <v>93</v>
      </c>
      <c r="H902" t="s">
        <v>54</v>
      </c>
      <c r="I902">
        <v>2</v>
      </c>
      <c r="J902" s="7">
        <v>68</v>
      </c>
      <c r="K902" s="8">
        <v>0.15</v>
      </c>
      <c r="L902" s="9">
        <v>115.6</v>
      </c>
      <c r="M902" s="9">
        <v>62</v>
      </c>
      <c r="N902" s="9">
        <v>53.599999999999994</v>
      </c>
    </row>
    <row r="903" spans="1:14">
      <c r="A903" t="s">
        <v>1376</v>
      </c>
      <c r="B903" s="6">
        <v>45760</v>
      </c>
      <c r="C903" t="s">
        <v>208</v>
      </c>
      <c r="D903" t="s">
        <v>79</v>
      </c>
      <c r="E903" t="s">
        <v>58</v>
      </c>
      <c r="F903" t="s">
        <v>59</v>
      </c>
      <c r="G903" t="s">
        <v>90</v>
      </c>
      <c r="H903" t="s">
        <v>54</v>
      </c>
      <c r="I903">
        <v>1</v>
      </c>
      <c r="J903" s="7">
        <v>29</v>
      </c>
      <c r="K903" s="8">
        <v>0</v>
      </c>
      <c r="L903" s="9">
        <v>29</v>
      </c>
      <c r="M903" s="9">
        <v>11</v>
      </c>
      <c r="N903" s="9">
        <v>18</v>
      </c>
    </row>
    <row r="904" spans="1:14">
      <c r="A904" t="s">
        <v>1377</v>
      </c>
      <c r="B904" s="6">
        <v>45821</v>
      </c>
      <c r="C904" t="s">
        <v>430</v>
      </c>
      <c r="D904" t="s">
        <v>78</v>
      </c>
      <c r="E904" t="s">
        <v>52</v>
      </c>
      <c r="F904" t="s">
        <v>56</v>
      </c>
      <c r="G904" t="s">
        <v>86</v>
      </c>
      <c r="H904" t="s">
        <v>48</v>
      </c>
      <c r="I904">
        <v>2</v>
      </c>
      <c r="J904" s="7">
        <v>34.99</v>
      </c>
      <c r="K904" s="8">
        <v>0.15</v>
      </c>
      <c r="L904" s="9">
        <v>59.483000000000004</v>
      </c>
      <c r="M904" s="9">
        <v>32</v>
      </c>
      <c r="N904" s="9">
        <v>27.483000000000004</v>
      </c>
    </row>
    <row r="905" spans="1:14">
      <c r="A905" t="s">
        <v>1378</v>
      </c>
      <c r="B905" s="6">
        <v>46009</v>
      </c>
      <c r="C905" t="s">
        <v>233</v>
      </c>
      <c r="D905" t="s">
        <v>78</v>
      </c>
      <c r="E905" t="s">
        <v>52</v>
      </c>
      <c r="F905" t="s">
        <v>56</v>
      </c>
      <c r="G905" t="s">
        <v>94</v>
      </c>
      <c r="H905" t="s">
        <v>51</v>
      </c>
      <c r="I905">
        <v>1</v>
      </c>
      <c r="J905" s="7">
        <v>18</v>
      </c>
      <c r="K905" s="8">
        <v>0</v>
      </c>
      <c r="L905" s="9">
        <v>18</v>
      </c>
      <c r="M905" s="9">
        <v>5.5</v>
      </c>
      <c r="N905" s="9">
        <v>12.5</v>
      </c>
    </row>
    <row r="906" spans="1:14">
      <c r="A906" t="s">
        <v>1379</v>
      </c>
      <c r="B906" s="6">
        <v>45895</v>
      </c>
      <c r="C906" t="s">
        <v>447</v>
      </c>
      <c r="D906" t="s">
        <v>79</v>
      </c>
      <c r="E906" t="s">
        <v>52</v>
      </c>
      <c r="F906" t="s">
        <v>53</v>
      </c>
      <c r="G906" t="s">
        <v>92</v>
      </c>
      <c r="H906" t="s">
        <v>57</v>
      </c>
      <c r="I906">
        <v>1</v>
      </c>
      <c r="J906" s="7">
        <v>22</v>
      </c>
      <c r="K906" s="8">
        <v>0</v>
      </c>
      <c r="L906" s="9">
        <v>22</v>
      </c>
      <c r="M906" s="9">
        <v>7.5</v>
      </c>
      <c r="N906" s="9">
        <v>14.5</v>
      </c>
    </row>
    <row r="907" spans="1:14">
      <c r="A907" t="s">
        <v>1380</v>
      </c>
      <c r="B907" s="6">
        <v>45797</v>
      </c>
      <c r="C907" t="s">
        <v>901</v>
      </c>
      <c r="D907" t="s">
        <v>78</v>
      </c>
      <c r="E907" t="s">
        <v>52</v>
      </c>
      <c r="F907" t="s">
        <v>50</v>
      </c>
      <c r="G907" t="s">
        <v>87</v>
      </c>
      <c r="H907" t="s">
        <v>48</v>
      </c>
      <c r="I907">
        <v>1</v>
      </c>
      <c r="J907" s="7">
        <v>89.99</v>
      </c>
      <c r="K907" s="8">
        <v>0.1</v>
      </c>
      <c r="L907" s="9">
        <v>80.991</v>
      </c>
      <c r="M907" s="9">
        <v>46</v>
      </c>
      <c r="N907" s="9">
        <v>34.991</v>
      </c>
    </row>
    <row r="908" spans="1:14">
      <c r="A908" t="s">
        <v>1381</v>
      </c>
      <c r="B908" s="6">
        <v>45906</v>
      </c>
      <c r="C908" t="s">
        <v>679</v>
      </c>
      <c r="D908" t="s">
        <v>78</v>
      </c>
      <c r="E908" t="s">
        <v>49</v>
      </c>
      <c r="F908" t="s">
        <v>59</v>
      </c>
      <c r="G908" t="s">
        <v>85</v>
      </c>
      <c r="H908" t="s">
        <v>48</v>
      </c>
      <c r="I908">
        <v>1</v>
      </c>
      <c r="J908" s="7">
        <v>59.99</v>
      </c>
      <c r="K908" s="8">
        <v>0.15</v>
      </c>
      <c r="L908" s="9">
        <v>50.991500000000002</v>
      </c>
      <c r="M908" s="9">
        <v>28</v>
      </c>
      <c r="N908" s="9">
        <v>22.991500000000002</v>
      </c>
    </row>
    <row r="909" spans="1:14">
      <c r="A909" t="s">
        <v>1382</v>
      </c>
      <c r="B909" s="6">
        <v>45844</v>
      </c>
      <c r="C909" t="s">
        <v>716</v>
      </c>
      <c r="D909" t="s">
        <v>79</v>
      </c>
      <c r="E909" t="s">
        <v>49</v>
      </c>
      <c r="F909" t="s">
        <v>60</v>
      </c>
      <c r="G909" t="s">
        <v>86</v>
      </c>
      <c r="H909" t="s">
        <v>48</v>
      </c>
      <c r="I909">
        <v>1</v>
      </c>
      <c r="J909" s="7">
        <v>34.99</v>
      </c>
      <c r="K909" s="8">
        <v>0.1</v>
      </c>
      <c r="L909" s="9">
        <v>31.491000000000003</v>
      </c>
      <c r="M909" s="9">
        <v>16</v>
      </c>
      <c r="N909" s="9">
        <v>15.491000000000003</v>
      </c>
    </row>
    <row r="910" spans="1:14">
      <c r="A910" t="s">
        <v>1383</v>
      </c>
      <c r="B910" s="6">
        <v>45914</v>
      </c>
      <c r="C910" t="s">
        <v>1024</v>
      </c>
      <c r="D910" t="s">
        <v>79</v>
      </c>
      <c r="E910" t="s">
        <v>55</v>
      </c>
      <c r="F910" t="s">
        <v>59</v>
      </c>
      <c r="G910" t="s">
        <v>86</v>
      </c>
      <c r="H910" t="s">
        <v>48</v>
      </c>
      <c r="I910">
        <v>1</v>
      </c>
      <c r="J910" s="7">
        <v>34.99</v>
      </c>
      <c r="K910" s="8">
        <v>0.1</v>
      </c>
      <c r="L910" s="9">
        <v>31.491000000000003</v>
      </c>
      <c r="M910" s="9">
        <v>16</v>
      </c>
      <c r="N910" s="9">
        <v>15.491000000000003</v>
      </c>
    </row>
    <row r="911" spans="1:14">
      <c r="A911" t="s">
        <v>1384</v>
      </c>
      <c r="B911" s="6">
        <v>45704</v>
      </c>
      <c r="C911" t="s">
        <v>1141</v>
      </c>
      <c r="D911" t="s">
        <v>78</v>
      </c>
      <c r="E911" t="s">
        <v>58</v>
      </c>
      <c r="F911" t="s">
        <v>53</v>
      </c>
      <c r="G911" t="s">
        <v>88</v>
      </c>
      <c r="H911" t="s">
        <v>51</v>
      </c>
      <c r="I911">
        <v>1</v>
      </c>
      <c r="J911" s="7">
        <v>42</v>
      </c>
      <c r="K911" s="8">
        <v>0.1</v>
      </c>
      <c r="L911" s="9">
        <v>37.800000000000004</v>
      </c>
      <c r="M911" s="9">
        <v>19</v>
      </c>
      <c r="N911" s="9">
        <v>18.800000000000004</v>
      </c>
    </row>
    <row r="912" spans="1:14">
      <c r="A912" t="s">
        <v>1385</v>
      </c>
      <c r="B912" s="6">
        <v>45874</v>
      </c>
      <c r="C912" t="s">
        <v>791</v>
      </c>
      <c r="D912" t="s">
        <v>79</v>
      </c>
      <c r="E912" t="s">
        <v>58</v>
      </c>
      <c r="F912" t="s">
        <v>56</v>
      </c>
      <c r="G912" t="s">
        <v>88</v>
      </c>
      <c r="H912" t="s">
        <v>51</v>
      </c>
      <c r="I912">
        <v>1</v>
      </c>
      <c r="J912" s="7">
        <v>42</v>
      </c>
      <c r="K912" s="8">
        <v>0</v>
      </c>
      <c r="L912" s="9">
        <v>42</v>
      </c>
      <c r="M912" s="9">
        <v>19</v>
      </c>
      <c r="N912" s="9">
        <v>23</v>
      </c>
    </row>
    <row r="913" spans="1:14">
      <c r="A913" t="s">
        <v>1386</v>
      </c>
      <c r="B913" s="6">
        <v>45959</v>
      </c>
      <c r="C913" t="s">
        <v>260</v>
      </c>
      <c r="D913" t="s">
        <v>79</v>
      </c>
      <c r="E913" t="s">
        <v>58</v>
      </c>
      <c r="F913" t="s">
        <v>59</v>
      </c>
      <c r="G913" t="s">
        <v>85</v>
      </c>
      <c r="H913" t="s">
        <v>48</v>
      </c>
      <c r="I913">
        <v>1</v>
      </c>
      <c r="J913" s="7">
        <v>59.99</v>
      </c>
      <c r="K913" s="8">
        <v>0</v>
      </c>
      <c r="L913" s="9">
        <v>59.99</v>
      </c>
      <c r="M913" s="9">
        <v>28</v>
      </c>
      <c r="N913" s="9">
        <v>31.990000000000002</v>
      </c>
    </row>
    <row r="914" spans="1:14">
      <c r="A914" t="s">
        <v>1387</v>
      </c>
      <c r="B914" s="6">
        <v>46007</v>
      </c>
      <c r="C914" t="s">
        <v>150</v>
      </c>
      <c r="D914" t="s">
        <v>79</v>
      </c>
      <c r="E914" t="s">
        <v>58</v>
      </c>
      <c r="F914" t="s">
        <v>56</v>
      </c>
      <c r="G914" t="s">
        <v>88</v>
      </c>
      <c r="H914" t="s">
        <v>51</v>
      </c>
      <c r="I914">
        <v>4</v>
      </c>
      <c r="J914" s="7">
        <v>42</v>
      </c>
      <c r="K914" s="8">
        <v>0.15</v>
      </c>
      <c r="L914" s="9">
        <v>142.79999999999998</v>
      </c>
      <c r="M914" s="9">
        <v>76</v>
      </c>
      <c r="N914" s="9">
        <v>66.799999999999983</v>
      </c>
    </row>
    <row r="915" spans="1:14">
      <c r="A915" t="s">
        <v>1388</v>
      </c>
      <c r="B915" s="6">
        <v>45815</v>
      </c>
      <c r="C915" t="s">
        <v>461</v>
      </c>
      <c r="D915" t="s">
        <v>78</v>
      </c>
      <c r="E915" t="s">
        <v>49</v>
      </c>
      <c r="F915" t="s">
        <v>53</v>
      </c>
      <c r="G915" t="s">
        <v>85</v>
      </c>
      <c r="H915" t="s">
        <v>48</v>
      </c>
      <c r="I915">
        <v>2</v>
      </c>
      <c r="J915" s="7">
        <v>59.99</v>
      </c>
      <c r="K915" s="8">
        <v>0.15</v>
      </c>
      <c r="L915" s="9">
        <v>101.983</v>
      </c>
      <c r="M915" s="9">
        <v>56</v>
      </c>
      <c r="N915" s="9">
        <v>45.983000000000004</v>
      </c>
    </row>
    <row r="916" spans="1:14">
      <c r="A916" t="s">
        <v>1389</v>
      </c>
      <c r="B916" s="6">
        <v>45787</v>
      </c>
      <c r="C916" t="s">
        <v>241</v>
      </c>
      <c r="D916" t="s">
        <v>79</v>
      </c>
      <c r="E916" t="s">
        <v>52</v>
      </c>
      <c r="F916" t="s">
        <v>59</v>
      </c>
      <c r="G916" t="s">
        <v>93</v>
      </c>
      <c r="H916" t="s">
        <v>54</v>
      </c>
      <c r="I916">
        <v>1</v>
      </c>
      <c r="J916" s="7">
        <v>68</v>
      </c>
      <c r="K916" s="8">
        <v>0.05</v>
      </c>
      <c r="L916" s="9">
        <v>64.599999999999994</v>
      </c>
      <c r="M916" s="9">
        <v>31</v>
      </c>
      <c r="N916" s="9">
        <v>33.599999999999994</v>
      </c>
    </row>
    <row r="917" spans="1:14">
      <c r="A917" t="s">
        <v>1390</v>
      </c>
      <c r="B917" s="6">
        <v>45856</v>
      </c>
      <c r="C917" t="s">
        <v>1082</v>
      </c>
      <c r="D917" t="s">
        <v>79</v>
      </c>
      <c r="E917" t="s">
        <v>55</v>
      </c>
      <c r="F917" t="s">
        <v>50</v>
      </c>
      <c r="G917" t="s">
        <v>85</v>
      </c>
      <c r="H917" t="s">
        <v>48</v>
      </c>
      <c r="I917">
        <v>3</v>
      </c>
      <c r="J917" s="7">
        <v>59.99</v>
      </c>
      <c r="K917" s="8">
        <v>0</v>
      </c>
      <c r="L917" s="9">
        <v>179.97</v>
      </c>
      <c r="M917" s="9">
        <v>84</v>
      </c>
      <c r="N917" s="9">
        <v>95.97</v>
      </c>
    </row>
    <row r="918" spans="1:14">
      <c r="A918" t="s">
        <v>1391</v>
      </c>
      <c r="B918" s="6">
        <v>45778</v>
      </c>
      <c r="C918" t="s">
        <v>260</v>
      </c>
      <c r="D918" t="s">
        <v>79</v>
      </c>
      <c r="E918" t="s">
        <v>58</v>
      </c>
      <c r="F918" t="s">
        <v>50</v>
      </c>
      <c r="G918" t="s">
        <v>89</v>
      </c>
      <c r="H918" t="s">
        <v>51</v>
      </c>
      <c r="I918">
        <v>1</v>
      </c>
      <c r="J918" s="7">
        <v>38</v>
      </c>
      <c r="K918" s="8">
        <v>0.15</v>
      </c>
      <c r="L918" s="9">
        <v>32.299999999999997</v>
      </c>
      <c r="M918" s="9">
        <v>17</v>
      </c>
      <c r="N918" s="9">
        <v>15.299999999999997</v>
      </c>
    </row>
    <row r="919" spans="1:14">
      <c r="A919" t="s">
        <v>1392</v>
      </c>
      <c r="B919" s="6">
        <v>45798</v>
      </c>
      <c r="C919" t="s">
        <v>864</v>
      </c>
      <c r="D919" t="s">
        <v>78</v>
      </c>
      <c r="E919" t="s">
        <v>55</v>
      </c>
      <c r="F919" t="s">
        <v>59</v>
      </c>
      <c r="G919" t="s">
        <v>86</v>
      </c>
      <c r="H919" t="s">
        <v>48</v>
      </c>
      <c r="I919">
        <v>2</v>
      </c>
      <c r="J919" s="7">
        <v>34.99</v>
      </c>
      <c r="K919" s="8">
        <v>0.2</v>
      </c>
      <c r="L919" s="9">
        <v>55.984000000000009</v>
      </c>
      <c r="M919" s="9">
        <v>32</v>
      </c>
      <c r="N919" s="9">
        <v>23.984000000000009</v>
      </c>
    </row>
    <row r="920" spans="1:14">
      <c r="A920" t="s">
        <v>1393</v>
      </c>
      <c r="B920" s="6">
        <v>45709</v>
      </c>
      <c r="C920" t="s">
        <v>454</v>
      </c>
      <c r="D920" t="s">
        <v>78</v>
      </c>
      <c r="E920" t="s">
        <v>55</v>
      </c>
      <c r="F920" t="s">
        <v>59</v>
      </c>
      <c r="G920" t="s">
        <v>87</v>
      </c>
      <c r="H920" t="s">
        <v>48</v>
      </c>
      <c r="I920">
        <v>2</v>
      </c>
      <c r="J920" s="7">
        <v>89.99</v>
      </c>
      <c r="K920" s="8">
        <v>0.05</v>
      </c>
      <c r="L920" s="9">
        <v>170.98099999999999</v>
      </c>
      <c r="M920" s="9">
        <v>92</v>
      </c>
      <c r="N920" s="9">
        <v>78.980999999999995</v>
      </c>
    </row>
    <row r="921" spans="1:14">
      <c r="A921" t="s">
        <v>1394</v>
      </c>
      <c r="B921" s="6">
        <v>46013</v>
      </c>
      <c r="C921" t="s">
        <v>1395</v>
      </c>
      <c r="D921" t="s">
        <v>78</v>
      </c>
      <c r="E921" t="s">
        <v>52</v>
      </c>
      <c r="F921" t="s">
        <v>50</v>
      </c>
      <c r="G921" t="s">
        <v>85</v>
      </c>
      <c r="H921" t="s">
        <v>48</v>
      </c>
      <c r="I921">
        <v>2</v>
      </c>
      <c r="J921" s="7">
        <v>59.99</v>
      </c>
      <c r="K921" s="8">
        <v>0.05</v>
      </c>
      <c r="L921" s="9">
        <v>113.98099999999999</v>
      </c>
      <c r="M921" s="9">
        <v>56</v>
      </c>
      <c r="N921" s="9">
        <v>57.980999999999995</v>
      </c>
    </row>
    <row r="922" spans="1:14">
      <c r="A922" t="s">
        <v>1396</v>
      </c>
      <c r="B922" s="6">
        <v>45863</v>
      </c>
      <c r="C922" t="s">
        <v>528</v>
      </c>
      <c r="D922" t="s">
        <v>78</v>
      </c>
      <c r="E922" t="s">
        <v>52</v>
      </c>
      <c r="F922" t="s">
        <v>60</v>
      </c>
      <c r="G922" t="s">
        <v>88</v>
      </c>
      <c r="H922" t="s">
        <v>51</v>
      </c>
      <c r="I922">
        <v>2</v>
      </c>
      <c r="J922" s="7">
        <v>42</v>
      </c>
      <c r="K922" s="8">
        <v>0</v>
      </c>
      <c r="L922" s="9">
        <v>84</v>
      </c>
      <c r="M922" s="9">
        <v>38</v>
      </c>
      <c r="N922" s="9">
        <v>46</v>
      </c>
    </row>
    <row r="923" spans="1:14">
      <c r="A923" t="s">
        <v>1397</v>
      </c>
      <c r="B923" s="6">
        <v>45990</v>
      </c>
      <c r="C923" t="s">
        <v>260</v>
      </c>
      <c r="D923" t="s">
        <v>79</v>
      </c>
      <c r="E923" t="s">
        <v>58</v>
      </c>
      <c r="F923" t="s">
        <v>59</v>
      </c>
      <c r="G923" t="s">
        <v>87</v>
      </c>
      <c r="H923" t="s">
        <v>48</v>
      </c>
      <c r="I923">
        <v>2</v>
      </c>
      <c r="J923" s="7">
        <v>89.99</v>
      </c>
      <c r="K923" s="8">
        <v>0.1</v>
      </c>
      <c r="L923" s="9">
        <v>161.982</v>
      </c>
      <c r="M923" s="9">
        <v>92</v>
      </c>
      <c r="N923" s="9">
        <v>69.981999999999999</v>
      </c>
    </row>
    <row r="924" spans="1:14">
      <c r="A924" t="s">
        <v>1398</v>
      </c>
      <c r="B924" s="6">
        <v>45726</v>
      </c>
      <c r="C924" t="s">
        <v>325</v>
      </c>
      <c r="D924" t="s">
        <v>78</v>
      </c>
      <c r="E924" t="s">
        <v>52</v>
      </c>
      <c r="F924" t="s">
        <v>50</v>
      </c>
      <c r="G924" t="s">
        <v>89</v>
      </c>
      <c r="H924" t="s">
        <v>51</v>
      </c>
      <c r="I924">
        <v>1</v>
      </c>
      <c r="J924" s="7">
        <v>38</v>
      </c>
      <c r="K924" s="8">
        <v>0.05</v>
      </c>
      <c r="L924" s="9">
        <v>36.1</v>
      </c>
      <c r="M924" s="9">
        <v>17</v>
      </c>
      <c r="N924" s="9">
        <v>19.100000000000001</v>
      </c>
    </row>
    <row r="925" spans="1:14">
      <c r="A925" t="s">
        <v>1399</v>
      </c>
      <c r="B925" s="6">
        <v>45870</v>
      </c>
      <c r="C925" t="s">
        <v>430</v>
      </c>
      <c r="D925" t="s">
        <v>79</v>
      </c>
      <c r="E925" t="s">
        <v>52</v>
      </c>
      <c r="F925" t="s">
        <v>50</v>
      </c>
      <c r="G925" t="s">
        <v>90</v>
      </c>
      <c r="H925" t="s">
        <v>54</v>
      </c>
      <c r="I925">
        <v>1</v>
      </c>
      <c r="J925" s="7">
        <v>29</v>
      </c>
      <c r="K925" s="8">
        <v>0.15</v>
      </c>
      <c r="L925" s="9">
        <v>24.65</v>
      </c>
      <c r="M925" s="9">
        <v>11</v>
      </c>
      <c r="N925" s="9">
        <v>13.649999999999999</v>
      </c>
    </row>
    <row r="926" spans="1:14">
      <c r="A926" t="s">
        <v>1400</v>
      </c>
      <c r="B926" s="6">
        <v>45669</v>
      </c>
      <c r="C926" t="s">
        <v>256</v>
      </c>
      <c r="D926" t="s">
        <v>79</v>
      </c>
      <c r="E926" t="s">
        <v>52</v>
      </c>
      <c r="F926" t="s">
        <v>56</v>
      </c>
      <c r="G926" t="s">
        <v>93</v>
      </c>
      <c r="H926" t="s">
        <v>54</v>
      </c>
      <c r="I926">
        <v>2</v>
      </c>
      <c r="J926" s="7">
        <v>68</v>
      </c>
      <c r="K926" s="8">
        <v>0.05</v>
      </c>
      <c r="L926" s="9">
        <v>129.19999999999999</v>
      </c>
      <c r="M926" s="9">
        <v>62</v>
      </c>
      <c r="N926" s="9">
        <v>67.199999999999989</v>
      </c>
    </row>
    <row r="927" spans="1:14">
      <c r="A927" t="s">
        <v>1401</v>
      </c>
      <c r="B927" s="6">
        <v>46017</v>
      </c>
      <c r="C927" t="s">
        <v>220</v>
      </c>
      <c r="D927" t="s">
        <v>79</v>
      </c>
      <c r="E927" t="s">
        <v>49</v>
      </c>
      <c r="F927" t="s">
        <v>56</v>
      </c>
      <c r="G927" t="s">
        <v>87</v>
      </c>
      <c r="H927" t="s">
        <v>48</v>
      </c>
      <c r="I927">
        <v>1</v>
      </c>
      <c r="J927" s="7">
        <v>89.99</v>
      </c>
      <c r="K927" s="8">
        <v>0.05</v>
      </c>
      <c r="L927" s="9">
        <v>85.490499999999997</v>
      </c>
      <c r="M927" s="9">
        <v>46</v>
      </c>
      <c r="N927" s="9">
        <v>39.490499999999997</v>
      </c>
    </row>
    <row r="928" spans="1:14">
      <c r="A928" t="s">
        <v>1402</v>
      </c>
      <c r="B928" s="6">
        <v>45745</v>
      </c>
      <c r="C928" t="s">
        <v>592</v>
      </c>
      <c r="D928" t="s">
        <v>78</v>
      </c>
      <c r="E928" t="s">
        <v>58</v>
      </c>
      <c r="F928" t="s">
        <v>50</v>
      </c>
      <c r="G928" t="s">
        <v>94</v>
      </c>
      <c r="H928" t="s">
        <v>51</v>
      </c>
      <c r="I928">
        <v>1</v>
      </c>
      <c r="J928" s="7">
        <v>18</v>
      </c>
      <c r="K928" s="8">
        <v>0.1</v>
      </c>
      <c r="L928" s="9">
        <v>16.2</v>
      </c>
      <c r="M928" s="9">
        <v>5.5</v>
      </c>
      <c r="N928" s="9">
        <v>10.7</v>
      </c>
    </row>
    <row r="929" spans="1:14">
      <c r="A929" t="s">
        <v>1403</v>
      </c>
      <c r="B929" s="6">
        <v>45772</v>
      </c>
      <c r="C929" t="s">
        <v>339</v>
      </c>
      <c r="D929" t="s">
        <v>79</v>
      </c>
      <c r="E929" t="s">
        <v>58</v>
      </c>
      <c r="F929" t="s">
        <v>59</v>
      </c>
      <c r="G929" t="s">
        <v>88</v>
      </c>
      <c r="H929" t="s">
        <v>51</v>
      </c>
      <c r="I929">
        <v>1</v>
      </c>
      <c r="J929" s="7">
        <v>42</v>
      </c>
      <c r="K929" s="8">
        <v>0.15</v>
      </c>
      <c r="L929" s="9">
        <v>35.699999999999996</v>
      </c>
      <c r="M929" s="9">
        <v>19</v>
      </c>
      <c r="N929" s="9">
        <v>16.699999999999996</v>
      </c>
    </row>
    <row r="930" spans="1:14">
      <c r="A930" t="s">
        <v>1404</v>
      </c>
      <c r="B930" s="6">
        <v>45724</v>
      </c>
      <c r="C930" t="s">
        <v>468</v>
      </c>
      <c r="D930" t="s">
        <v>79</v>
      </c>
      <c r="E930" t="s">
        <v>52</v>
      </c>
      <c r="F930" t="s">
        <v>59</v>
      </c>
      <c r="G930" t="s">
        <v>91</v>
      </c>
      <c r="H930" t="s">
        <v>57</v>
      </c>
      <c r="I930">
        <v>3</v>
      </c>
      <c r="J930" s="7">
        <v>35</v>
      </c>
      <c r="K930" s="8">
        <v>0.05</v>
      </c>
      <c r="L930" s="9">
        <v>99.75</v>
      </c>
      <c r="M930" s="9">
        <v>42</v>
      </c>
      <c r="N930" s="9">
        <v>57.75</v>
      </c>
    </row>
    <row r="931" spans="1:14">
      <c r="A931" t="s">
        <v>1405</v>
      </c>
      <c r="B931" s="6">
        <v>45750</v>
      </c>
      <c r="C931" t="s">
        <v>716</v>
      </c>
      <c r="D931" t="s">
        <v>79</v>
      </c>
      <c r="E931" t="s">
        <v>58</v>
      </c>
      <c r="F931" t="s">
        <v>53</v>
      </c>
      <c r="G931" t="s">
        <v>91</v>
      </c>
      <c r="H931" t="s">
        <v>57</v>
      </c>
      <c r="I931">
        <v>2</v>
      </c>
      <c r="J931" s="7">
        <v>35</v>
      </c>
      <c r="K931" s="8">
        <v>0</v>
      </c>
      <c r="L931" s="9">
        <v>70</v>
      </c>
      <c r="M931" s="9">
        <v>28</v>
      </c>
      <c r="N931" s="9">
        <v>42</v>
      </c>
    </row>
    <row r="932" spans="1:14">
      <c r="A932" t="s">
        <v>1406</v>
      </c>
      <c r="B932" s="6">
        <v>45847</v>
      </c>
      <c r="C932" t="s">
        <v>228</v>
      </c>
      <c r="D932" t="s">
        <v>78</v>
      </c>
      <c r="E932" t="s">
        <v>55</v>
      </c>
      <c r="F932" t="s">
        <v>59</v>
      </c>
      <c r="G932" t="s">
        <v>94</v>
      </c>
      <c r="H932" t="s">
        <v>51</v>
      </c>
      <c r="I932">
        <v>2</v>
      </c>
      <c r="J932" s="7">
        <v>18</v>
      </c>
      <c r="K932" s="8">
        <v>0</v>
      </c>
      <c r="L932" s="9">
        <v>36</v>
      </c>
      <c r="M932" s="9">
        <v>11</v>
      </c>
      <c r="N932" s="9">
        <v>25</v>
      </c>
    </row>
    <row r="933" spans="1:14">
      <c r="A933" t="s">
        <v>1407</v>
      </c>
      <c r="B933" s="6">
        <v>46009</v>
      </c>
      <c r="C933" t="s">
        <v>1082</v>
      </c>
      <c r="D933" t="s">
        <v>79</v>
      </c>
      <c r="E933" t="s">
        <v>49</v>
      </c>
      <c r="F933" t="s">
        <v>50</v>
      </c>
      <c r="G933" t="s">
        <v>88</v>
      </c>
      <c r="H933" t="s">
        <v>51</v>
      </c>
      <c r="I933">
        <v>2</v>
      </c>
      <c r="J933" s="7">
        <v>42</v>
      </c>
      <c r="K933" s="8">
        <v>0.1</v>
      </c>
      <c r="L933" s="9">
        <v>75.600000000000009</v>
      </c>
      <c r="M933" s="9">
        <v>38</v>
      </c>
      <c r="N933" s="9">
        <v>37.600000000000009</v>
      </c>
    </row>
    <row r="934" spans="1:14">
      <c r="A934" t="s">
        <v>1408</v>
      </c>
      <c r="B934" s="6">
        <v>45943</v>
      </c>
      <c r="C934" t="s">
        <v>909</v>
      </c>
      <c r="D934" t="s">
        <v>78</v>
      </c>
      <c r="E934" t="s">
        <v>49</v>
      </c>
      <c r="F934" t="s">
        <v>50</v>
      </c>
      <c r="G934" t="s">
        <v>85</v>
      </c>
      <c r="H934" t="s">
        <v>48</v>
      </c>
      <c r="I934">
        <v>1</v>
      </c>
      <c r="J934" s="7">
        <v>59.99</v>
      </c>
      <c r="K934" s="8">
        <v>0.15</v>
      </c>
      <c r="L934" s="9">
        <v>50.991500000000002</v>
      </c>
      <c r="M934" s="9">
        <v>28</v>
      </c>
      <c r="N934" s="9">
        <v>22.991500000000002</v>
      </c>
    </row>
    <row r="935" spans="1:14">
      <c r="A935" t="s">
        <v>1409</v>
      </c>
      <c r="B935" s="6">
        <v>45787</v>
      </c>
      <c r="C935" t="s">
        <v>289</v>
      </c>
      <c r="D935" t="s">
        <v>78</v>
      </c>
      <c r="E935" t="s">
        <v>52</v>
      </c>
      <c r="F935" t="s">
        <v>60</v>
      </c>
      <c r="G935" t="s">
        <v>93</v>
      </c>
      <c r="H935" t="s">
        <v>54</v>
      </c>
      <c r="I935">
        <v>2</v>
      </c>
      <c r="J935" s="7">
        <v>68</v>
      </c>
      <c r="K935" s="8">
        <v>0</v>
      </c>
      <c r="L935" s="9">
        <v>136</v>
      </c>
      <c r="M935" s="9">
        <v>62</v>
      </c>
      <c r="N935" s="9">
        <v>74</v>
      </c>
    </row>
    <row r="936" spans="1:14">
      <c r="A936" t="s">
        <v>1410</v>
      </c>
      <c r="B936" s="6">
        <v>45679</v>
      </c>
      <c r="C936" t="s">
        <v>1411</v>
      </c>
      <c r="D936" t="s">
        <v>78</v>
      </c>
      <c r="E936" t="s">
        <v>58</v>
      </c>
      <c r="F936" t="s">
        <v>53</v>
      </c>
      <c r="G936" t="s">
        <v>94</v>
      </c>
      <c r="H936" t="s">
        <v>51</v>
      </c>
      <c r="I936">
        <v>1</v>
      </c>
      <c r="J936" s="7">
        <v>18</v>
      </c>
      <c r="K936" s="8">
        <v>0</v>
      </c>
      <c r="L936" s="9">
        <v>18</v>
      </c>
      <c r="M936" s="9">
        <v>5.5</v>
      </c>
      <c r="N936" s="9">
        <v>12.5</v>
      </c>
    </row>
    <row r="937" spans="1:14">
      <c r="A937" t="s">
        <v>1412</v>
      </c>
      <c r="B937" s="6">
        <v>45703</v>
      </c>
      <c r="C937" t="s">
        <v>572</v>
      </c>
      <c r="D937" t="s">
        <v>78</v>
      </c>
      <c r="E937" t="s">
        <v>49</v>
      </c>
      <c r="F937" t="s">
        <v>53</v>
      </c>
      <c r="G937" t="s">
        <v>90</v>
      </c>
      <c r="H937" t="s">
        <v>54</v>
      </c>
      <c r="I937">
        <v>2</v>
      </c>
      <c r="J937" s="7">
        <v>29</v>
      </c>
      <c r="K937" s="8">
        <v>0</v>
      </c>
      <c r="L937" s="9">
        <v>58</v>
      </c>
      <c r="M937" s="9">
        <v>22</v>
      </c>
      <c r="N937" s="9">
        <v>36</v>
      </c>
    </row>
    <row r="938" spans="1:14">
      <c r="A938" t="s">
        <v>1413</v>
      </c>
      <c r="B938" s="6">
        <v>45913</v>
      </c>
      <c r="C938" t="s">
        <v>1024</v>
      </c>
      <c r="D938" t="s">
        <v>78</v>
      </c>
      <c r="E938" t="s">
        <v>55</v>
      </c>
      <c r="F938" t="s">
        <v>60</v>
      </c>
      <c r="G938" t="s">
        <v>89</v>
      </c>
      <c r="H938" t="s">
        <v>51</v>
      </c>
      <c r="I938">
        <v>2</v>
      </c>
      <c r="J938" s="7">
        <v>38</v>
      </c>
      <c r="K938" s="8">
        <v>0.15</v>
      </c>
      <c r="L938" s="9">
        <v>64.599999999999994</v>
      </c>
      <c r="M938" s="9">
        <v>34</v>
      </c>
      <c r="N938" s="9">
        <v>30.599999999999994</v>
      </c>
    </row>
    <row r="939" spans="1:14">
      <c r="A939" t="s">
        <v>1414</v>
      </c>
      <c r="B939" s="6">
        <v>45818</v>
      </c>
      <c r="C939" t="s">
        <v>220</v>
      </c>
      <c r="D939" t="s">
        <v>79</v>
      </c>
      <c r="E939" t="s">
        <v>58</v>
      </c>
      <c r="F939" t="s">
        <v>50</v>
      </c>
      <c r="G939" t="s">
        <v>91</v>
      </c>
      <c r="H939" t="s">
        <v>57</v>
      </c>
      <c r="I939">
        <v>3</v>
      </c>
      <c r="J939" s="7">
        <v>35</v>
      </c>
      <c r="K939" s="8">
        <v>0</v>
      </c>
      <c r="L939" s="9">
        <v>105</v>
      </c>
      <c r="M939" s="9">
        <v>42</v>
      </c>
      <c r="N939" s="9">
        <v>63</v>
      </c>
    </row>
    <row r="940" spans="1:14">
      <c r="A940" t="s">
        <v>1415</v>
      </c>
      <c r="B940" s="6">
        <v>45754</v>
      </c>
      <c r="C940" t="s">
        <v>1189</v>
      </c>
      <c r="D940" t="s">
        <v>78</v>
      </c>
      <c r="E940" t="s">
        <v>58</v>
      </c>
      <c r="F940" t="s">
        <v>59</v>
      </c>
      <c r="G940" t="s">
        <v>87</v>
      </c>
      <c r="H940" t="s">
        <v>48</v>
      </c>
      <c r="I940">
        <v>1</v>
      </c>
      <c r="J940" s="7">
        <v>89.99</v>
      </c>
      <c r="K940" s="8">
        <v>0</v>
      </c>
      <c r="L940" s="9">
        <v>89.99</v>
      </c>
      <c r="M940" s="9">
        <v>46</v>
      </c>
      <c r="N940" s="9">
        <v>43.989999999999995</v>
      </c>
    </row>
    <row r="941" spans="1:14">
      <c r="A941" t="s">
        <v>1416</v>
      </c>
      <c r="B941" s="6">
        <v>45717</v>
      </c>
      <c r="C941" t="s">
        <v>254</v>
      </c>
      <c r="D941" t="s">
        <v>79</v>
      </c>
      <c r="E941" t="s">
        <v>58</v>
      </c>
      <c r="F941" t="s">
        <v>59</v>
      </c>
      <c r="G941" t="s">
        <v>92</v>
      </c>
      <c r="H941" t="s">
        <v>57</v>
      </c>
      <c r="I941">
        <v>1</v>
      </c>
      <c r="J941" s="7">
        <v>22</v>
      </c>
      <c r="K941" s="8">
        <v>0</v>
      </c>
      <c r="L941" s="9">
        <v>22</v>
      </c>
      <c r="M941" s="9">
        <v>7.5</v>
      </c>
      <c r="N941" s="9">
        <v>14.5</v>
      </c>
    </row>
    <row r="942" spans="1:14">
      <c r="A942" t="s">
        <v>1417</v>
      </c>
      <c r="B942" s="6">
        <v>45715</v>
      </c>
      <c r="C942" t="s">
        <v>371</v>
      </c>
      <c r="D942" t="s">
        <v>79</v>
      </c>
      <c r="E942" t="s">
        <v>52</v>
      </c>
      <c r="F942" t="s">
        <v>60</v>
      </c>
      <c r="G942" t="s">
        <v>87</v>
      </c>
      <c r="H942" t="s">
        <v>48</v>
      </c>
      <c r="I942">
        <v>1</v>
      </c>
      <c r="J942" s="7">
        <v>89.99</v>
      </c>
      <c r="K942" s="8">
        <v>0</v>
      </c>
      <c r="L942" s="9">
        <v>89.99</v>
      </c>
      <c r="M942" s="9">
        <v>46</v>
      </c>
      <c r="N942" s="9">
        <v>43.989999999999995</v>
      </c>
    </row>
    <row r="943" spans="1:14">
      <c r="A943" t="s">
        <v>1418</v>
      </c>
      <c r="B943" s="6">
        <v>45797</v>
      </c>
      <c r="C943" t="s">
        <v>323</v>
      </c>
      <c r="D943" t="s">
        <v>79</v>
      </c>
      <c r="E943" t="s">
        <v>52</v>
      </c>
      <c r="F943" t="s">
        <v>59</v>
      </c>
      <c r="G943" t="s">
        <v>94</v>
      </c>
      <c r="H943" t="s">
        <v>51</v>
      </c>
      <c r="I943">
        <v>3</v>
      </c>
      <c r="J943" s="7">
        <v>18</v>
      </c>
      <c r="K943" s="8">
        <v>0.05</v>
      </c>
      <c r="L943" s="9">
        <v>51.3</v>
      </c>
      <c r="M943" s="9">
        <v>16.5</v>
      </c>
      <c r="N943" s="9">
        <v>34.799999999999997</v>
      </c>
    </row>
    <row r="944" spans="1:14">
      <c r="A944" t="s">
        <v>1419</v>
      </c>
      <c r="B944" s="6">
        <v>45697</v>
      </c>
      <c r="C944" t="s">
        <v>761</v>
      </c>
      <c r="D944" t="s">
        <v>79</v>
      </c>
      <c r="E944" t="s">
        <v>55</v>
      </c>
      <c r="F944" t="s">
        <v>50</v>
      </c>
      <c r="G944" t="s">
        <v>88</v>
      </c>
      <c r="H944" t="s">
        <v>51</v>
      </c>
      <c r="I944">
        <v>2</v>
      </c>
      <c r="J944" s="7">
        <v>42</v>
      </c>
      <c r="K944" s="8">
        <v>0.1</v>
      </c>
      <c r="L944" s="9">
        <v>75.600000000000009</v>
      </c>
      <c r="M944" s="9">
        <v>38</v>
      </c>
      <c r="N944" s="9">
        <v>37.600000000000009</v>
      </c>
    </row>
    <row r="945" spans="1:14">
      <c r="A945" t="s">
        <v>1420</v>
      </c>
      <c r="B945" s="6">
        <v>45859</v>
      </c>
      <c r="C945" t="s">
        <v>362</v>
      </c>
      <c r="D945" t="s">
        <v>79</v>
      </c>
      <c r="E945" t="s">
        <v>49</v>
      </c>
      <c r="F945" t="s">
        <v>50</v>
      </c>
      <c r="G945" t="s">
        <v>90</v>
      </c>
      <c r="H945" t="s">
        <v>54</v>
      </c>
      <c r="I945">
        <v>1</v>
      </c>
      <c r="J945" s="7">
        <v>29</v>
      </c>
      <c r="K945" s="8">
        <v>0.2</v>
      </c>
      <c r="L945" s="9">
        <v>23.200000000000003</v>
      </c>
      <c r="M945" s="9">
        <v>11</v>
      </c>
      <c r="N945" s="9">
        <v>12.200000000000003</v>
      </c>
    </row>
    <row r="946" spans="1:14">
      <c r="A946" t="s">
        <v>1421</v>
      </c>
      <c r="B946" s="6">
        <v>45893</v>
      </c>
      <c r="C946" t="s">
        <v>323</v>
      </c>
      <c r="D946" t="s">
        <v>79</v>
      </c>
      <c r="E946" t="s">
        <v>55</v>
      </c>
      <c r="F946" t="s">
        <v>50</v>
      </c>
      <c r="G946" t="s">
        <v>92</v>
      </c>
      <c r="H946" t="s">
        <v>57</v>
      </c>
      <c r="I946">
        <v>1</v>
      </c>
      <c r="J946" s="7">
        <v>22</v>
      </c>
      <c r="K946" s="8">
        <v>0.2</v>
      </c>
      <c r="L946" s="9">
        <v>17.600000000000001</v>
      </c>
      <c r="M946" s="9">
        <v>7.5</v>
      </c>
      <c r="N946" s="9">
        <v>10.100000000000001</v>
      </c>
    </row>
    <row r="947" spans="1:14">
      <c r="A947" t="s">
        <v>1422</v>
      </c>
      <c r="B947" s="6">
        <v>45993</v>
      </c>
      <c r="C947" t="s">
        <v>436</v>
      </c>
      <c r="D947" t="s">
        <v>79</v>
      </c>
      <c r="E947" t="s">
        <v>52</v>
      </c>
      <c r="F947" t="s">
        <v>53</v>
      </c>
      <c r="G947" t="s">
        <v>94</v>
      </c>
      <c r="H947" t="s">
        <v>51</v>
      </c>
      <c r="I947">
        <v>4</v>
      </c>
      <c r="J947" s="7">
        <v>18</v>
      </c>
      <c r="K947" s="8">
        <v>0</v>
      </c>
      <c r="L947" s="9">
        <v>72</v>
      </c>
      <c r="M947" s="9">
        <v>22</v>
      </c>
      <c r="N947" s="9">
        <v>50</v>
      </c>
    </row>
    <row r="948" spans="1:14">
      <c r="A948" t="s">
        <v>1423</v>
      </c>
      <c r="B948" s="6">
        <v>45682</v>
      </c>
      <c r="C948" t="s">
        <v>454</v>
      </c>
      <c r="D948" t="s">
        <v>78</v>
      </c>
      <c r="E948" t="s">
        <v>58</v>
      </c>
      <c r="F948" t="s">
        <v>50</v>
      </c>
      <c r="G948" t="s">
        <v>89</v>
      </c>
      <c r="H948" t="s">
        <v>51</v>
      </c>
      <c r="I948">
        <v>1</v>
      </c>
      <c r="J948" s="7">
        <v>38</v>
      </c>
      <c r="K948" s="8">
        <v>0</v>
      </c>
      <c r="L948" s="9">
        <v>38</v>
      </c>
      <c r="M948" s="9">
        <v>17</v>
      </c>
      <c r="N948" s="9">
        <v>21</v>
      </c>
    </row>
    <row r="949" spans="1:14">
      <c r="A949" t="s">
        <v>1424</v>
      </c>
      <c r="B949" s="6">
        <v>45862</v>
      </c>
      <c r="C949" t="s">
        <v>295</v>
      </c>
      <c r="D949" t="s">
        <v>79</v>
      </c>
      <c r="E949" t="s">
        <v>49</v>
      </c>
      <c r="F949" t="s">
        <v>53</v>
      </c>
      <c r="G949" t="s">
        <v>89</v>
      </c>
      <c r="H949" t="s">
        <v>51</v>
      </c>
      <c r="I949">
        <v>1</v>
      </c>
      <c r="J949" s="7">
        <v>38</v>
      </c>
      <c r="K949" s="8">
        <v>0.2</v>
      </c>
      <c r="L949" s="9">
        <v>30.400000000000002</v>
      </c>
      <c r="M949" s="9">
        <v>17</v>
      </c>
      <c r="N949" s="9">
        <v>13.400000000000002</v>
      </c>
    </row>
    <row r="950" spans="1:14">
      <c r="A950" t="s">
        <v>1425</v>
      </c>
      <c r="B950" s="6">
        <v>45741</v>
      </c>
      <c r="C950" t="s">
        <v>362</v>
      </c>
      <c r="D950" t="s">
        <v>79</v>
      </c>
      <c r="E950" t="s">
        <v>49</v>
      </c>
      <c r="F950" t="s">
        <v>56</v>
      </c>
      <c r="G950" t="s">
        <v>91</v>
      </c>
      <c r="H950" t="s">
        <v>57</v>
      </c>
      <c r="I950">
        <v>2</v>
      </c>
      <c r="J950" s="7">
        <v>35</v>
      </c>
      <c r="K950" s="8">
        <v>0</v>
      </c>
      <c r="L950" s="9">
        <v>70</v>
      </c>
      <c r="M950" s="9">
        <v>28</v>
      </c>
      <c r="N950" s="9">
        <v>42</v>
      </c>
    </row>
    <row r="951" spans="1:14">
      <c r="A951" t="s">
        <v>1426</v>
      </c>
      <c r="B951" s="6">
        <v>45909</v>
      </c>
      <c r="C951" t="s">
        <v>840</v>
      </c>
      <c r="D951" t="s">
        <v>79</v>
      </c>
      <c r="E951" t="s">
        <v>52</v>
      </c>
      <c r="F951" t="s">
        <v>56</v>
      </c>
      <c r="G951" t="s">
        <v>91</v>
      </c>
      <c r="H951" t="s">
        <v>57</v>
      </c>
      <c r="I951">
        <v>2</v>
      </c>
      <c r="J951" s="7">
        <v>35</v>
      </c>
      <c r="K951" s="8">
        <v>0.15</v>
      </c>
      <c r="L951" s="9">
        <v>59.5</v>
      </c>
      <c r="M951" s="9">
        <v>28</v>
      </c>
      <c r="N951" s="9">
        <v>31.5</v>
      </c>
    </row>
    <row r="952" spans="1:14">
      <c r="A952" t="s">
        <v>1427</v>
      </c>
      <c r="B952" s="6">
        <v>45998</v>
      </c>
      <c r="C952" t="s">
        <v>1235</v>
      </c>
      <c r="D952" t="s">
        <v>78</v>
      </c>
      <c r="E952" t="s">
        <v>58</v>
      </c>
      <c r="F952" t="s">
        <v>56</v>
      </c>
      <c r="G952" t="s">
        <v>86</v>
      </c>
      <c r="H952" t="s">
        <v>48</v>
      </c>
      <c r="I952">
        <v>2</v>
      </c>
      <c r="J952" s="7">
        <v>34.99</v>
      </c>
      <c r="K952" s="8">
        <v>0.05</v>
      </c>
      <c r="L952" s="9">
        <v>66.480999999999995</v>
      </c>
      <c r="M952" s="9">
        <v>32</v>
      </c>
      <c r="N952" s="9">
        <v>34.480999999999995</v>
      </c>
    </row>
    <row r="953" spans="1:14">
      <c r="A953" t="s">
        <v>1428</v>
      </c>
      <c r="B953" s="6">
        <v>45946</v>
      </c>
      <c r="C953" t="s">
        <v>222</v>
      </c>
      <c r="D953" t="s">
        <v>79</v>
      </c>
      <c r="E953" t="s">
        <v>52</v>
      </c>
      <c r="F953" t="s">
        <v>59</v>
      </c>
      <c r="G953" t="s">
        <v>94</v>
      </c>
      <c r="H953" t="s">
        <v>51</v>
      </c>
      <c r="I953">
        <v>1</v>
      </c>
      <c r="J953" s="7">
        <v>18</v>
      </c>
      <c r="K953" s="8">
        <v>0.1</v>
      </c>
      <c r="L953" s="9">
        <v>16.2</v>
      </c>
      <c r="M953" s="9">
        <v>5.5</v>
      </c>
      <c r="N953" s="9">
        <v>10.7</v>
      </c>
    </row>
    <row r="954" spans="1:14">
      <c r="A954" t="s">
        <v>1429</v>
      </c>
      <c r="B954" s="6">
        <v>45980</v>
      </c>
      <c r="C954" t="s">
        <v>279</v>
      </c>
      <c r="D954" t="s">
        <v>79</v>
      </c>
      <c r="E954" t="s">
        <v>52</v>
      </c>
      <c r="F954" t="s">
        <v>59</v>
      </c>
      <c r="G954" t="s">
        <v>91</v>
      </c>
      <c r="H954" t="s">
        <v>57</v>
      </c>
      <c r="I954">
        <v>1</v>
      </c>
      <c r="J954" s="7">
        <v>35</v>
      </c>
      <c r="K954" s="8">
        <v>0.05</v>
      </c>
      <c r="L954" s="9">
        <v>33.25</v>
      </c>
      <c r="M954" s="9">
        <v>14</v>
      </c>
      <c r="N954" s="9">
        <v>19.25</v>
      </c>
    </row>
    <row r="955" spans="1:14">
      <c r="A955" t="s">
        <v>1430</v>
      </c>
      <c r="B955" s="6">
        <v>45927</v>
      </c>
      <c r="C955" t="s">
        <v>869</v>
      </c>
      <c r="D955" t="s">
        <v>78</v>
      </c>
      <c r="E955" t="s">
        <v>55</v>
      </c>
      <c r="F955" t="s">
        <v>53</v>
      </c>
      <c r="G955" t="s">
        <v>93</v>
      </c>
      <c r="H955" t="s">
        <v>54</v>
      </c>
      <c r="I955">
        <v>1</v>
      </c>
      <c r="J955" s="7">
        <v>68</v>
      </c>
      <c r="K955" s="8">
        <v>0</v>
      </c>
      <c r="L955" s="9">
        <v>68</v>
      </c>
      <c r="M955" s="9">
        <v>31</v>
      </c>
      <c r="N955" s="9">
        <v>37</v>
      </c>
    </row>
    <row r="956" spans="1:14">
      <c r="A956" t="s">
        <v>1431</v>
      </c>
      <c r="B956" s="6">
        <v>45723</v>
      </c>
      <c r="C956" t="s">
        <v>658</v>
      </c>
      <c r="D956" t="s">
        <v>78</v>
      </c>
      <c r="E956" t="s">
        <v>49</v>
      </c>
      <c r="F956" t="s">
        <v>50</v>
      </c>
      <c r="G956" t="s">
        <v>89</v>
      </c>
      <c r="H956" t="s">
        <v>51</v>
      </c>
      <c r="I956">
        <v>2</v>
      </c>
      <c r="J956" s="7">
        <v>38</v>
      </c>
      <c r="K956" s="8">
        <v>0.05</v>
      </c>
      <c r="L956" s="9">
        <v>72.2</v>
      </c>
      <c r="M956" s="9">
        <v>34</v>
      </c>
      <c r="N956" s="9">
        <v>38.200000000000003</v>
      </c>
    </row>
    <row r="957" spans="1:14">
      <c r="A957" t="s">
        <v>1432</v>
      </c>
      <c r="B957" s="6">
        <v>45920</v>
      </c>
      <c r="C957" t="s">
        <v>239</v>
      </c>
      <c r="D957" t="s">
        <v>78</v>
      </c>
      <c r="E957" t="s">
        <v>55</v>
      </c>
      <c r="F957" t="s">
        <v>56</v>
      </c>
      <c r="G957" t="s">
        <v>86</v>
      </c>
      <c r="H957" t="s">
        <v>48</v>
      </c>
      <c r="I957">
        <v>1</v>
      </c>
      <c r="J957" s="7">
        <v>34.99</v>
      </c>
      <c r="K957" s="8">
        <v>0</v>
      </c>
      <c r="L957" s="9">
        <v>34.99</v>
      </c>
      <c r="M957" s="9">
        <v>16</v>
      </c>
      <c r="N957" s="9">
        <v>18.990000000000002</v>
      </c>
    </row>
    <row r="958" spans="1:14">
      <c r="A958" t="s">
        <v>1433</v>
      </c>
      <c r="B958" s="6">
        <v>45788</v>
      </c>
      <c r="C958" t="s">
        <v>1434</v>
      </c>
      <c r="D958" t="s">
        <v>78</v>
      </c>
      <c r="E958" t="s">
        <v>58</v>
      </c>
      <c r="F958" t="s">
        <v>53</v>
      </c>
      <c r="G958" t="s">
        <v>94</v>
      </c>
      <c r="H958" t="s">
        <v>51</v>
      </c>
      <c r="I958">
        <v>1</v>
      </c>
      <c r="J958" s="7">
        <v>18</v>
      </c>
      <c r="K958" s="8">
        <v>0.05</v>
      </c>
      <c r="L958" s="9">
        <v>17.099999999999998</v>
      </c>
      <c r="M958" s="9">
        <v>5.5</v>
      </c>
      <c r="N958" s="9">
        <v>11.599999999999998</v>
      </c>
    </row>
    <row r="959" spans="1:14">
      <c r="A959" t="s">
        <v>1435</v>
      </c>
      <c r="B959" s="6">
        <v>45751</v>
      </c>
      <c r="C959" t="s">
        <v>528</v>
      </c>
      <c r="D959" t="s">
        <v>79</v>
      </c>
      <c r="E959" t="s">
        <v>58</v>
      </c>
      <c r="F959" t="s">
        <v>59</v>
      </c>
      <c r="G959" t="s">
        <v>91</v>
      </c>
      <c r="H959" t="s">
        <v>57</v>
      </c>
      <c r="I959">
        <v>1</v>
      </c>
      <c r="J959" s="7">
        <v>35</v>
      </c>
      <c r="K959" s="8">
        <v>0</v>
      </c>
      <c r="L959" s="9">
        <v>35</v>
      </c>
      <c r="M959" s="9">
        <v>14</v>
      </c>
      <c r="N959" s="9">
        <v>21</v>
      </c>
    </row>
    <row r="960" spans="1:14">
      <c r="A960" t="s">
        <v>1436</v>
      </c>
      <c r="B960" s="6">
        <v>45977</v>
      </c>
      <c r="C960" t="s">
        <v>215</v>
      </c>
      <c r="D960" t="s">
        <v>79</v>
      </c>
      <c r="E960" t="s">
        <v>52</v>
      </c>
      <c r="F960" t="s">
        <v>50</v>
      </c>
      <c r="G960" t="s">
        <v>89</v>
      </c>
      <c r="H960" t="s">
        <v>51</v>
      </c>
      <c r="I960">
        <v>1</v>
      </c>
      <c r="J960" s="7">
        <v>38</v>
      </c>
      <c r="K960" s="8">
        <v>0.15</v>
      </c>
      <c r="L960" s="9">
        <v>32.299999999999997</v>
      </c>
      <c r="M960" s="9">
        <v>17</v>
      </c>
      <c r="N960" s="9">
        <v>15.299999999999997</v>
      </c>
    </row>
    <row r="961" spans="1:14">
      <c r="A961" t="s">
        <v>1437</v>
      </c>
      <c r="B961" s="6">
        <v>45967</v>
      </c>
      <c r="C961" t="s">
        <v>649</v>
      </c>
      <c r="D961" t="s">
        <v>78</v>
      </c>
      <c r="E961" t="s">
        <v>58</v>
      </c>
      <c r="F961" t="s">
        <v>50</v>
      </c>
      <c r="G961" t="s">
        <v>89</v>
      </c>
      <c r="H961" t="s">
        <v>51</v>
      </c>
      <c r="I961">
        <v>3</v>
      </c>
      <c r="J961" s="7">
        <v>38</v>
      </c>
      <c r="K961" s="8">
        <v>0</v>
      </c>
      <c r="L961" s="9">
        <v>114</v>
      </c>
      <c r="M961" s="9">
        <v>51</v>
      </c>
      <c r="N961" s="9">
        <v>63</v>
      </c>
    </row>
    <row r="962" spans="1:14">
      <c r="A962" t="s">
        <v>1438</v>
      </c>
      <c r="B962" s="6">
        <v>45664</v>
      </c>
      <c r="C962" t="s">
        <v>432</v>
      </c>
      <c r="D962" t="s">
        <v>78</v>
      </c>
      <c r="E962" t="s">
        <v>58</v>
      </c>
      <c r="F962" t="s">
        <v>56</v>
      </c>
      <c r="G962" t="s">
        <v>87</v>
      </c>
      <c r="H962" t="s">
        <v>48</v>
      </c>
      <c r="I962">
        <v>2</v>
      </c>
      <c r="J962" s="7">
        <v>89.99</v>
      </c>
      <c r="K962" s="8">
        <v>0</v>
      </c>
      <c r="L962" s="9">
        <v>179.98</v>
      </c>
      <c r="M962" s="9">
        <v>92</v>
      </c>
      <c r="N962" s="9">
        <v>87.97999999999999</v>
      </c>
    </row>
    <row r="963" spans="1:14">
      <c r="A963" t="s">
        <v>1439</v>
      </c>
      <c r="B963" s="6">
        <v>45974</v>
      </c>
      <c r="C963" t="s">
        <v>661</v>
      </c>
      <c r="D963" t="s">
        <v>79</v>
      </c>
      <c r="E963" t="s">
        <v>55</v>
      </c>
      <c r="F963" t="s">
        <v>50</v>
      </c>
      <c r="G963" t="s">
        <v>94</v>
      </c>
      <c r="H963" t="s">
        <v>51</v>
      </c>
      <c r="I963">
        <v>1</v>
      </c>
      <c r="J963" s="7">
        <v>18</v>
      </c>
      <c r="K963" s="8">
        <v>0.1</v>
      </c>
      <c r="L963" s="9">
        <v>16.2</v>
      </c>
      <c r="M963" s="9">
        <v>5.5</v>
      </c>
      <c r="N963" s="9">
        <v>10.7</v>
      </c>
    </row>
    <row r="964" spans="1:14">
      <c r="A964" t="s">
        <v>1440</v>
      </c>
      <c r="B964" s="6">
        <v>45722</v>
      </c>
      <c r="C964" t="s">
        <v>355</v>
      </c>
      <c r="D964" t="s">
        <v>78</v>
      </c>
      <c r="E964" t="s">
        <v>49</v>
      </c>
      <c r="F964" t="s">
        <v>53</v>
      </c>
      <c r="G964" t="s">
        <v>87</v>
      </c>
      <c r="H964" t="s">
        <v>48</v>
      </c>
      <c r="I964">
        <v>1</v>
      </c>
      <c r="J964" s="7">
        <v>89.99</v>
      </c>
      <c r="K964" s="8">
        <v>0</v>
      </c>
      <c r="L964" s="9">
        <v>89.99</v>
      </c>
      <c r="M964" s="9">
        <v>46</v>
      </c>
      <c r="N964" s="9">
        <v>43.989999999999995</v>
      </c>
    </row>
    <row r="965" spans="1:14">
      <c r="A965" t="s">
        <v>1441</v>
      </c>
      <c r="B965" s="6">
        <v>45904</v>
      </c>
      <c r="C965" t="s">
        <v>148</v>
      </c>
      <c r="D965" t="s">
        <v>79</v>
      </c>
      <c r="E965" t="s">
        <v>52</v>
      </c>
      <c r="F965" t="s">
        <v>50</v>
      </c>
      <c r="G965" t="s">
        <v>87</v>
      </c>
      <c r="H965" t="s">
        <v>48</v>
      </c>
      <c r="I965">
        <v>2</v>
      </c>
      <c r="J965" s="7">
        <v>89.99</v>
      </c>
      <c r="K965" s="8">
        <v>0</v>
      </c>
      <c r="L965" s="9">
        <v>179.98</v>
      </c>
      <c r="M965" s="9">
        <v>92</v>
      </c>
      <c r="N965" s="9">
        <v>87.97999999999999</v>
      </c>
    </row>
    <row r="966" spans="1:14">
      <c r="A966" t="s">
        <v>1442</v>
      </c>
      <c r="B966" s="6">
        <v>45812</v>
      </c>
      <c r="C966" t="s">
        <v>643</v>
      </c>
      <c r="D966" t="s">
        <v>78</v>
      </c>
      <c r="E966" t="s">
        <v>58</v>
      </c>
      <c r="F966" t="s">
        <v>59</v>
      </c>
      <c r="G966" t="s">
        <v>92</v>
      </c>
      <c r="H966" t="s">
        <v>57</v>
      </c>
      <c r="I966">
        <v>1</v>
      </c>
      <c r="J966" s="7">
        <v>22</v>
      </c>
      <c r="K966" s="8">
        <v>0</v>
      </c>
      <c r="L966" s="9">
        <v>22</v>
      </c>
      <c r="M966" s="9">
        <v>7.5</v>
      </c>
      <c r="N966" s="9">
        <v>14.5</v>
      </c>
    </row>
    <row r="967" spans="1:14">
      <c r="A967" t="s">
        <v>1443</v>
      </c>
      <c r="B967" s="6">
        <v>45899</v>
      </c>
      <c r="C967" t="s">
        <v>204</v>
      </c>
      <c r="D967" t="s">
        <v>78</v>
      </c>
      <c r="E967" t="s">
        <v>58</v>
      </c>
      <c r="F967" t="s">
        <v>50</v>
      </c>
      <c r="G967" t="s">
        <v>85</v>
      </c>
      <c r="H967" t="s">
        <v>48</v>
      </c>
      <c r="I967">
        <v>3</v>
      </c>
      <c r="J967" s="7">
        <v>59.99</v>
      </c>
      <c r="K967" s="8">
        <v>0.05</v>
      </c>
      <c r="L967" s="9">
        <v>170.97149999999999</v>
      </c>
      <c r="M967" s="9">
        <v>84</v>
      </c>
      <c r="N967" s="9">
        <v>86.971499999999992</v>
      </c>
    </row>
    <row r="968" spans="1:14">
      <c r="A968" t="s">
        <v>1444</v>
      </c>
      <c r="B968" s="6">
        <v>45828</v>
      </c>
      <c r="C968" t="s">
        <v>265</v>
      </c>
      <c r="D968" t="s">
        <v>78</v>
      </c>
      <c r="E968" t="s">
        <v>58</v>
      </c>
      <c r="F968" t="s">
        <v>60</v>
      </c>
      <c r="G968" t="s">
        <v>85</v>
      </c>
      <c r="H968" t="s">
        <v>48</v>
      </c>
      <c r="I968">
        <v>1</v>
      </c>
      <c r="J968" s="7">
        <v>59.99</v>
      </c>
      <c r="K968" s="8">
        <v>0.15</v>
      </c>
      <c r="L968" s="9">
        <v>50.991500000000002</v>
      </c>
      <c r="M968" s="9">
        <v>28</v>
      </c>
      <c r="N968" s="9">
        <v>22.991500000000002</v>
      </c>
    </row>
    <row r="969" spans="1:14">
      <c r="A969" t="s">
        <v>1445</v>
      </c>
      <c r="B969" s="6">
        <v>45963</v>
      </c>
      <c r="C969" t="s">
        <v>487</v>
      </c>
      <c r="D969" t="s">
        <v>78</v>
      </c>
      <c r="E969" t="s">
        <v>58</v>
      </c>
      <c r="F969" t="s">
        <v>53</v>
      </c>
      <c r="G969" t="s">
        <v>93</v>
      </c>
      <c r="H969" t="s">
        <v>54</v>
      </c>
      <c r="I969">
        <v>4</v>
      </c>
      <c r="J969" s="7">
        <v>68</v>
      </c>
      <c r="K969" s="8">
        <v>0</v>
      </c>
      <c r="L969" s="9">
        <v>272</v>
      </c>
      <c r="M969" s="9">
        <v>124</v>
      </c>
      <c r="N969" s="9">
        <v>148</v>
      </c>
    </row>
    <row r="970" spans="1:14">
      <c r="A970" t="s">
        <v>1446</v>
      </c>
      <c r="B970" s="6">
        <v>45689</v>
      </c>
      <c r="C970" t="s">
        <v>148</v>
      </c>
      <c r="D970" t="s">
        <v>78</v>
      </c>
      <c r="E970" t="s">
        <v>58</v>
      </c>
      <c r="F970" t="s">
        <v>59</v>
      </c>
      <c r="G970" t="s">
        <v>93</v>
      </c>
      <c r="H970" t="s">
        <v>54</v>
      </c>
      <c r="I970">
        <v>1</v>
      </c>
      <c r="J970" s="7">
        <v>68</v>
      </c>
      <c r="K970" s="8">
        <v>0.05</v>
      </c>
      <c r="L970" s="9">
        <v>64.599999999999994</v>
      </c>
      <c r="M970" s="9">
        <v>31</v>
      </c>
      <c r="N970" s="9">
        <v>33.599999999999994</v>
      </c>
    </row>
    <row r="971" spans="1:14">
      <c r="A971" t="s">
        <v>1447</v>
      </c>
      <c r="B971" s="6">
        <v>45717</v>
      </c>
      <c r="C971" t="s">
        <v>664</v>
      </c>
      <c r="D971" t="s">
        <v>78</v>
      </c>
      <c r="E971" t="s">
        <v>49</v>
      </c>
      <c r="F971" t="s">
        <v>53</v>
      </c>
      <c r="G971" t="s">
        <v>92</v>
      </c>
      <c r="H971" t="s">
        <v>57</v>
      </c>
      <c r="I971">
        <v>2</v>
      </c>
      <c r="J971" s="7">
        <v>22</v>
      </c>
      <c r="K971" s="8">
        <v>0.05</v>
      </c>
      <c r="L971" s="9">
        <v>41.8</v>
      </c>
      <c r="M971" s="9">
        <v>15</v>
      </c>
      <c r="N971" s="9">
        <v>26.799999999999997</v>
      </c>
    </row>
    <row r="972" spans="1:14">
      <c r="A972" t="s">
        <v>1448</v>
      </c>
      <c r="B972" s="6">
        <v>45805</v>
      </c>
      <c r="C972" t="s">
        <v>353</v>
      </c>
      <c r="D972" t="s">
        <v>78</v>
      </c>
      <c r="E972" t="s">
        <v>55</v>
      </c>
      <c r="F972" t="s">
        <v>60</v>
      </c>
      <c r="G972" t="s">
        <v>88</v>
      </c>
      <c r="H972" t="s">
        <v>51</v>
      </c>
      <c r="I972">
        <v>1</v>
      </c>
      <c r="J972" s="7">
        <v>42</v>
      </c>
      <c r="K972" s="8">
        <v>0</v>
      </c>
      <c r="L972" s="9">
        <v>42</v>
      </c>
      <c r="M972" s="9">
        <v>19</v>
      </c>
      <c r="N972" s="9">
        <v>23</v>
      </c>
    </row>
    <row r="973" spans="1:14">
      <c r="A973" t="s">
        <v>1449</v>
      </c>
      <c r="B973" s="6">
        <v>45994</v>
      </c>
      <c r="C973" t="s">
        <v>489</v>
      </c>
      <c r="D973" t="s">
        <v>79</v>
      </c>
      <c r="E973" t="s">
        <v>55</v>
      </c>
      <c r="F973" t="s">
        <v>59</v>
      </c>
      <c r="G973" t="s">
        <v>92</v>
      </c>
      <c r="H973" t="s">
        <v>57</v>
      </c>
      <c r="I973">
        <v>1</v>
      </c>
      <c r="J973" s="7">
        <v>22</v>
      </c>
      <c r="K973" s="8">
        <v>0</v>
      </c>
      <c r="L973" s="9">
        <v>22</v>
      </c>
      <c r="M973" s="9">
        <v>7.5</v>
      </c>
      <c r="N973" s="9">
        <v>14.5</v>
      </c>
    </row>
    <row r="974" spans="1:14">
      <c r="A974" t="s">
        <v>1450</v>
      </c>
      <c r="B974" s="6">
        <v>45740</v>
      </c>
      <c r="C974" t="s">
        <v>1175</v>
      </c>
      <c r="D974" t="s">
        <v>78</v>
      </c>
      <c r="E974" t="s">
        <v>52</v>
      </c>
      <c r="F974" t="s">
        <v>53</v>
      </c>
      <c r="G974" t="s">
        <v>94</v>
      </c>
      <c r="H974" t="s">
        <v>51</v>
      </c>
      <c r="I974">
        <v>1</v>
      </c>
      <c r="J974" s="7">
        <v>18</v>
      </c>
      <c r="K974" s="8">
        <v>0.1</v>
      </c>
      <c r="L974" s="9">
        <v>16.2</v>
      </c>
      <c r="M974" s="9">
        <v>5.5</v>
      </c>
      <c r="N974" s="9">
        <v>10.7</v>
      </c>
    </row>
    <row r="975" spans="1:14">
      <c r="A975" t="s">
        <v>1451</v>
      </c>
      <c r="B975" s="6">
        <v>45760</v>
      </c>
      <c r="C975" t="s">
        <v>530</v>
      </c>
      <c r="D975" t="s">
        <v>78</v>
      </c>
      <c r="E975" t="s">
        <v>55</v>
      </c>
      <c r="F975" t="s">
        <v>53</v>
      </c>
      <c r="G975" t="s">
        <v>87</v>
      </c>
      <c r="H975" t="s">
        <v>48</v>
      </c>
      <c r="I975">
        <v>2</v>
      </c>
      <c r="J975" s="7">
        <v>89.99</v>
      </c>
      <c r="K975" s="8">
        <v>0</v>
      </c>
      <c r="L975" s="9">
        <v>179.98</v>
      </c>
      <c r="M975" s="9">
        <v>92</v>
      </c>
      <c r="N975" s="9">
        <v>87.97999999999999</v>
      </c>
    </row>
    <row r="976" spans="1:14">
      <c r="A976" t="s">
        <v>1452</v>
      </c>
      <c r="B976" s="6">
        <v>45765</v>
      </c>
      <c r="C976" t="s">
        <v>708</v>
      </c>
      <c r="D976" t="s">
        <v>79</v>
      </c>
      <c r="E976" t="s">
        <v>52</v>
      </c>
      <c r="F976" t="s">
        <v>53</v>
      </c>
      <c r="G976" t="s">
        <v>93</v>
      </c>
      <c r="H976" t="s">
        <v>54</v>
      </c>
      <c r="I976">
        <v>1</v>
      </c>
      <c r="J976" s="7">
        <v>68</v>
      </c>
      <c r="K976" s="8">
        <v>0</v>
      </c>
      <c r="L976" s="9">
        <v>68</v>
      </c>
      <c r="M976" s="9">
        <v>31</v>
      </c>
      <c r="N976" s="9">
        <v>37</v>
      </c>
    </row>
    <row r="977" spans="1:14">
      <c r="A977" t="s">
        <v>1453</v>
      </c>
      <c r="B977" s="6">
        <v>45915</v>
      </c>
      <c r="C977" t="s">
        <v>403</v>
      </c>
      <c r="D977" t="s">
        <v>78</v>
      </c>
      <c r="E977" t="s">
        <v>49</v>
      </c>
      <c r="F977" t="s">
        <v>60</v>
      </c>
      <c r="G977" t="s">
        <v>85</v>
      </c>
      <c r="H977" t="s">
        <v>48</v>
      </c>
      <c r="I977">
        <v>2</v>
      </c>
      <c r="J977" s="7">
        <v>59.99</v>
      </c>
      <c r="K977" s="8">
        <v>0</v>
      </c>
      <c r="L977" s="9">
        <v>119.98</v>
      </c>
      <c r="M977" s="9">
        <v>56</v>
      </c>
      <c r="N977" s="9">
        <v>63.980000000000004</v>
      </c>
    </row>
    <row r="978" spans="1:14">
      <c r="A978" t="s">
        <v>1454</v>
      </c>
      <c r="B978" s="6">
        <v>45772</v>
      </c>
      <c r="C978" t="s">
        <v>194</v>
      </c>
      <c r="D978" t="s">
        <v>78</v>
      </c>
      <c r="E978" t="s">
        <v>55</v>
      </c>
      <c r="F978" t="s">
        <v>53</v>
      </c>
      <c r="G978" t="s">
        <v>92</v>
      </c>
      <c r="H978" t="s">
        <v>57</v>
      </c>
      <c r="I978">
        <v>1</v>
      </c>
      <c r="J978" s="7">
        <v>22</v>
      </c>
      <c r="K978" s="8">
        <v>0</v>
      </c>
      <c r="L978" s="9">
        <v>22</v>
      </c>
      <c r="M978" s="9">
        <v>7.5</v>
      </c>
      <c r="N978" s="9">
        <v>14.5</v>
      </c>
    </row>
    <row r="979" spans="1:14">
      <c r="A979" t="s">
        <v>1455</v>
      </c>
      <c r="B979" s="6">
        <v>46011</v>
      </c>
      <c r="C979" t="s">
        <v>464</v>
      </c>
      <c r="D979" t="s">
        <v>78</v>
      </c>
      <c r="E979" t="s">
        <v>58</v>
      </c>
      <c r="F979" t="s">
        <v>50</v>
      </c>
      <c r="G979" t="s">
        <v>93</v>
      </c>
      <c r="H979" t="s">
        <v>54</v>
      </c>
      <c r="I979">
        <v>2</v>
      </c>
      <c r="J979" s="7">
        <v>68</v>
      </c>
      <c r="K979" s="8">
        <v>0</v>
      </c>
      <c r="L979" s="9">
        <v>136</v>
      </c>
      <c r="M979" s="9">
        <v>62</v>
      </c>
      <c r="N979" s="9">
        <v>74</v>
      </c>
    </row>
    <row r="980" spans="1:14">
      <c r="A980" t="s">
        <v>1456</v>
      </c>
      <c r="B980" s="6">
        <v>45712</v>
      </c>
      <c r="C980" t="s">
        <v>392</v>
      </c>
      <c r="D980" t="s">
        <v>78</v>
      </c>
      <c r="E980" t="s">
        <v>49</v>
      </c>
      <c r="F980" t="s">
        <v>60</v>
      </c>
      <c r="G980" t="s">
        <v>94</v>
      </c>
      <c r="H980" t="s">
        <v>51</v>
      </c>
      <c r="I980">
        <v>2</v>
      </c>
      <c r="J980" s="7">
        <v>18</v>
      </c>
      <c r="K980" s="8">
        <v>0.15</v>
      </c>
      <c r="L980" s="9">
        <v>30.599999999999998</v>
      </c>
      <c r="M980" s="9">
        <v>11</v>
      </c>
      <c r="N980" s="9">
        <v>19.599999999999998</v>
      </c>
    </row>
    <row r="981" spans="1:14">
      <c r="A981" t="s">
        <v>1457</v>
      </c>
      <c r="B981" s="6">
        <v>45711</v>
      </c>
      <c r="C981" t="s">
        <v>793</v>
      </c>
      <c r="D981" t="s">
        <v>79</v>
      </c>
      <c r="E981" t="s">
        <v>55</v>
      </c>
      <c r="F981" t="s">
        <v>59</v>
      </c>
      <c r="G981" t="s">
        <v>87</v>
      </c>
      <c r="H981" t="s">
        <v>48</v>
      </c>
      <c r="I981">
        <v>2</v>
      </c>
      <c r="J981" s="7">
        <v>89.99</v>
      </c>
      <c r="K981" s="8">
        <v>0.15</v>
      </c>
      <c r="L981" s="9">
        <v>152.98299999999998</v>
      </c>
      <c r="M981" s="9">
        <v>92</v>
      </c>
      <c r="N981" s="9">
        <v>60.982999999999976</v>
      </c>
    </row>
    <row r="982" spans="1:14">
      <c r="A982" t="s">
        <v>1458</v>
      </c>
      <c r="B982" s="6">
        <v>45917</v>
      </c>
      <c r="C982" t="s">
        <v>502</v>
      </c>
      <c r="D982" t="s">
        <v>79</v>
      </c>
      <c r="E982" t="s">
        <v>52</v>
      </c>
      <c r="F982" t="s">
        <v>50</v>
      </c>
      <c r="G982" t="s">
        <v>92</v>
      </c>
      <c r="H982" t="s">
        <v>57</v>
      </c>
      <c r="I982">
        <v>2</v>
      </c>
      <c r="J982" s="7">
        <v>22</v>
      </c>
      <c r="K982" s="8">
        <v>0</v>
      </c>
      <c r="L982" s="9">
        <v>44</v>
      </c>
      <c r="M982" s="9">
        <v>15</v>
      </c>
      <c r="N982" s="9">
        <v>29</v>
      </c>
    </row>
    <row r="983" spans="1:14">
      <c r="A983" t="s">
        <v>1459</v>
      </c>
      <c r="B983" s="6">
        <v>45761</v>
      </c>
      <c r="C983" t="s">
        <v>423</v>
      </c>
      <c r="D983" t="s">
        <v>78</v>
      </c>
      <c r="E983" t="s">
        <v>55</v>
      </c>
      <c r="F983" t="s">
        <v>56</v>
      </c>
      <c r="G983" t="s">
        <v>92</v>
      </c>
      <c r="H983" t="s">
        <v>57</v>
      </c>
      <c r="I983">
        <v>4</v>
      </c>
      <c r="J983" s="7">
        <v>22</v>
      </c>
      <c r="K983" s="8">
        <v>0.1</v>
      </c>
      <c r="L983" s="9">
        <v>79.2</v>
      </c>
      <c r="M983" s="9">
        <v>30</v>
      </c>
      <c r="N983" s="9">
        <v>49.2</v>
      </c>
    </row>
    <row r="984" spans="1:14">
      <c r="A984" t="s">
        <v>1460</v>
      </c>
      <c r="B984" s="6">
        <v>45916</v>
      </c>
      <c r="C984" t="s">
        <v>150</v>
      </c>
      <c r="D984" t="s">
        <v>79</v>
      </c>
      <c r="E984" t="s">
        <v>52</v>
      </c>
      <c r="F984" t="s">
        <v>53</v>
      </c>
      <c r="G984" t="s">
        <v>87</v>
      </c>
      <c r="H984" t="s">
        <v>48</v>
      </c>
      <c r="I984">
        <v>1</v>
      </c>
      <c r="J984" s="7">
        <v>89.99</v>
      </c>
      <c r="K984" s="8">
        <v>0</v>
      </c>
      <c r="L984" s="9">
        <v>89.99</v>
      </c>
      <c r="M984" s="9">
        <v>46</v>
      </c>
      <c r="N984" s="9">
        <v>43.989999999999995</v>
      </c>
    </row>
    <row r="985" spans="1:14">
      <c r="A985" t="s">
        <v>1461</v>
      </c>
      <c r="B985" s="6">
        <v>45929</v>
      </c>
      <c r="C985" t="s">
        <v>466</v>
      </c>
      <c r="D985" t="s">
        <v>78</v>
      </c>
      <c r="E985" t="s">
        <v>58</v>
      </c>
      <c r="F985" t="s">
        <v>60</v>
      </c>
      <c r="G985" t="s">
        <v>91</v>
      </c>
      <c r="H985" t="s">
        <v>57</v>
      </c>
      <c r="I985">
        <v>2</v>
      </c>
      <c r="J985" s="7">
        <v>35</v>
      </c>
      <c r="K985" s="8">
        <v>0</v>
      </c>
      <c r="L985" s="9">
        <v>70</v>
      </c>
      <c r="M985" s="9">
        <v>28</v>
      </c>
      <c r="N985" s="9">
        <v>42</v>
      </c>
    </row>
    <row r="986" spans="1:14">
      <c r="A986" t="s">
        <v>1462</v>
      </c>
      <c r="B986" s="6">
        <v>46007</v>
      </c>
      <c r="C986" t="s">
        <v>973</v>
      </c>
      <c r="D986" t="s">
        <v>79</v>
      </c>
      <c r="E986" t="s">
        <v>49</v>
      </c>
      <c r="F986" t="s">
        <v>50</v>
      </c>
      <c r="G986" t="s">
        <v>90</v>
      </c>
      <c r="H986" t="s">
        <v>54</v>
      </c>
      <c r="I986">
        <v>3</v>
      </c>
      <c r="J986" s="7">
        <v>29</v>
      </c>
      <c r="K986" s="8">
        <v>0</v>
      </c>
      <c r="L986" s="9">
        <v>87</v>
      </c>
      <c r="M986" s="9">
        <v>33</v>
      </c>
      <c r="N986" s="9">
        <v>54</v>
      </c>
    </row>
    <row r="987" spans="1:14">
      <c r="A987" t="s">
        <v>1463</v>
      </c>
      <c r="B987" s="6">
        <v>45831</v>
      </c>
      <c r="C987" t="s">
        <v>553</v>
      </c>
      <c r="D987" t="s">
        <v>78</v>
      </c>
      <c r="E987" t="s">
        <v>49</v>
      </c>
      <c r="F987" t="s">
        <v>53</v>
      </c>
      <c r="G987" t="s">
        <v>90</v>
      </c>
      <c r="H987" t="s">
        <v>54</v>
      </c>
      <c r="I987">
        <v>1</v>
      </c>
      <c r="J987" s="7">
        <v>29</v>
      </c>
      <c r="K987" s="8">
        <v>0.1</v>
      </c>
      <c r="L987" s="9">
        <v>26.1</v>
      </c>
      <c r="M987" s="9">
        <v>11</v>
      </c>
      <c r="N987" s="9">
        <v>15.100000000000001</v>
      </c>
    </row>
    <row r="988" spans="1:14">
      <c r="A988" t="s">
        <v>1464</v>
      </c>
      <c r="B988" s="6">
        <v>45952</v>
      </c>
      <c r="C988" t="s">
        <v>206</v>
      </c>
      <c r="D988" t="s">
        <v>79</v>
      </c>
      <c r="E988" t="s">
        <v>55</v>
      </c>
      <c r="F988" t="s">
        <v>59</v>
      </c>
      <c r="G988" t="s">
        <v>85</v>
      </c>
      <c r="H988" t="s">
        <v>48</v>
      </c>
      <c r="I988">
        <v>4</v>
      </c>
      <c r="J988" s="7">
        <v>59.99</v>
      </c>
      <c r="K988" s="8">
        <v>0.2</v>
      </c>
      <c r="L988" s="9">
        <v>191.96800000000002</v>
      </c>
      <c r="M988" s="9">
        <v>112</v>
      </c>
      <c r="N988" s="9">
        <v>79.968000000000018</v>
      </c>
    </row>
    <row r="989" spans="1:14">
      <c r="A989" t="s">
        <v>1465</v>
      </c>
      <c r="B989" s="6">
        <v>45863</v>
      </c>
      <c r="C989" t="s">
        <v>439</v>
      </c>
      <c r="D989" t="s">
        <v>78</v>
      </c>
      <c r="E989" t="s">
        <v>49</v>
      </c>
      <c r="F989" t="s">
        <v>56</v>
      </c>
      <c r="G989" t="s">
        <v>93</v>
      </c>
      <c r="H989" t="s">
        <v>54</v>
      </c>
      <c r="I989">
        <v>3</v>
      </c>
      <c r="J989" s="7">
        <v>68</v>
      </c>
      <c r="K989" s="8">
        <v>0.1</v>
      </c>
      <c r="L989" s="9">
        <v>183.6</v>
      </c>
      <c r="M989" s="9">
        <v>93</v>
      </c>
      <c r="N989" s="9">
        <v>90.6</v>
      </c>
    </row>
    <row r="990" spans="1:14">
      <c r="A990" t="s">
        <v>1466</v>
      </c>
      <c r="B990" s="6">
        <v>45928</v>
      </c>
      <c r="C990" t="s">
        <v>226</v>
      </c>
      <c r="D990" t="s">
        <v>78</v>
      </c>
      <c r="E990" t="s">
        <v>58</v>
      </c>
      <c r="F990" t="s">
        <v>56</v>
      </c>
      <c r="G990" t="s">
        <v>94</v>
      </c>
      <c r="H990" t="s">
        <v>51</v>
      </c>
      <c r="I990">
        <v>3</v>
      </c>
      <c r="J990" s="7">
        <v>18</v>
      </c>
      <c r="K990" s="8">
        <v>0.1</v>
      </c>
      <c r="L990" s="9">
        <v>48.6</v>
      </c>
      <c r="M990" s="9">
        <v>16.5</v>
      </c>
      <c r="N990" s="9">
        <v>32.1</v>
      </c>
    </row>
    <row r="991" spans="1:14">
      <c r="A991" t="s">
        <v>1467</v>
      </c>
      <c r="B991" s="6">
        <v>45990</v>
      </c>
      <c r="C991" t="s">
        <v>396</v>
      </c>
      <c r="D991" t="s">
        <v>78</v>
      </c>
      <c r="E991" t="s">
        <v>55</v>
      </c>
      <c r="F991" t="s">
        <v>59</v>
      </c>
      <c r="G991" t="s">
        <v>91</v>
      </c>
      <c r="H991" t="s">
        <v>57</v>
      </c>
      <c r="I991">
        <v>2</v>
      </c>
      <c r="J991" s="7">
        <v>35</v>
      </c>
      <c r="K991" s="8">
        <v>0.15</v>
      </c>
      <c r="L991" s="9">
        <v>59.5</v>
      </c>
      <c r="M991" s="9">
        <v>28</v>
      </c>
      <c r="N991" s="9">
        <v>31.5</v>
      </c>
    </row>
    <row r="992" spans="1:14">
      <c r="A992" t="s">
        <v>1468</v>
      </c>
      <c r="B992" s="6">
        <v>45722</v>
      </c>
      <c r="C992" t="s">
        <v>847</v>
      </c>
      <c r="D992" t="s">
        <v>78</v>
      </c>
      <c r="E992" t="s">
        <v>55</v>
      </c>
      <c r="F992" t="s">
        <v>60</v>
      </c>
      <c r="G992" t="s">
        <v>93</v>
      </c>
      <c r="H992" t="s">
        <v>54</v>
      </c>
      <c r="I992">
        <v>4</v>
      </c>
      <c r="J992" s="7">
        <v>68</v>
      </c>
      <c r="K992" s="8">
        <v>0</v>
      </c>
      <c r="L992" s="9">
        <v>272</v>
      </c>
      <c r="M992" s="9">
        <v>124</v>
      </c>
      <c r="N992" s="9">
        <v>148</v>
      </c>
    </row>
    <row r="993" spans="1:14">
      <c r="A993" t="s">
        <v>1469</v>
      </c>
      <c r="B993" s="6">
        <v>45832</v>
      </c>
      <c r="C993" t="s">
        <v>973</v>
      </c>
      <c r="D993" t="s">
        <v>78</v>
      </c>
      <c r="E993" t="s">
        <v>52</v>
      </c>
      <c r="F993" t="s">
        <v>56</v>
      </c>
      <c r="G993" t="s">
        <v>87</v>
      </c>
      <c r="H993" t="s">
        <v>48</v>
      </c>
      <c r="I993">
        <v>1</v>
      </c>
      <c r="J993" s="7">
        <v>89.99</v>
      </c>
      <c r="K993" s="8">
        <v>0.15</v>
      </c>
      <c r="L993" s="9">
        <v>76.491499999999988</v>
      </c>
      <c r="M993" s="9">
        <v>46</v>
      </c>
      <c r="N993" s="9">
        <v>30.491499999999988</v>
      </c>
    </row>
    <row r="994" spans="1:14">
      <c r="A994" t="s">
        <v>1470</v>
      </c>
      <c r="B994" s="6">
        <v>45874</v>
      </c>
      <c r="C994" t="s">
        <v>1325</v>
      </c>
      <c r="D994" t="s">
        <v>78</v>
      </c>
      <c r="E994" t="s">
        <v>55</v>
      </c>
      <c r="F994" t="s">
        <v>50</v>
      </c>
      <c r="G994" t="s">
        <v>93</v>
      </c>
      <c r="H994" t="s">
        <v>54</v>
      </c>
      <c r="I994">
        <v>1</v>
      </c>
      <c r="J994" s="7">
        <v>68</v>
      </c>
      <c r="K994" s="8">
        <v>0</v>
      </c>
      <c r="L994" s="9">
        <v>68</v>
      </c>
      <c r="M994" s="9">
        <v>31</v>
      </c>
      <c r="N994" s="9">
        <v>37</v>
      </c>
    </row>
    <row r="995" spans="1:14">
      <c r="A995" t="s">
        <v>1471</v>
      </c>
      <c r="B995" s="6">
        <v>45682</v>
      </c>
      <c r="C995" t="s">
        <v>1411</v>
      </c>
      <c r="D995" t="s">
        <v>78</v>
      </c>
      <c r="E995" t="s">
        <v>52</v>
      </c>
      <c r="F995" t="s">
        <v>60</v>
      </c>
      <c r="G995" t="s">
        <v>86</v>
      </c>
      <c r="H995" t="s">
        <v>48</v>
      </c>
      <c r="I995">
        <v>1</v>
      </c>
      <c r="J995" s="7">
        <v>34.99</v>
      </c>
      <c r="K995" s="8">
        <v>0.05</v>
      </c>
      <c r="L995" s="9">
        <v>33.240499999999997</v>
      </c>
      <c r="M995" s="9">
        <v>16</v>
      </c>
      <c r="N995" s="9">
        <v>17.240499999999997</v>
      </c>
    </row>
    <row r="996" spans="1:14">
      <c r="A996" t="s">
        <v>1472</v>
      </c>
      <c r="B996" s="6">
        <v>45947</v>
      </c>
      <c r="C996" t="s">
        <v>754</v>
      </c>
      <c r="D996" t="s">
        <v>78</v>
      </c>
      <c r="E996" t="s">
        <v>52</v>
      </c>
      <c r="F996" t="s">
        <v>59</v>
      </c>
      <c r="G996" t="s">
        <v>93</v>
      </c>
      <c r="H996" t="s">
        <v>54</v>
      </c>
      <c r="I996">
        <v>2</v>
      </c>
      <c r="J996" s="7">
        <v>68</v>
      </c>
      <c r="K996" s="8">
        <v>0</v>
      </c>
      <c r="L996" s="9">
        <v>136</v>
      </c>
      <c r="M996" s="9">
        <v>62</v>
      </c>
      <c r="N996" s="9">
        <v>74</v>
      </c>
    </row>
    <row r="997" spans="1:14">
      <c r="A997" t="s">
        <v>1473</v>
      </c>
      <c r="B997" s="6">
        <v>45924</v>
      </c>
      <c r="C997" t="s">
        <v>1474</v>
      </c>
      <c r="D997" t="s">
        <v>78</v>
      </c>
      <c r="E997" t="s">
        <v>55</v>
      </c>
      <c r="F997" t="s">
        <v>59</v>
      </c>
      <c r="G997" t="s">
        <v>88</v>
      </c>
      <c r="H997" t="s">
        <v>51</v>
      </c>
      <c r="I997">
        <v>1</v>
      </c>
      <c r="J997" s="7">
        <v>42</v>
      </c>
      <c r="K997" s="8">
        <v>0.05</v>
      </c>
      <c r="L997" s="9">
        <v>39.9</v>
      </c>
      <c r="M997" s="9">
        <v>19</v>
      </c>
      <c r="N997" s="9">
        <v>20.9</v>
      </c>
    </row>
    <row r="998" spans="1:14">
      <c r="A998" t="s">
        <v>1475</v>
      </c>
      <c r="B998" s="6">
        <v>45708</v>
      </c>
      <c r="C998" t="s">
        <v>241</v>
      </c>
      <c r="D998" t="s">
        <v>78</v>
      </c>
      <c r="E998" t="s">
        <v>58</v>
      </c>
      <c r="F998" t="s">
        <v>53</v>
      </c>
      <c r="G998" t="s">
        <v>87</v>
      </c>
      <c r="H998" t="s">
        <v>48</v>
      </c>
      <c r="I998">
        <v>2</v>
      </c>
      <c r="J998" s="7">
        <v>89.99</v>
      </c>
      <c r="K998" s="8">
        <v>0.1</v>
      </c>
      <c r="L998" s="9">
        <v>161.982</v>
      </c>
      <c r="M998" s="9">
        <v>92</v>
      </c>
      <c r="N998" s="9">
        <v>69.981999999999999</v>
      </c>
    </row>
    <row r="999" spans="1:14">
      <c r="A999" t="s">
        <v>1476</v>
      </c>
      <c r="B999" s="6">
        <v>45901</v>
      </c>
      <c r="C999" t="s">
        <v>308</v>
      </c>
      <c r="D999" t="s">
        <v>78</v>
      </c>
      <c r="E999" t="s">
        <v>58</v>
      </c>
      <c r="F999" t="s">
        <v>56</v>
      </c>
      <c r="G999" t="s">
        <v>88</v>
      </c>
      <c r="H999" t="s">
        <v>51</v>
      </c>
      <c r="I999">
        <v>1</v>
      </c>
      <c r="J999" s="7">
        <v>42</v>
      </c>
      <c r="K999" s="8">
        <v>0</v>
      </c>
      <c r="L999" s="9">
        <v>42</v>
      </c>
      <c r="M999" s="9">
        <v>19</v>
      </c>
      <c r="N999" s="9">
        <v>23</v>
      </c>
    </row>
    <row r="1000" spans="1:14">
      <c r="A1000" t="s">
        <v>1477</v>
      </c>
      <c r="B1000" s="6">
        <v>45957</v>
      </c>
      <c r="C1000" t="s">
        <v>301</v>
      </c>
      <c r="D1000" t="s">
        <v>79</v>
      </c>
      <c r="E1000" t="s">
        <v>58</v>
      </c>
      <c r="F1000" t="s">
        <v>53</v>
      </c>
      <c r="G1000" t="s">
        <v>92</v>
      </c>
      <c r="H1000" t="s">
        <v>57</v>
      </c>
      <c r="I1000">
        <v>2</v>
      </c>
      <c r="J1000" s="7">
        <v>22</v>
      </c>
      <c r="K1000" s="8">
        <v>0.2</v>
      </c>
      <c r="L1000" s="9">
        <v>35.200000000000003</v>
      </c>
      <c r="M1000" s="9">
        <v>15</v>
      </c>
      <c r="N1000" s="9">
        <v>20.200000000000003</v>
      </c>
    </row>
    <row r="1001" spans="1:14">
      <c r="A1001" t="s">
        <v>1478</v>
      </c>
      <c r="B1001" s="6">
        <v>45731</v>
      </c>
      <c r="C1001" t="s">
        <v>445</v>
      </c>
      <c r="D1001" t="s">
        <v>78</v>
      </c>
      <c r="E1001" t="s">
        <v>49</v>
      </c>
      <c r="F1001" t="s">
        <v>53</v>
      </c>
      <c r="G1001" t="s">
        <v>93</v>
      </c>
      <c r="H1001" t="s">
        <v>54</v>
      </c>
      <c r="I1001">
        <v>1</v>
      </c>
      <c r="J1001" s="7">
        <v>68</v>
      </c>
      <c r="K1001" s="8">
        <v>0.1</v>
      </c>
      <c r="L1001" s="9">
        <v>61.2</v>
      </c>
      <c r="M1001" s="9">
        <v>31</v>
      </c>
      <c r="N1001" s="9">
        <v>30.200000000000003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Dashboard</vt:lpstr>
      <vt:lpstr>Analysis</vt:lpstr>
      <vt:lpstr>SQL Queries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2026-09-28T23:28:38Z</dcterms:created>
  <dcterms:modified xsi:type="dcterms:W3CDTF">2026-09-28T23:28:38Z</dcterms:modified>
</cp:coreProperties>
</file>